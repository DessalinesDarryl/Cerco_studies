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bouden\Desktop\résultats_RBD\donnees_cliniques\"/>
    </mc:Choice>
  </mc:AlternateContent>
  <xr:revisionPtr revIDLastSave="0" documentId="13_ncr:1_{0F1A6078-800C-4AD9-BA54-F53CFF9B3A2F}" xr6:coauthVersionLast="47" xr6:coauthVersionMax="47" xr10:uidLastSave="{00000000-0000-0000-0000-000000000000}"/>
  <bookViews>
    <workbookView xWindow="57480" yWindow="-120" windowWidth="29040" windowHeight="15840" tabRatio="500" xr2:uid="{00000000-000D-0000-FFFF-FFFF00000000}"/>
  </bookViews>
  <sheets>
    <sheet name="fusion" sheetId="1" r:id="rId1"/>
  </sheets>
  <definedNames>
    <definedName name="_xlnm._FilterDatabase" localSheetId="0" hidden="1">fusion!$A$1:$AM$117</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calcChain.xml><?xml version="1.0" encoding="utf-8"?>
<calcChain xmlns="http://schemas.openxmlformats.org/spreadsheetml/2006/main">
  <c r="AM18" i="1" l="1"/>
  <c r="AM114" i="1"/>
  <c r="AM113" i="1"/>
  <c r="AM112" i="1"/>
  <c r="AM111" i="1"/>
  <c r="AM110" i="1"/>
  <c r="AM109" i="1"/>
  <c r="AM108" i="1"/>
  <c r="AM107" i="1"/>
  <c r="AM106" i="1"/>
  <c r="AM105" i="1"/>
  <c r="AM104" i="1"/>
  <c r="AJ104" i="1"/>
  <c r="AM103" i="1"/>
  <c r="AJ103" i="1"/>
  <c r="AM102" i="1"/>
  <c r="AM101" i="1"/>
  <c r="AJ101" i="1"/>
  <c r="AM100" i="1"/>
  <c r="AM99" i="1"/>
  <c r="AM98" i="1"/>
  <c r="AK98" i="1"/>
  <c r="AJ98" i="1"/>
  <c r="AM97" i="1"/>
  <c r="AJ97" i="1"/>
  <c r="AM96" i="1"/>
  <c r="AM95" i="1"/>
  <c r="AJ95" i="1"/>
  <c r="X95" i="1"/>
  <c r="AM94" i="1"/>
  <c r="AK94" i="1"/>
  <c r="AJ94" i="1"/>
  <c r="AM93" i="1"/>
  <c r="AK93" i="1"/>
  <c r="AM92" i="1"/>
  <c r="AM91" i="1"/>
  <c r="AK91" i="1"/>
  <c r="AJ91" i="1"/>
  <c r="AM90" i="1"/>
  <c r="AJ90" i="1"/>
  <c r="AM89" i="1"/>
  <c r="AM88" i="1"/>
  <c r="AM87" i="1"/>
  <c r="AM86" i="1"/>
  <c r="AK86" i="1"/>
  <c r="AJ86" i="1"/>
  <c r="AM85" i="1"/>
  <c r="AK85" i="1"/>
  <c r="AJ85" i="1"/>
  <c r="X85" i="1"/>
  <c r="AM84" i="1"/>
  <c r="AJ84" i="1"/>
  <c r="AM83" i="1"/>
  <c r="AK83" i="1"/>
  <c r="AJ83" i="1"/>
  <c r="AM82" i="1"/>
  <c r="AK82" i="1"/>
  <c r="AJ82" i="1"/>
  <c r="AM81" i="1"/>
  <c r="AK81" i="1"/>
  <c r="AJ81" i="1"/>
  <c r="AM80" i="1"/>
  <c r="AK80" i="1"/>
  <c r="AJ80" i="1"/>
  <c r="AM79" i="1"/>
  <c r="AJ79" i="1"/>
  <c r="AM78" i="1"/>
  <c r="AK78" i="1"/>
  <c r="AJ78" i="1"/>
  <c r="AM77" i="1"/>
  <c r="AJ77" i="1"/>
  <c r="AM76" i="1"/>
  <c r="AM75" i="1"/>
  <c r="AM74" i="1"/>
  <c r="AM73" i="1"/>
  <c r="AK73" i="1"/>
  <c r="AJ73" i="1"/>
  <c r="AM72" i="1"/>
  <c r="AJ72" i="1"/>
  <c r="AM71" i="1"/>
  <c r="AJ71" i="1"/>
  <c r="AM70" i="1"/>
  <c r="AK70" i="1"/>
  <c r="AJ70" i="1"/>
  <c r="AM69" i="1"/>
  <c r="AJ69" i="1"/>
  <c r="AM68" i="1"/>
  <c r="AM67" i="1"/>
  <c r="AJ67" i="1"/>
  <c r="AM66" i="1"/>
  <c r="AM65" i="1"/>
  <c r="AK65" i="1"/>
  <c r="AJ65" i="1"/>
  <c r="AM64" i="1"/>
  <c r="AM63" i="1"/>
  <c r="AJ63" i="1"/>
  <c r="AM62" i="1"/>
  <c r="AJ62" i="1"/>
  <c r="AM61" i="1"/>
  <c r="AK61" i="1"/>
  <c r="AJ61" i="1"/>
  <c r="AM60" i="1"/>
  <c r="AK60" i="1"/>
  <c r="AJ60" i="1"/>
  <c r="AM59" i="1"/>
  <c r="AM57" i="1"/>
  <c r="AK57" i="1"/>
  <c r="AJ57" i="1"/>
  <c r="AM56" i="1"/>
  <c r="AM55" i="1"/>
  <c r="AM54" i="1"/>
  <c r="AM53" i="1"/>
  <c r="AJ53" i="1"/>
  <c r="AM52" i="1"/>
  <c r="AK52" i="1"/>
  <c r="AJ52" i="1"/>
  <c r="AM51" i="1"/>
  <c r="AM50" i="1"/>
  <c r="AM49" i="1"/>
  <c r="AJ49" i="1"/>
  <c r="AM48" i="1"/>
  <c r="AM47" i="1"/>
  <c r="AK47" i="1"/>
  <c r="AJ47" i="1"/>
  <c r="AM46" i="1"/>
  <c r="AK46" i="1"/>
  <c r="AJ46" i="1"/>
  <c r="AM45" i="1"/>
  <c r="AJ45" i="1"/>
  <c r="AM44" i="1"/>
  <c r="AK44" i="1"/>
  <c r="AJ44" i="1"/>
  <c r="AM43" i="1"/>
  <c r="AK43" i="1"/>
  <c r="AJ43" i="1"/>
  <c r="AM42" i="1"/>
  <c r="AM41" i="1"/>
  <c r="AJ41" i="1"/>
  <c r="AM40" i="1"/>
  <c r="AM39" i="1"/>
  <c r="AM38" i="1"/>
  <c r="AK38" i="1"/>
  <c r="AJ38" i="1"/>
  <c r="AM37" i="1"/>
  <c r="AM36" i="1"/>
  <c r="AM35" i="1"/>
  <c r="AK35" i="1"/>
  <c r="AJ35" i="1"/>
  <c r="AM34" i="1"/>
  <c r="AM33" i="1"/>
  <c r="AM32" i="1"/>
  <c r="AM31" i="1"/>
  <c r="AM30" i="1"/>
  <c r="AM29" i="1"/>
  <c r="AM28" i="1"/>
  <c r="AM27" i="1"/>
  <c r="AM26" i="1"/>
  <c r="AM25" i="1"/>
  <c r="AM24" i="1"/>
  <c r="AM23" i="1"/>
  <c r="AM22" i="1"/>
  <c r="AM21" i="1"/>
  <c r="AM20" i="1"/>
  <c r="AM19" i="1"/>
  <c r="AM17" i="1"/>
  <c r="AM16" i="1"/>
  <c r="AM15" i="1"/>
  <c r="AM14" i="1"/>
  <c r="AM13" i="1"/>
  <c r="AM12" i="1"/>
  <c r="AM11" i="1"/>
  <c r="AM10" i="1"/>
  <c r="AM9" i="1"/>
  <c r="AM8" i="1"/>
  <c r="AM7" i="1"/>
  <c r="AM6" i="1"/>
  <c r="AM5" i="1"/>
  <c r="AM4" i="1"/>
  <c r="AM3" i="1"/>
  <c r="AM2" i="1"/>
</calcChain>
</file>

<file path=xl/sharedStrings.xml><?xml version="1.0" encoding="utf-8"?>
<sst xmlns="http://schemas.openxmlformats.org/spreadsheetml/2006/main" count="1412" uniqueCount="780">
  <si>
    <t>Identifiant</t>
  </si>
  <si>
    <t>NOM Prénom</t>
  </si>
  <si>
    <t>Sexe</t>
  </si>
  <si>
    <t>DDN</t>
  </si>
  <si>
    <t>Age</t>
  </si>
  <si>
    <t>Dx avant PSG</t>
  </si>
  <si>
    <t>categorie_patient</t>
  </si>
  <si>
    <t>Dx après PSG</t>
  </si>
  <si>
    <t>Commentaire</t>
  </si>
  <si>
    <t>Date PSG</t>
  </si>
  <si>
    <t>TTT psy PSG</t>
  </si>
  <si>
    <t>Antidép pdt PSG</t>
  </si>
  <si>
    <t>Thymie</t>
  </si>
  <si>
    <t>IRM</t>
  </si>
  <si>
    <t>DatScan</t>
  </si>
  <si>
    <t>TILE : LE</t>
  </si>
  <si>
    <t>TILE : SOREM</t>
  </si>
  <si>
    <t>HLA</t>
  </si>
  <si>
    <t>Hypocrétine (pg/ml)</t>
  </si>
  <si>
    <t>IAH</t>
  </si>
  <si>
    <t>SAS ?</t>
  </si>
  <si>
    <t>temps de REM (min)</t>
  </si>
  <si>
    <t>proportion de REM sur sommeil total (%)</t>
  </si>
  <si>
    <t>temps de sommeil total (min)</t>
  </si>
  <si>
    <t>Latence de REM (min)</t>
  </si>
  <si>
    <t>% N1</t>
  </si>
  <si>
    <t>%N2</t>
  </si>
  <si>
    <t>%N3</t>
  </si>
  <si>
    <t>Index microéveils</t>
  </si>
  <si>
    <t>Index d'efficacité en N1</t>
  </si>
  <si>
    <t>Nombre d'épisodes RDB</t>
  </si>
  <si>
    <t>Antidépresseurs pendant PSG</t>
  </si>
  <si>
    <t>Durée RBD (min)</t>
  </si>
  <si>
    <t>Electrodes</t>
  </si>
  <si>
    <t>Extrait/entier</t>
  </si>
  <si>
    <t>IAH REM (nb/h)</t>
  </si>
  <si>
    <t>IAH REM (s)</t>
  </si>
  <si>
    <t>Indication PSG</t>
  </si>
  <si>
    <t>Indice sévérité RBD</t>
  </si>
  <si>
    <t>IB1</t>
  </si>
  <si>
    <t xml:space="preserve">Ibarki Mohamed </t>
  </si>
  <si>
    <t>H</t>
  </si>
  <si>
    <t>01/01/1954</t>
  </si>
  <si>
    <t>PARK</t>
  </si>
  <si>
    <t>syn_patients</t>
  </si>
  <si>
    <t>19/11/2020</t>
  </si>
  <si>
    <t xml:space="preserve">SAOS léger sans ttt </t>
  </si>
  <si>
    <t>extrait</t>
  </si>
  <si>
    <t>Recherche de SAS chez un patient obèse avec Maladie de Parkinson</t>
  </si>
  <si>
    <t>HA6</t>
  </si>
  <si>
    <t>Hachchadi Abdesslam</t>
  </si>
  <si>
    <t>01/01/1949</t>
  </si>
  <si>
    <t>08/07/2021</t>
  </si>
  <si>
    <t>SAOS sévère sous PPC</t>
  </si>
  <si>
    <t>Recherche de SAS chez un patient présentant une maladie de Parkinson.</t>
  </si>
  <si>
    <t>GF7</t>
  </si>
  <si>
    <t>Garoby Fernand</t>
  </si>
  <si>
    <t>07/11/1952</t>
  </si>
  <si>
    <t>AMS-P</t>
  </si>
  <si>
    <t>12/05/2021</t>
  </si>
  <si>
    <t>discret hypo-signal T2 de la partie postéro-latérale du noyau lenticulaire avec un aspect d'IRM compatible avec une AMS de type P.</t>
  </si>
  <si>
    <t>SAS modéré</t>
  </si>
  <si>
    <t xml:space="preserve">extrait </t>
  </si>
  <si>
    <t>recherche SAOS et argument pour TCSP chez patient présentant syndrome parkinsonien atypique</t>
  </si>
  <si>
    <t>GMT9</t>
  </si>
  <si>
    <t>Girault Marie-Thérèse</t>
  </si>
  <si>
    <t>F</t>
  </si>
  <si>
    <t>04/09/1940</t>
  </si>
  <si>
    <t>initialement pas de Dx posé d'AMS-P</t>
  </si>
  <si>
    <t>02/09/2021</t>
  </si>
  <si>
    <t xml:space="preserve"> atrophie cortico-sous-corticale diffuse peu spécifique. </t>
  </si>
  <si>
    <t>hypofixation biputaminale.</t>
  </si>
  <si>
    <t>absence</t>
  </si>
  <si>
    <t xml:space="preserve">recherche SAS ou TCSP dans cadre bilan alphasynucléinopathie </t>
  </si>
  <si>
    <t>DF13</t>
  </si>
  <si>
    <t>Domon Fabrice</t>
  </si>
  <si>
    <t>05/06/1962</t>
  </si>
  <si>
    <t>25/08/2022</t>
  </si>
  <si>
    <t>bilan de troubles du sommeil dans le cadre d'une AMS de type P</t>
  </si>
  <si>
    <t>MG16</t>
  </si>
  <si>
    <t>Marre Gilles</t>
  </si>
  <si>
    <t>18/03/1958</t>
  </si>
  <si>
    <t>tcsp_patients</t>
  </si>
  <si>
    <t>24/04/2022</t>
  </si>
  <si>
    <t>SAOS léger sans ttt</t>
  </si>
  <si>
    <t xml:space="preserve">Fp1, Fp2, C3, C4, T3, T4, O1, O2, A1, Menton, VTH, VAB, RONF, F3, F4, Cz, F7, F8, T5, P3, Pz, P4, T6, JAMBD, THERM </t>
  </si>
  <si>
    <t>entier</t>
  </si>
  <si>
    <t>SA19</t>
  </si>
  <si>
    <t>Subra Alain</t>
  </si>
  <si>
    <t>19/11/1955</t>
  </si>
  <si>
    <t>16/06/2022</t>
  </si>
  <si>
    <t>recherche troubles du sommeil dans le cadre AMS type P</t>
  </si>
  <si>
    <t>RDJS20</t>
  </si>
  <si>
    <t>Robalhino De Jesus Serafim</t>
  </si>
  <si>
    <t>02/12/1955</t>
  </si>
  <si>
    <t>30/06/2022</t>
  </si>
  <si>
    <t>Venlafaxine</t>
  </si>
  <si>
    <t>bilan de troubles du sommeil chez patient présentant AMS-P</t>
  </si>
  <si>
    <t>MJJ22</t>
  </si>
  <si>
    <t xml:space="preserve">Martinez Jean Jacques </t>
  </si>
  <si>
    <t>16/04/1954</t>
  </si>
  <si>
    <t>TCSP</t>
  </si>
  <si>
    <t>dysautonomie</t>
  </si>
  <si>
    <t>30/08/2022</t>
  </si>
  <si>
    <t>Sertraline, Bromazépam</t>
  </si>
  <si>
    <t>dénervation dopaminergique prédominant à gauche</t>
  </si>
  <si>
    <t>suspicion de TCSP</t>
  </si>
  <si>
    <t>FI23</t>
  </si>
  <si>
    <t xml:space="preserve">Falguieres Isabelle </t>
  </si>
  <si>
    <t>28/01/1966</t>
  </si>
  <si>
    <t xml:space="preserve"> sd parkinsonien atypique + dysautonomie</t>
  </si>
  <si>
    <t>08/09/2022</t>
  </si>
  <si>
    <t>Duloxétine, Rivotril, Tramadol</t>
  </si>
  <si>
    <t>SAS mixte à prédominance centrale avec une respiration de Cheyne Stokes</t>
  </si>
  <si>
    <t>SA24</t>
  </si>
  <si>
    <t>Schwebel Antoine</t>
  </si>
  <si>
    <t>17/05/1957</t>
  </si>
  <si>
    <t>pas d'investigation</t>
  </si>
  <si>
    <t>20/10/2022</t>
  </si>
  <si>
    <t>FC25</t>
  </si>
  <si>
    <t>Fourestie Claude</t>
  </si>
  <si>
    <t>26/01/1947</t>
  </si>
  <si>
    <t>DCL</t>
  </si>
  <si>
    <t>Epilepsie focale séquellaire d'un hématome frontal sur TVC en 2011</t>
  </si>
  <si>
    <t>Trileptal, Vimpat</t>
  </si>
  <si>
    <t>saignement frontaux gauche en lien avec sa thrombose veineuse cérébrale retrouve juste une atrophie cortico-sous-corticale assez diffuse.</t>
  </si>
  <si>
    <t xml:space="preserve">recherche TCSP chez patient épileptique présentant troubles cognitifs </t>
  </si>
  <si>
    <t>MN26</t>
  </si>
  <si>
    <t>Maladi Nathan</t>
  </si>
  <si>
    <t>07/06/2005</t>
  </si>
  <si>
    <t xml:space="preserve">narco </t>
  </si>
  <si>
    <t>narco_patients</t>
  </si>
  <si>
    <t>23/11/2022</t>
  </si>
  <si>
    <t>2.4</t>
  </si>
  <si>
    <t>+</t>
  </si>
  <si>
    <t xml:space="preserve">Suspicion de narcolepsie </t>
  </si>
  <si>
    <t>MA27</t>
  </si>
  <si>
    <t>Mane Alain</t>
  </si>
  <si>
    <t>01/03/1951</t>
  </si>
  <si>
    <t>possible MPI</t>
  </si>
  <si>
    <t>24/11/2022</t>
  </si>
  <si>
    <t xml:space="preserve">sd dépressif sans ttt </t>
  </si>
  <si>
    <t>séquelle ischémique</t>
  </si>
  <si>
    <t>atteinte des voies dopaminergiques pré-synaptiques prédominant au niveau des putamens discrète asymétrique avec une hypofixation prédominant à droite.</t>
  </si>
  <si>
    <t xml:space="preserve">SAOS sous PPC </t>
  </si>
  <si>
    <t xml:space="preserve">entier </t>
  </si>
  <si>
    <t>recherche TCSP</t>
  </si>
  <si>
    <t>CD28</t>
  </si>
  <si>
    <t xml:space="preserve">Calamatianos Denis </t>
  </si>
  <si>
    <t>09/10/1956</t>
  </si>
  <si>
    <t xml:space="preserve"> possible dysautonomie sympathique mais également en lien avec une possible hypovolémie, et une probable dysautonomie parasympathique débutante,</t>
  </si>
  <si>
    <t>06/12/2022</t>
  </si>
  <si>
    <t xml:space="preserve"> atrophie corticale globale marquée sur les lobes temporaux peut-être un peu plus à gauche,</t>
  </si>
  <si>
    <t xml:space="preserve"> hypofixation putaminale modérée</t>
  </si>
  <si>
    <t>Fp1, Fp2, C3, C4, T3, T4, O1, O2, A1, Menton, VTH, VAB, THERM, RONF, JAMBG, JAMBD, Cz, Pz</t>
  </si>
  <si>
    <t xml:space="preserve">suspicion de troubles du comportement en sommeil paradoxal </t>
  </si>
  <si>
    <t>MA38</t>
  </si>
  <si>
    <t>Martin Aurélie</t>
  </si>
  <si>
    <t>nan</t>
  </si>
  <si>
    <t>MHTK39</t>
  </si>
  <si>
    <t>M Ze Hamadi Toure Khadija</t>
  </si>
  <si>
    <t>03/12/2011</t>
  </si>
  <si>
    <t>08/12/2022</t>
  </si>
  <si>
    <t>normale</t>
  </si>
  <si>
    <t>0.75</t>
  </si>
  <si>
    <t xml:space="preserve">suspicion de narcolepsie </t>
  </si>
  <si>
    <t>LJ41</t>
  </si>
  <si>
    <t xml:space="preserve">Larroque Jodie </t>
  </si>
  <si>
    <t>03/05/1989</t>
  </si>
  <si>
    <t>narco</t>
  </si>
  <si>
    <t>2021 : PSG sous Ritaline</t>
  </si>
  <si>
    <t>Ritaline</t>
  </si>
  <si>
    <t>2.6 (2013)</t>
  </si>
  <si>
    <t>3 (2013)</t>
  </si>
  <si>
    <t>SAOS sévère</t>
  </si>
  <si>
    <t>réévaluation fragmentation nocturne chez patiente narcoleptique</t>
  </si>
  <si>
    <t>RJ42</t>
  </si>
  <si>
    <t>Rassineux Jules</t>
  </si>
  <si>
    <t>28/10/2012</t>
  </si>
  <si>
    <t>anxieux</t>
  </si>
  <si>
    <t>4.25</t>
  </si>
  <si>
    <t>suspicion naroclepsie</t>
  </si>
  <si>
    <t>NAL43</t>
  </si>
  <si>
    <t>Ntsono Alimato Lyndsee</t>
  </si>
  <si>
    <t>02/02/1999</t>
  </si>
  <si>
    <t>28/11/2019</t>
  </si>
  <si>
    <t>0.20</t>
  </si>
  <si>
    <t>suspicion de narcolepsie avec cataplexie</t>
  </si>
  <si>
    <t>BDRE44</t>
  </si>
  <si>
    <t>Barros Da rocha  Elizabeth</t>
  </si>
  <si>
    <t>20/11/2000</t>
  </si>
  <si>
    <t>Concerta</t>
  </si>
  <si>
    <t xml:space="preserve">réévaluation d'une narcolepsie </t>
  </si>
  <si>
    <t>FP52</t>
  </si>
  <si>
    <t xml:space="preserve">Ferraguti  Philippe </t>
  </si>
  <si>
    <t>19/08/1961</t>
  </si>
  <si>
    <t>TCSP-EREMAD</t>
  </si>
  <si>
    <t>EREMAD</t>
  </si>
  <si>
    <t>sd dépressif sans ttt</t>
  </si>
  <si>
    <t xml:space="preserve">résiduel sous PPC </t>
  </si>
  <si>
    <t>Fp1, F7, F3, T3, C3, T5, P3, O1, F9, T9, P9, Fpz, Cz, Oz, Fp2, F8, F4, T4, C4, T6, P4, O2, F10, T10, P10, Fz, Pz, THERM, RONF, VTH, VAB, Menton, JAMBD, JAMBG</t>
  </si>
  <si>
    <t>CJP53</t>
  </si>
  <si>
    <t>Castres Jean-Pierre</t>
  </si>
  <si>
    <t>22/03/1951</t>
  </si>
  <si>
    <t>08/11/2022</t>
  </si>
  <si>
    <t xml:space="preserve"> hypofixation putaminale gauche.</t>
  </si>
  <si>
    <t>GG58</t>
  </si>
  <si>
    <t xml:space="preserve">Gresser Gérard </t>
  </si>
  <si>
    <t>11/10/1943</t>
  </si>
  <si>
    <t>dysautonomie et sd dépressif ?</t>
  </si>
  <si>
    <t>13/10/2022</t>
  </si>
  <si>
    <t>sd dépressif sans ttt pendant PSG</t>
  </si>
  <si>
    <t xml:space="preserve">leucopathie vasculo-dégénérative Fazekas 3. Sans autre anomalie. </t>
  </si>
  <si>
    <t xml:space="preserve">atteinte des voies dopaminergiques présynaptiques putaminales </t>
  </si>
  <si>
    <t>suspicion TCSP chez patient suivi pour dysautonomie</t>
  </si>
  <si>
    <t>Berteau François</t>
  </si>
  <si>
    <t>AMS-C</t>
  </si>
  <si>
    <t xml:space="preserve">absence </t>
  </si>
  <si>
    <t>BO60</t>
  </si>
  <si>
    <t>Boyer Olivier</t>
  </si>
  <si>
    <t>04/08/1964</t>
  </si>
  <si>
    <t>09/12/2021</t>
  </si>
  <si>
    <t>LYRICA, MELATONINE 3mg</t>
  </si>
  <si>
    <t xml:space="preserve">Fp1, Fp2, C3, C4, T3, T4, O1, O2, A1, Menton, VTH, VAB, THERM, RONF, JAMBG, JAMBD, Cz, Pz </t>
  </si>
  <si>
    <t>recherche de troubles du sommeil dans le cadre d'une AMP de type P</t>
  </si>
  <si>
    <t>CS68</t>
  </si>
  <si>
    <t xml:space="preserve">Curvale Sylvie </t>
  </si>
  <si>
    <t>09/06/1964</t>
  </si>
  <si>
    <t>27/06/2019</t>
  </si>
  <si>
    <t>GC76</t>
  </si>
  <si>
    <t>Gay Cecile</t>
  </si>
  <si>
    <t>08/06/1949</t>
  </si>
  <si>
    <t>22/08/2019</t>
  </si>
  <si>
    <t>basse</t>
  </si>
  <si>
    <t xml:space="preserve">SAOS sévère </t>
  </si>
  <si>
    <t>recherche troubles sommeil associés à atrophie multisystématisée type C</t>
  </si>
  <si>
    <t>GE79</t>
  </si>
  <si>
    <t>Grauwin Eric</t>
  </si>
  <si>
    <t>25/08/1960</t>
  </si>
  <si>
    <t>09/10/2018</t>
  </si>
  <si>
    <t>Mélatonine</t>
  </si>
  <si>
    <t>IM83</t>
  </si>
  <si>
    <t>Icart Michel</t>
  </si>
  <si>
    <t>18/04/1959</t>
  </si>
  <si>
    <t>18/04/2019</t>
  </si>
  <si>
    <t>bilan de troubles du sommeil dans le cadre d'une possible AMS</t>
  </si>
  <si>
    <t>LCM89</t>
  </si>
  <si>
    <t>Lajus-cossou Marcel</t>
  </si>
  <si>
    <t>07/05/1944</t>
  </si>
  <si>
    <t>18/12/2014</t>
  </si>
  <si>
    <t>LY90</t>
  </si>
  <si>
    <t>Lesage Yvonnick</t>
  </si>
  <si>
    <t>02/04/1967</t>
  </si>
  <si>
    <t>10/05/2017</t>
  </si>
  <si>
    <t>SJC98</t>
  </si>
  <si>
    <t>Sarralie Jean Claude</t>
  </si>
  <si>
    <t>23/10/1951</t>
  </si>
  <si>
    <t>07/03/2018</t>
  </si>
  <si>
    <t>SAS sévère avec composante centrale et respiration de Cheyne-Stokes associée.</t>
  </si>
  <si>
    <t>SE99</t>
  </si>
  <si>
    <t>Scomparin Eliane</t>
  </si>
  <si>
    <t>24/10/1952</t>
  </si>
  <si>
    <t>15/06/2015</t>
  </si>
  <si>
    <t>Fluoxétine</t>
  </si>
  <si>
    <t xml:space="preserve">SAS modéré </t>
  </si>
  <si>
    <t>RB103</t>
  </si>
  <si>
    <t>Reliat Benjamin</t>
  </si>
  <si>
    <t>02/06/1985</t>
  </si>
  <si>
    <t>08/02/2023</t>
  </si>
  <si>
    <t>Modiodal</t>
  </si>
  <si>
    <t>2m30</t>
  </si>
  <si>
    <t>recherche SAS chez patient suivi pour narcolepsie type 1</t>
  </si>
  <si>
    <t>GS105</t>
  </si>
  <si>
    <t>Gaillardou Serge</t>
  </si>
  <si>
    <t>10/04/1959</t>
  </si>
  <si>
    <t>08/10/2023</t>
  </si>
  <si>
    <t>normal</t>
  </si>
  <si>
    <t>GR108</t>
  </si>
  <si>
    <t xml:space="preserve">Gely Robert </t>
  </si>
  <si>
    <t>22/02/1951</t>
  </si>
  <si>
    <t>TCSP? EPILEPSIE</t>
  </si>
  <si>
    <t xml:space="preserve">épilepsie focale morphéique (1er EEG en clinique retrouvant un ralentissement frontotemporal gauche), </t>
  </si>
  <si>
    <t>27/08/2021</t>
  </si>
  <si>
    <t>Sertraline, Vimpat</t>
  </si>
  <si>
    <t>sd dépressif</t>
  </si>
  <si>
    <t>en attente</t>
  </si>
  <si>
    <t>recherche crise infraclinique et SAS chez patient présentant épilepsie partielle morphéique avec persistance troubles mnésiques</t>
  </si>
  <si>
    <t>MM109</t>
  </si>
  <si>
    <t>Mahfoufi Mehenna</t>
  </si>
  <si>
    <t>14/08/1944</t>
  </si>
  <si>
    <t>06/04/2023</t>
  </si>
  <si>
    <t>SAS léger-sous PPC</t>
  </si>
  <si>
    <t>DA110</t>
  </si>
  <si>
    <t>Darsel Alain</t>
  </si>
  <si>
    <t>22/10/1941</t>
  </si>
  <si>
    <t>14/04/2023</t>
  </si>
  <si>
    <t>Temesta si besoin</t>
  </si>
  <si>
    <t>non réalisé</t>
  </si>
  <si>
    <t>GX111</t>
  </si>
  <si>
    <t>GALEOTE XAVIER</t>
  </si>
  <si>
    <t>04/03/1972</t>
  </si>
  <si>
    <t>dysautonomie vésicosphinctérienne et cardiovasculaire sévère</t>
  </si>
  <si>
    <t>11/01/2023</t>
  </si>
  <si>
    <t>DSJ112</t>
  </si>
  <si>
    <t>Dos santos José</t>
  </si>
  <si>
    <t>03/02/1963</t>
  </si>
  <si>
    <t>15/06/2023</t>
  </si>
  <si>
    <t>ESCITALOPRAM, OXOMEMAZINE</t>
  </si>
  <si>
    <t>sd anxiodépressif</t>
  </si>
  <si>
    <t>SAOS léger-sous PPC</t>
  </si>
  <si>
    <t xml:space="preserve">recherche de troubles du comportement en sommeil paradoxal devant une plainte cognitive </t>
  </si>
  <si>
    <t>KH113</t>
  </si>
  <si>
    <t>Khadhraoui Hatem</t>
  </si>
  <si>
    <t>30/06/1972</t>
  </si>
  <si>
    <t>EAI</t>
  </si>
  <si>
    <t>autres_patients</t>
  </si>
  <si>
    <t>EAI à anticorps atypiques (immunofluorescence atypique sans anticorps retrouvé) avec épilepsie partielle secondaire depuis 2022</t>
  </si>
  <si>
    <t>13/03/2023</t>
  </si>
  <si>
    <t>Lamotrigine</t>
  </si>
  <si>
    <t>Anomalie septo-apicale qui semble plutôt être d'origine artéfactuelle. On est par compte très circonspect pour le territoire latéral avec cette réversibilité qui intéresse tout le territoire et qui même d'intensité moyenne, plaide en faveur d'une atteinte de la circonflexe proximale.</t>
  </si>
  <si>
    <t>SAOS modéré</t>
  </si>
  <si>
    <t>BB114</t>
  </si>
  <si>
    <t>Baud Béatrice</t>
  </si>
  <si>
    <t>19/02/1964</t>
  </si>
  <si>
    <t>27/04/2023</t>
  </si>
  <si>
    <t>Atarax et Mélatonine</t>
  </si>
  <si>
    <t>SAOS sévère sans ttt</t>
  </si>
  <si>
    <t xml:space="preserve">suspicion d'atrophie multisystématisée </t>
  </si>
  <si>
    <t>BMF115</t>
  </si>
  <si>
    <t>BOILLON MARIE-FRANCOISE</t>
  </si>
  <si>
    <t>22/05/1954</t>
  </si>
  <si>
    <t>28/04/2023</t>
  </si>
  <si>
    <t>Seroplex</t>
  </si>
  <si>
    <t xml:space="preserve">réévalusation SAOS léger </t>
  </si>
  <si>
    <t>KG117</t>
  </si>
  <si>
    <t>KABA Gnama</t>
  </si>
  <si>
    <t>17/09/2008</t>
  </si>
  <si>
    <t>03/06/2023</t>
  </si>
  <si>
    <t xml:space="preserve">SAOS léger enfant </t>
  </si>
  <si>
    <t>recherche SAOS dans contexte obésité et diabète type 2</t>
  </si>
  <si>
    <t>DLL119</t>
  </si>
  <si>
    <t xml:space="preserve">DE LUCCHI LANDRY </t>
  </si>
  <si>
    <t>20/07/1972</t>
  </si>
  <si>
    <t>26/08/2023</t>
  </si>
  <si>
    <t>réévaluation SAOS avec OAM</t>
  </si>
  <si>
    <t>CB125</t>
  </si>
  <si>
    <t>CHENGUIT Boutaina</t>
  </si>
  <si>
    <t>08/11/2003</t>
  </si>
  <si>
    <t>07/11/2023</t>
  </si>
  <si>
    <t>0.8</t>
  </si>
  <si>
    <t>&lt;10</t>
  </si>
  <si>
    <t>SAOS léger-sans ttt</t>
  </si>
  <si>
    <t xml:space="preserve">bilan d'hypersomnie </t>
  </si>
  <si>
    <t>LF126</t>
  </si>
  <si>
    <t>Lelarge François</t>
  </si>
  <si>
    <t>03/11/1971</t>
  </si>
  <si>
    <t>08/04/2023</t>
  </si>
  <si>
    <t xml:space="preserve">antalgie de pallier 3 (OXYCONTIN LP, OXYNORMORO), GABAPENTINE, TRANXENE, ATARAX,  MELATONINE 1 mg </t>
  </si>
  <si>
    <t>SAS sévère à prédominance centrale</t>
  </si>
  <si>
    <t>recherche SAOS</t>
  </si>
  <si>
    <t>TJ127</t>
  </si>
  <si>
    <t>Tourriol Jean</t>
  </si>
  <si>
    <t>13/10/1950</t>
  </si>
  <si>
    <t>EAI-LGI1</t>
  </si>
  <si>
    <t>22/04/2022</t>
  </si>
  <si>
    <t>Keppra et Depakine</t>
  </si>
  <si>
    <t>atrophie hippocampique et temporo-polaire bilatérale.</t>
  </si>
  <si>
    <t>SAOS sévère indication ttt</t>
  </si>
  <si>
    <t>EAI à Ac anti-LGl1</t>
  </si>
  <si>
    <t>MS128</t>
  </si>
  <si>
    <t>MODOLO Suzanne</t>
  </si>
  <si>
    <t>18/08/1942</t>
  </si>
  <si>
    <t xml:space="preserve">pure Autonomic failure </t>
  </si>
  <si>
    <t>24/08/2023</t>
  </si>
  <si>
    <t xml:space="preserve">recherche de TCSP chez patiente avec pure autonomic failure </t>
  </si>
  <si>
    <t>AE129</t>
  </si>
  <si>
    <t xml:space="preserve">Abramyan Edith </t>
  </si>
  <si>
    <t>05/12/2011</t>
  </si>
  <si>
    <t>22/11/2023</t>
  </si>
  <si>
    <t>EF130</t>
  </si>
  <si>
    <t>Esteves Fernand</t>
  </si>
  <si>
    <t>30/01/1961</t>
  </si>
  <si>
    <t>29/11/2023</t>
  </si>
  <si>
    <t>Escitalopram</t>
  </si>
  <si>
    <t>absence SAOS sous PPC</t>
  </si>
  <si>
    <t>somnolence résiduelle sous PPC</t>
  </si>
  <si>
    <t>CS131</t>
  </si>
  <si>
    <t>Chereau Simon</t>
  </si>
  <si>
    <t>20/04/1982</t>
  </si>
  <si>
    <t xml:space="preserve"> TCSP pointes-ondes </t>
  </si>
  <si>
    <t>30/11/2023</t>
  </si>
  <si>
    <t>Sertraline</t>
  </si>
  <si>
    <t>EDC</t>
  </si>
  <si>
    <t xml:space="preserve">SAOS modéré </t>
  </si>
  <si>
    <t xml:space="preserve">recherche SAOS devant ronflements, nycturie et plainte de somnolence diurne </t>
  </si>
  <si>
    <t>MRM132</t>
  </si>
  <si>
    <t xml:space="preserve">Molina Rose-Marie </t>
  </si>
  <si>
    <t>TCSP- SAS appareillé depuis 2018</t>
  </si>
  <si>
    <t>28/09/2024</t>
  </si>
  <si>
    <t>sans particularité</t>
  </si>
  <si>
    <t xml:space="preserve"> dénervation dopaminergique modérée présynaptique putaminale à gauche</t>
  </si>
  <si>
    <t>suspicion TCSP chez patiente sans antécédent neurologique + appareillée par PPC pour SAOS sévère</t>
  </si>
  <si>
    <t>PF133</t>
  </si>
  <si>
    <t>Prouha Frédéric</t>
  </si>
  <si>
    <t>19/07/1967</t>
  </si>
  <si>
    <t>plainte attentionnelle</t>
  </si>
  <si>
    <t>08/12/2023</t>
  </si>
  <si>
    <t>DONORMYL</t>
  </si>
  <si>
    <t>tb thymique / insomnie sous DONORMYL</t>
  </si>
  <si>
    <t>sans particularité hormis kyste arachnoïdien</t>
  </si>
  <si>
    <t>SD134</t>
  </si>
  <si>
    <t xml:space="preserve">Segond Denis </t>
  </si>
  <si>
    <t>08/01/1949</t>
  </si>
  <si>
    <t>TCSP-épilepsie</t>
  </si>
  <si>
    <t>plainte cognitive</t>
  </si>
  <si>
    <t>27/09/2023</t>
  </si>
  <si>
    <t>LAMICTAL (épi)</t>
  </si>
  <si>
    <t>ML135</t>
  </si>
  <si>
    <t xml:space="preserve">Mougica Laurent </t>
  </si>
  <si>
    <t>22/03/1941</t>
  </si>
  <si>
    <t xml:space="preserve">DCL </t>
  </si>
  <si>
    <t>03/10/2023</t>
  </si>
  <si>
    <t>basse pas de Dx d'EDC</t>
  </si>
  <si>
    <t>altéré</t>
  </si>
  <si>
    <t>SAOS modéré sous ttt</t>
  </si>
  <si>
    <t>réévaluation SAS appareillé par PPC chez patient suivi pour Maladie à Corps de Lewy</t>
  </si>
  <si>
    <t>DJ137</t>
  </si>
  <si>
    <t xml:space="preserve">Delamare Julie </t>
  </si>
  <si>
    <t>12/03/1984</t>
  </si>
  <si>
    <t>hypersomnie (initialement Dx de HSI puis possible d'origine psychiatrique)</t>
  </si>
  <si>
    <t>13/11/2023</t>
  </si>
  <si>
    <t>tb anxiodépressif</t>
  </si>
  <si>
    <t>BJ138</t>
  </si>
  <si>
    <t>Bascoul Joel</t>
  </si>
  <si>
    <t>06/08/1958</t>
  </si>
  <si>
    <t>ataxie cérébelleuse et une épilepsie séquellaire d’un traumatisme crânien ancien : DCL ?? Pas de Dx posé</t>
  </si>
  <si>
    <t>23/10/2023</t>
  </si>
  <si>
    <t xml:space="preserve"> Multiples séquelles post-traumatiques. Pas d'argument formel pour une AMS de type C.</t>
  </si>
  <si>
    <t>SAS sévère</t>
  </si>
  <si>
    <t xml:space="preserve">recherche de troubles du sommeil (stridor, TCSP) chez un patient avec une ataxie cérébelleuse et une épilepsie séquellaire d'un traumatisme crânien ancien </t>
  </si>
  <si>
    <t>PA139</t>
  </si>
  <si>
    <t>Pensato Antonino</t>
  </si>
  <si>
    <t>19/09/1956</t>
  </si>
  <si>
    <t>10/01/2024</t>
  </si>
  <si>
    <t>Venlafaxine 75mg et Melatonine</t>
  </si>
  <si>
    <t>entier (sauf vidéos)</t>
  </si>
  <si>
    <t>bilan du sommeil chez patient suivi pour AMS type C</t>
  </si>
  <si>
    <t>PJC140</t>
  </si>
  <si>
    <t>Portais Jean Charles</t>
  </si>
  <si>
    <t>25/10/1965</t>
  </si>
  <si>
    <t>25/10/2023</t>
  </si>
  <si>
    <t>SAOS modéré sans ttt</t>
  </si>
  <si>
    <t xml:space="preserve">recherche SAOS </t>
  </si>
  <si>
    <t>JP141</t>
  </si>
  <si>
    <t>Julliat Pascal</t>
  </si>
  <si>
    <t>17/04/1954</t>
  </si>
  <si>
    <t>25/01/2024</t>
  </si>
  <si>
    <t xml:space="preserve">SAS léger </t>
  </si>
  <si>
    <t>recherche de SAS et TCSP dans contexte SDE d'agitation nocturne</t>
  </si>
  <si>
    <t>TM142</t>
  </si>
  <si>
    <t>Tillard Michel</t>
  </si>
  <si>
    <t>16/12/1951</t>
  </si>
  <si>
    <t xml:space="preserve">Dysautonomie liée à une PAF (Pure autonomic failure), évoluent depuis 2008. </t>
  </si>
  <si>
    <t>17/10/2023</t>
  </si>
  <si>
    <t xml:space="preserve"> microbleed isolé de la substance blanche périventriculaire en frontal gauche. Quelques hypersignaux FLAIR / T2 de la substance blanche profonde, restant peu nombreux et aspécifiques.</t>
  </si>
  <si>
    <t>recherche de TCSP chez patient suivi pour dysautonomie</t>
  </si>
  <si>
    <t>MN143</t>
  </si>
  <si>
    <t>Maton Nicolas</t>
  </si>
  <si>
    <t>28/06/1968</t>
  </si>
  <si>
    <t>Syndrome de Moya-Moya</t>
  </si>
  <si>
    <t>15/01/2024</t>
  </si>
  <si>
    <t>recherche SAOS et TCSP</t>
  </si>
  <si>
    <t>FP144</t>
  </si>
  <si>
    <t xml:space="preserve">Fourquet Philippe </t>
  </si>
  <si>
    <t>09/09/1960</t>
  </si>
  <si>
    <t>plainte attentionnelle et cognitive</t>
  </si>
  <si>
    <t>23/11/2023</t>
  </si>
  <si>
    <t>SAOS léger sous PPC</t>
  </si>
  <si>
    <t>TO145</t>
  </si>
  <si>
    <t xml:space="preserve">Tarbouriech Olivier </t>
  </si>
  <si>
    <t>01/08/1968</t>
  </si>
  <si>
    <t>16/01/2024</t>
  </si>
  <si>
    <t>diazépam 5 mg, Escitalopram 20 mg et Lormétazépam.</t>
  </si>
  <si>
    <t>Phobie sociale / EDC</t>
  </si>
  <si>
    <t>RH146</t>
  </si>
  <si>
    <t xml:space="preserve">RELIQUET Hervé </t>
  </si>
  <si>
    <t>02/02/1960</t>
  </si>
  <si>
    <t>Laroxyl</t>
  </si>
  <si>
    <t xml:space="preserve">basse </t>
  </si>
  <si>
    <t xml:space="preserve"> fonction dopaminergique présynaptique putaminale droite s'inscrivant dans les limites inférieures de la normale.</t>
  </si>
  <si>
    <t xml:space="preserve">SAOS léger sans ttt  </t>
  </si>
  <si>
    <t xml:space="preserve">évaluation agitation nocturne </t>
  </si>
  <si>
    <t>CS147</t>
  </si>
  <si>
    <t>Coudin Sabanina</t>
  </si>
  <si>
    <t>02/04/2007</t>
  </si>
  <si>
    <t xml:space="preserve">SAOS léger </t>
  </si>
  <si>
    <t xml:space="preserve">recherche SAOS dans contexte obésité chez patiente suivie pour narcolepsie </t>
  </si>
  <si>
    <t>RJP148</t>
  </si>
  <si>
    <t>Rives jean-philippe</t>
  </si>
  <si>
    <t>02/08/1947</t>
  </si>
  <si>
    <t>MPI</t>
  </si>
  <si>
    <t>20/03/2024</t>
  </si>
  <si>
    <t>Temesta-Mélatonine</t>
  </si>
  <si>
    <t xml:space="preserve">SAHOS sévère </t>
  </si>
  <si>
    <t xml:space="preserve">recherche TCSP et SAS chez patient suivi pour maladie Parkinson associée à dysautonomie et hallucinations </t>
  </si>
  <si>
    <t>VJ149</t>
  </si>
  <si>
    <t>Vinsonneau Josiane</t>
  </si>
  <si>
    <t>19/12/1957</t>
  </si>
  <si>
    <t>04/04/2024</t>
  </si>
  <si>
    <t>Atteinte des voies dopaminergiques présynaptiques prédominant au niveau des putamens et à droite.</t>
  </si>
  <si>
    <t>Bilan de parasomnie d'intensité croissante depuis plusieurs années chez une patiente traitée par Sertraline 50 mg pour un épisode dépressif caractérisé.</t>
  </si>
  <si>
    <t>MP150</t>
  </si>
  <si>
    <t xml:space="preserve">Madera Pierre </t>
  </si>
  <si>
    <t>29/07/1956</t>
  </si>
  <si>
    <t>06/05/2024</t>
  </si>
  <si>
    <t>CLONAZEPAM et VENLAFAXINE</t>
  </si>
  <si>
    <t>SAHOS léger sans ttt</t>
  </si>
  <si>
    <t>épisodes d'agitation nocturne depuis 2016 chez patient connu pour SAOS moyen appareillé par PPC</t>
  </si>
  <si>
    <t>TM151</t>
  </si>
  <si>
    <t xml:space="preserve">Taudou Michel </t>
  </si>
  <si>
    <t>06/01/1949</t>
  </si>
  <si>
    <t>05/03/2024</t>
  </si>
  <si>
    <t>Sertraline et mélatonine</t>
  </si>
  <si>
    <t>SAHOS modéré</t>
  </si>
  <si>
    <t>recherche SAS chez patient suivi pour maladie Parkinson et présentant somnolence diurne, ronchopathie et pauses respiratoires</t>
  </si>
  <si>
    <t>BA152</t>
  </si>
  <si>
    <t>Barrau Anne</t>
  </si>
  <si>
    <t>20/04/1973</t>
  </si>
  <si>
    <t>24/10/2023</t>
  </si>
  <si>
    <t xml:space="preserve">dépistage de TCSP / stridor chez une patiente suivie pour une AMS de type parkinsonien sévère </t>
  </si>
  <si>
    <t>PJL153</t>
  </si>
  <si>
    <t>Pintar Jean-Louis</t>
  </si>
  <si>
    <t>10/05/1973</t>
  </si>
  <si>
    <t>26/02/2024</t>
  </si>
  <si>
    <t>Agitation nocturne</t>
  </si>
  <si>
    <t>MC154</t>
  </si>
  <si>
    <t>Moreno charles</t>
  </si>
  <si>
    <t>23/09/1936</t>
  </si>
  <si>
    <t>22/05/2024</t>
  </si>
  <si>
    <t>SAOS bien corrigé sous PPC</t>
  </si>
  <si>
    <t>recherche de parasomnie chez patient traité par PPC pour SAHOS sévère</t>
  </si>
  <si>
    <t>CP155</t>
  </si>
  <si>
    <t xml:space="preserve">Clastres pierre </t>
  </si>
  <si>
    <t>27/01/1949</t>
  </si>
  <si>
    <t>21/05/2024</t>
  </si>
  <si>
    <t>Recherche de SAS et parasomnie chez un patient présentant une somnolence diurne excessive associée à des agitations nocturnes.</t>
  </si>
  <si>
    <t>RG156</t>
  </si>
  <si>
    <t xml:space="preserve">Rozes Guy </t>
  </si>
  <si>
    <t>15/06/1942</t>
  </si>
  <si>
    <t>27/02/2024</t>
  </si>
  <si>
    <t xml:space="preserve">exploration de parasomnie chez patient suivi pour AMS type P + présentant BPCO </t>
  </si>
  <si>
    <t>NGA157</t>
  </si>
  <si>
    <t>Ngoume Ngangue Georges Alain</t>
  </si>
  <si>
    <t>16/08/1978</t>
  </si>
  <si>
    <t>07/03/2024</t>
  </si>
  <si>
    <t>atrophie cérébelleuse et du tronc cérébral en IRMc</t>
  </si>
  <si>
    <t>dénervation dopaminergique</t>
  </si>
  <si>
    <t>somniloquie, ronflements et nycturie chez patient en cours bilan pour dysautonomie sévère avec suspicion AMS</t>
  </si>
  <si>
    <t>RD158</t>
  </si>
  <si>
    <t>Rousse David</t>
  </si>
  <si>
    <t>03/08/1977</t>
  </si>
  <si>
    <t>24/06/2024</t>
  </si>
  <si>
    <t>atrophie cérébellesue</t>
  </si>
  <si>
    <t xml:space="preserve">Recherche de stridor devant dysphonie laryngée avec bruit inspiratoire nocturne évocateur de stridor chez un patient présentant une ataxie des membres supérieurs, avec antécédent de paraplégie de niveau T5-T6 dans les suites d'un AVP à l'âge de 16 ans. </t>
  </si>
  <si>
    <t>CJL159</t>
  </si>
  <si>
    <t>Castaing Jean Louis</t>
  </si>
  <si>
    <t>22/03/1981</t>
  </si>
  <si>
    <t>EAI anti-CASPR2</t>
  </si>
  <si>
    <t>17/05/2022</t>
  </si>
  <si>
    <t>MFJ160</t>
  </si>
  <si>
    <t>Maltez Fernandez Joao</t>
  </si>
  <si>
    <t>26/08/1960</t>
  </si>
  <si>
    <t>EAI anti-IGLON5</t>
  </si>
  <si>
    <t>OXAZEPAM et MIRTAZAPINE.</t>
  </si>
  <si>
    <t xml:space="preserve">polysomnographie systématique dans le cadre encéphalite auto-immune </t>
  </si>
  <si>
    <t>CM161</t>
  </si>
  <si>
    <t xml:space="preserve">Cassaro Michele </t>
  </si>
  <si>
    <t>17/10/1949</t>
  </si>
  <si>
    <t>06/03/2024</t>
  </si>
  <si>
    <t xml:space="preserve"> Sous Escitalopram et Xanax</t>
  </si>
  <si>
    <t>troubles mnésiques sur la mémoire autobiographique avec oublis d'évènements de vie vécus</t>
  </si>
  <si>
    <t>LS162</t>
  </si>
  <si>
    <t>Lejeune Sylvianne</t>
  </si>
  <si>
    <t>26/08/1956</t>
  </si>
  <si>
    <t>03/04/2024</t>
  </si>
  <si>
    <t>LYSANXIA 15 mg 2 gouttes en si besoin, ESCITALOPRAM 15 mg 2 comprimés le matin,</t>
  </si>
  <si>
    <t>anxiodépressif</t>
  </si>
  <si>
    <t>atrophie hippocampique scheltens 1 bilatérale</t>
  </si>
  <si>
    <t>SAHOS léger</t>
  </si>
  <si>
    <t xml:space="preserve">comportements moteurs nocturnes depuis l'adolescence avec sommeil agité, cris, mouvements brusques chez patiente suivie pour SAOS modéré traité par OAM </t>
  </si>
  <si>
    <t>GH163</t>
  </si>
  <si>
    <t>Got Henri</t>
  </si>
  <si>
    <t>03/05/1951</t>
  </si>
  <si>
    <t>28/05/2024</t>
  </si>
  <si>
    <t>ESCITALOPRAM</t>
  </si>
  <si>
    <t xml:space="preserve">recherche TCSP et SAS chez patient suivi pour AMS type P </t>
  </si>
  <si>
    <t>CD164</t>
  </si>
  <si>
    <t xml:space="preserve">Charrieras Denise </t>
  </si>
  <si>
    <t>19/10/1948</t>
  </si>
  <si>
    <t>02/05/2024</t>
  </si>
  <si>
    <t xml:space="preserve">malaises dans contexte d'athérome carotidien avec retentissement estimé à 30% au niveau carotide interne gauche, anévrisme artère communicante antérieure non rompu, hypothyroïdie et HTA </t>
  </si>
  <si>
    <t>CB165</t>
  </si>
  <si>
    <t xml:space="preserve">Cloarec Benjamin </t>
  </si>
  <si>
    <t>19/10/1995</t>
  </si>
  <si>
    <t xml:space="preserve"> épilepsie focale dans un contexte de maladie de Sturge-Weber-Krabbe</t>
  </si>
  <si>
    <t>absence de SAOS</t>
  </si>
  <si>
    <t>surveillance dans le cadre d'une épilepsie focale dans un contexte de maladie de Sturge-Weber-Krabbe</t>
  </si>
  <si>
    <t>AN166</t>
  </si>
  <si>
    <t>Amiguet Nathalie</t>
  </si>
  <si>
    <t>26/04/1965</t>
  </si>
  <si>
    <t xml:space="preserve"> SEP RR de forme possiblement transitionnelle / Douleurs chroniques</t>
  </si>
  <si>
    <t>25/04/2024</t>
  </si>
  <si>
    <t xml:space="preserve">VENLAFAXINE, OXYCONTIN LP 80 mg 2 x par jour, OXYNORM 20 mg 4 gélules/jour et LYRICA 200 mg 2 x par jour. </t>
  </si>
  <si>
    <t xml:space="preserve">exploration somnolence diurne excessive chez patiente suivie pour SEP RR de forme possiblement transitionnelle </t>
  </si>
  <si>
    <t>HG167</t>
  </si>
  <si>
    <t>Havre Gaelle</t>
  </si>
  <si>
    <t>03/12/1988</t>
  </si>
  <si>
    <t>6m42</t>
  </si>
  <si>
    <t>SAOS léger</t>
  </si>
  <si>
    <t>recherche de SAS chez patiente suivie pour narcolepsie type 1 avec possible TCSP</t>
  </si>
  <si>
    <t>TLM168</t>
  </si>
  <si>
    <t>TOURNIER Luis Miguel</t>
  </si>
  <si>
    <t>02/08/2010</t>
  </si>
  <si>
    <t>16/09/2024</t>
  </si>
  <si>
    <t>6m25</t>
  </si>
  <si>
    <t>positif</t>
  </si>
  <si>
    <t xml:space="preserve">SAHOS léger </t>
  </si>
  <si>
    <t xml:space="preserve">suspicion de narcolepsie chez patient de 14 ans présentant somnolence diurne excessive </t>
  </si>
  <si>
    <t>CA169</t>
  </si>
  <si>
    <t>calmes Anne</t>
  </si>
  <si>
    <t>11/04/1941</t>
  </si>
  <si>
    <t>30/09/2024</t>
  </si>
  <si>
    <t>Mirtazapine et Seresta</t>
  </si>
  <si>
    <t>syndrome anxiodépressif</t>
  </si>
  <si>
    <t xml:space="preserve">SAOS obstructif léger devenant modéré en sommeil paradoxal </t>
  </si>
  <si>
    <t xml:space="preserve">mouvements nocturnes qualifiés de "tremblements" lors des éveils </t>
  </si>
  <si>
    <t>GD170</t>
  </si>
  <si>
    <t>Gaffard Didier</t>
  </si>
  <si>
    <t>25/02/1954</t>
  </si>
  <si>
    <t>plainte cognitive et sd extrapyramidal</t>
  </si>
  <si>
    <t>05/09/2024</t>
  </si>
  <si>
    <t xml:space="preserve">altération dopaminergique bilatérale présynaptique. </t>
  </si>
  <si>
    <t>Recherche de trouble du comportement en sommeil paradoxal chez un patient présentant des troubles cognitifs.</t>
  </si>
  <si>
    <t>BA171</t>
  </si>
  <si>
    <t>Boue Alain</t>
  </si>
  <si>
    <t>15/12/1952</t>
  </si>
  <si>
    <t>22/08/2024</t>
  </si>
  <si>
    <t>recherche de TCSP chez patient suivi pour maladie de Parkinson idiopathique</t>
  </si>
  <si>
    <t>SJP172</t>
  </si>
  <si>
    <t>Sanchez Jean Pierre</t>
  </si>
  <si>
    <t>27/09/1945</t>
  </si>
  <si>
    <t>sd parkinsonien atypique, en faveur tout de même d'une MPI</t>
  </si>
  <si>
    <t>27/05/2024</t>
  </si>
  <si>
    <t>rivotril, sertraline</t>
  </si>
  <si>
    <t>discrète atrophie putaminale droite avec un hyposignal SWI de la partie postérieure, une atrophie cortico-sous-corticale fronto-pariétale à gradient antéropostérieur. Il existe également quelques microbleeds (un thalamique gauche et deux temporal gauche) ainsi que des hypersignaux flair de la substance blanche périventriculaire et profonde, d'allure vasculodégénérative.</t>
  </si>
  <si>
    <t xml:space="preserve"> une atteinte des voies dopaminergiques présynaptiques prédominant au niveau du putamen droit.</t>
  </si>
  <si>
    <t>SAHOS résiduel sous PPC</t>
  </si>
  <si>
    <t>recherche TCSP dans contexte synucléopathie chez patient sous PPC pour SAHOS</t>
  </si>
  <si>
    <t>JB173</t>
  </si>
  <si>
    <t>Jean Bernard</t>
  </si>
  <si>
    <t>18/08/1952</t>
  </si>
  <si>
    <t>EAI LGI1</t>
  </si>
  <si>
    <t>02/09/2024</t>
  </si>
  <si>
    <t>VIMPAT 100 mg matin et soir, ESCITALOPRAM 10 mg le matin</t>
  </si>
  <si>
    <t>bon contrôle du SAOS</t>
  </si>
  <si>
    <t>réévaluation d’une encéphalite auto-immune à anticorps antiLGI1 considérée en rémission et d’un syndrome d’apnées hypopnées du sommeil obstructif appareillé par PPC. Traitement médicamenteux par VIMPAT 100 mg matin et soir, ESCITALOPRAM 10 mg le matin et SYMBICORT.</t>
  </si>
  <si>
    <t>DA174</t>
  </si>
  <si>
    <t>Dahhan Abdelrhani</t>
  </si>
  <si>
    <t>25/12/1953</t>
  </si>
  <si>
    <t>09/09/2024</t>
  </si>
  <si>
    <t>Clonazépam</t>
  </si>
  <si>
    <t>absence SAOS</t>
  </si>
  <si>
    <t>Recherche de SAS chez un patient avec TCSP sous clonazepam</t>
  </si>
  <si>
    <t>CC175</t>
  </si>
  <si>
    <t>Clos christian</t>
  </si>
  <si>
    <t>15/01/1959</t>
  </si>
  <si>
    <t>21/10/2024</t>
  </si>
  <si>
    <t>Recherche de SAS chez un patient présentant une somnolence diurne excessive</t>
  </si>
  <si>
    <t>SB176</t>
  </si>
  <si>
    <t>Simonneau Brigitte</t>
  </si>
  <si>
    <t>10/07/1961</t>
  </si>
  <si>
    <t>12/09/2024</t>
  </si>
  <si>
    <t>Suspicion de troubles du comportement en sommeil paradoxal</t>
  </si>
  <si>
    <t>JLJ177</t>
  </si>
  <si>
    <t>JEAN LOUIS Jacques</t>
  </si>
  <si>
    <t>03/05/1948</t>
  </si>
  <si>
    <t>15/10/2024</t>
  </si>
  <si>
    <t>Plainte de somnolence diurne – Nuit avec OAM</t>
  </si>
  <si>
    <t>SB178</t>
  </si>
  <si>
    <t xml:space="preserve">Sudre Benoit </t>
  </si>
  <si>
    <t>21/02/1948</t>
  </si>
  <si>
    <t>EAI-antiKLHL11</t>
  </si>
  <si>
    <t>30/04/2024</t>
  </si>
  <si>
    <t>ENDOXAN, VERATRAN (Clotiazépam), SERTRALINE, ANDROTARDYL, SERESTA, ZEBINIX.</t>
  </si>
  <si>
    <t>: atrophie majeure des hippocampes sensiblement identique à l'IRM initiale, disparition des hypersignaux FLAIR du pulvinar.</t>
  </si>
  <si>
    <t>Encéphalite auto-immune anticorps anti KLHL11. SAS habituellement traité par OAM</t>
  </si>
  <si>
    <t>IS179</t>
  </si>
  <si>
    <t xml:space="preserve">Irain Samia </t>
  </si>
  <si>
    <t>15/04/1968</t>
  </si>
  <si>
    <t>Crise fonctionnelle dissociative</t>
  </si>
  <si>
    <t>14/03/2024</t>
  </si>
  <si>
    <t>Sertraline / mirtazapine</t>
  </si>
  <si>
    <t>SAOS débutant</t>
  </si>
  <si>
    <t>découverte de manifestations nocturnes au cours du sommeil paradoxal, au cours d’un bilan vidéo-EEG en mai 2023 pour des manifestations non épileptiques. Antécédent de syndrome dépressif. Traitement antidépresseur.</t>
  </si>
  <si>
    <t>AD180</t>
  </si>
  <si>
    <t>Arnould Denis</t>
  </si>
  <si>
    <t>29/04/1969</t>
  </si>
  <si>
    <t>AMS-c</t>
  </si>
  <si>
    <t>03/12/2024</t>
  </si>
  <si>
    <t>possible atrophie multisystématisée de type C. Recherche de stridor, TCSP et SAS</t>
  </si>
  <si>
    <t>BF181</t>
  </si>
  <si>
    <t>16/09/1947</t>
  </si>
  <si>
    <t>25/09/2024</t>
  </si>
  <si>
    <t>Duloxétine</t>
  </si>
  <si>
    <t xml:space="preserve">difficilement chiffrables </t>
  </si>
  <si>
    <t>atrophie multi-systématisée, recherche de stridor. Examen comparatif par rapport à une polysomnographie de 2022 qui avait déjà enregistré TCSP,  dégradationde électrogenèse, allégement du somme et mouvements périodiques sévères des membres inférieurs</t>
  </si>
  <si>
    <t>VA182</t>
  </si>
  <si>
    <t xml:space="preserve">Villa Armand </t>
  </si>
  <si>
    <t>04/01/1956</t>
  </si>
  <si>
    <t>MPI / épilepsie temporale</t>
  </si>
  <si>
    <t>30/03/2023</t>
  </si>
  <si>
    <t>LM183</t>
  </si>
  <si>
    <t>Lessi malika</t>
  </si>
  <si>
    <t>08/10/1964</t>
  </si>
  <si>
    <t>AMS-p</t>
  </si>
  <si>
    <t>09/04/2025</t>
  </si>
  <si>
    <t>Paroxétine</t>
  </si>
  <si>
    <t>bilan de troubles du sommeil dans le cadre d’une atrophie multisystématisée de type p. Patiente sous Paroxetine, Gurton, Modopar</t>
  </si>
  <si>
    <t>DBJ184</t>
  </si>
  <si>
    <t>De Boysson Jean</t>
  </si>
  <si>
    <t>07/10/1958</t>
  </si>
  <si>
    <t xml:space="preserve">EAI LGI1 </t>
  </si>
  <si>
    <t>18/03/2025</t>
  </si>
  <si>
    <t>BP185</t>
  </si>
  <si>
    <t>Boy Patrick</t>
  </si>
  <si>
    <t>08/06/1948</t>
  </si>
  <si>
    <t>16/06/2025</t>
  </si>
  <si>
    <t>dénervation présynaptique droite</t>
  </si>
  <si>
    <t>recherche SAHOS et de TCSP chez patient suivi pour maladie de Parkinson</t>
  </si>
  <si>
    <t>PB186</t>
  </si>
  <si>
    <t>Popov Bernadette</t>
  </si>
  <si>
    <t>11/05/1945</t>
  </si>
  <si>
    <t>29/01/2025</t>
  </si>
  <si>
    <t xml:space="preserve">SIFROL, STALEVO, MIRTAZAPINE, AERIUS </t>
  </si>
  <si>
    <t xml:space="preserve">recherche SAS chez patiente suivie pour maladie Parkinson idiopathique </t>
  </si>
  <si>
    <t>MP187</t>
  </si>
  <si>
    <t>Morteveille Pierre</t>
  </si>
  <si>
    <t>26/08/1949</t>
  </si>
  <si>
    <t>sd parkinsonien atypique / tb mnésiques / ataxie proprioceptive</t>
  </si>
  <si>
    <t>29/04/2025</t>
  </si>
  <si>
    <t>citalopram, prégabaline</t>
  </si>
  <si>
    <t>N</t>
  </si>
  <si>
    <t xml:space="preserve">bilan de possibles TCSP chez patient avec troubles cognitifs </t>
  </si>
  <si>
    <t>DE188</t>
  </si>
  <si>
    <t>Dajean Emilie</t>
  </si>
  <si>
    <t>27/07/1989</t>
  </si>
  <si>
    <t>19/06/2025</t>
  </si>
  <si>
    <t xml:space="preserve">suspicion de narcolepsie avec cataplexie </t>
  </si>
  <si>
    <t>TG189</t>
  </si>
  <si>
    <t>Thomson Graham</t>
  </si>
  <si>
    <t>25/07/1957</t>
  </si>
  <si>
    <t>23/06/2025</t>
  </si>
  <si>
    <t>Zopiclone si besoin</t>
  </si>
  <si>
    <t xml:space="preserve">SAHOS modéré </t>
  </si>
  <si>
    <t xml:space="preserve">recherche de troubles de comportement en sommeil paradoxal </t>
  </si>
  <si>
    <t>BJM190</t>
  </si>
  <si>
    <t>Bernardara Jean-Marie</t>
  </si>
  <si>
    <t>28/11/1970</t>
  </si>
  <si>
    <t>07/07/2025</t>
  </si>
  <si>
    <t>recherche de trouble de comportement en sommeil paradoxal et contrôle SAHOS sous PPC Prisma chez patient connu pour maladie Parkinson idiopathique</t>
  </si>
  <si>
    <t>GS191</t>
  </si>
  <si>
    <t>05/06/2024</t>
  </si>
  <si>
    <t>LJ192</t>
  </si>
  <si>
    <t>Larens Jean</t>
  </si>
  <si>
    <t>SAOS tout juste léger</t>
  </si>
  <si>
    <t xml:space="preserve">recherche de troubles du comportement en sommeil paradoxal </t>
  </si>
  <si>
    <t>DI136</t>
  </si>
  <si>
    <t xml:space="preserve">Dijols Isabelle </t>
  </si>
  <si>
    <t>AMS</t>
  </si>
  <si>
    <t>SEP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</si>
</sst>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charset val="1"/>
    </font>
    <font>
      <b/>
      <sz val="11"/>
      <color theme="1"/>
      <name val="Calibri"/>
      <family val="2"/>
      <charset val="1"/>
    </font>
    <font>
      <sz val="11"/>
      <color rgb="FFFF0000"/>
      <name val="Calibri"/>
      <family val="2"/>
      <charset val="1"/>
    </font>
    <font>
      <sz val="11"/>
      <color rgb="FF00B050"/>
      <name val="Calibri"/>
      <family val="2"/>
      <charset val="1"/>
    </font>
    <font>
      <b/>
      <sz val="11"/>
      <color theme="1"/>
      <name val="Calibri"/>
      <family val="2"/>
    </font>
    <font>
      <b/>
      <sz val="11"/>
      <color rgb="FFC9211E"/>
      <name val="Calibri"/>
      <family val="2"/>
      <charset val="1"/>
    </font>
    <font>
      <sz val="11"/>
      <color rgb="FF7030A0"/>
      <name val="Calibri"/>
      <family val="2"/>
      <scheme val="minor"/>
    </font>
    <font>
      <sz val="11"/>
      <name val="Calibri"/>
      <family val="2"/>
      <scheme val="minor"/>
    </font>
    <font>
      <sz val="11"/>
      <name val="Calibri"/>
      <family val="2"/>
      <charset val="1"/>
    </font>
  </fonts>
  <fills count="15">
    <fill>
      <patternFill patternType="none"/>
    </fill>
    <fill>
      <patternFill patternType="gray125"/>
    </fill>
    <fill>
      <patternFill patternType="solid">
        <fgColor rgb="FFE0C2CD"/>
        <bgColor rgb="FFCCCCFF"/>
      </patternFill>
    </fill>
    <fill>
      <patternFill patternType="solid">
        <fgColor rgb="FFFFFF00"/>
        <bgColor rgb="FFFFFF00"/>
      </patternFill>
    </fill>
    <fill>
      <patternFill patternType="solid">
        <fgColor rgb="FFF6F9D4"/>
        <bgColor rgb="FFFFFFFF"/>
      </patternFill>
    </fill>
    <fill>
      <patternFill patternType="solid">
        <fgColor rgb="FFFFC000"/>
        <bgColor rgb="FFFF9900"/>
      </patternFill>
    </fill>
    <fill>
      <patternFill patternType="solid">
        <fgColor theme="8" tint="0.79979857783745845"/>
        <bgColor rgb="FFCCFFFF"/>
      </patternFill>
    </fill>
    <fill>
      <patternFill patternType="solid">
        <fgColor rgb="FFC00000"/>
        <bgColor rgb="FFC9211E"/>
      </patternFill>
    </fill>
    <fill>
      <patternFill patternType="solid">
        <fgColor rgb="FF00B0F0"/>
        <bgColor rgb="FF33CCCC"/>
      </patternFill>
    </fill>
    <fill>
      <patternFill patternType="solid">
        <fgColor theme="7" tint="0.39979247413556324"/>
        <bgColor rgb="FFA6A6A6"/>
      </patternFill>
    </fill>
    <fill>
      <patternFill patternType="solid">
        <fgColor theme="8" tint="0.79998168889431442"/>
        <bgColor indexed="64"/>
      </patternFill>
    </fill>
    <fill>
      <patternFill patternType="solid">
        <fgColor rgb="FF00B050"/>
        <bgColor indexed="64"/>
      </patternFill>
    </fill>
    <fill>
      <patternFill patternType="solid">
        <fgColor rgb="FFFFC000"/>
        <bgColor indexed="64"/>
      </patternFill>
    </fill>
    <fill>
      <patternFill patternType="solid">
        <fgColor rgb="FFFFC000"/>
        <bgColor rgb="FFFFFFFF"/>
      </patternFill>
    </fill>
    <fill>
      <patternFill patternType="solid">
        <fgColor theme="8" tint="0.79998168889431442"/>
        <bgColor rgb="FFFFFFFF"/>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52">
    <xf numFmtId="0" fontId="0" fillId="0" borderId="0" xfId="0"/>
    <xf numFmtId="0" fontId="0" fillId="0" borderId="0" xfId="0" applyAlignment="1" applyProtection="1"/>
    <xf numFmtId="0" fontId="0" fillId="0" borderId="0" xfId="0" applyAlignment="1" applyProtection="1">
      <alignment horizontal="center"/>
    </xf>
    <xf numFmtId="0" fontId="1" fillId="0" borderId="1" xfId="0" applyFont="1" applyBorder="1" applyAlignment="1" applyProtection="1">
      <alignment horizontal="center" vertical="top"/>
    </xf>
    <xf numFmtId="0" fontId="1" fillId="0" borderId="2" xfId="0" applyFont="1" applyBorder="1" applyAlignment="1" applyProtection="1">
      <alignment horizontal="center"/>
    </xf>
    <xf numFmtId="0" fontId="1" fillId="0" borderId="3" xfId="0" applyFont="1" applyBorder="1" applyAlignment="1" applyProtection="1">
      <alignment horizontal="center"/>
    </xf>
    <xf numFmtId="0" fontId="1" fillId="2" borderId="3" xfId="0" applyFont="1" applyFill="1" applyBorder="1" applyAlignment="1" applyProtection="1"/>
    <xf numFmtId="0" fontId="1" fillId="2" borderId="3" xfId="0" applyFont="1" applyFill="1" applyBorder="1" applyAlignment="1" applyProtection="1">
      <alignment horizontal="center"/>
    </xf>
    <xf numFmtId="0" fontId="1" fillId="3" borderId="4" xfId="0" applyFont="1" applyFill="1" applyBorder="1" applyAlignment="1" applyProtection="1"/>
    <xf numFmtId="0" fontId="1" fillId="3" borderId="1" xfId="0" applyFont="1" applyFill="1" applyBorder="1" applyAlignment="1" applyProtection="1">
      <alignment horizontal="center" vertical="top"/>
    </xf>
    <xf numFmtId="0" fontId="0" fillId="0" borderId="0" xfId="0" applyFont="1" applyAlignment="1" applyProtection="1">
      <alignment horizontal="center"/>
    </xf>
    <xf numFmtId="0" fontId="0" fillId="0" borderId="0" xfId="0" applyFont="1" applyAlignment="1" applyProtection="1"/>
    <xf numFmtId="0" fontId="0" fillId="4" borderId="0" xfId="0" applyFill="1" applyAlignment="1" applyProtection="1"/>
    <xf numFmtId="0" fontId="0" fillId="5" borderId="0" xfId="0" applyFont="1" applyFill="1" applyAlignment="1" applyProtection="1"/>
    <xf numFmtId="0" fontId="0" fillId="6" borderId="0" xfId="0" applyFont="1" applyFill="1" applyAlignment="1" applyProtection="1">
      <alignment horizontal="center"/>
    </xf>
    <xf numFmtId="0" fontId="3" fillId="0" borderId="0" xfId="0" applyFont="1" applyAlignment="1" applyProtection="1"/>
    <xf numFmtId="0" fontId="0" fillId="7" borderId="0" xfId="0" applyFont="1" applyFill="1" applyAlignment="1" applyProtection="1"/>
    <xf numFmtId="0" fontId="0" fillId="7" borderId="0" xfId="0" applyFill="1" applyAlignment="1" applyProtection="1">
      <alignment horizontal="center"/>
    </xf>
    <xf numFmtId="0" fontId="0" fillId="7" borderId="0" xfId="0" applyFill="1" applyAlignment="1" applyProtection="1"/>
    <xf numFmtId="0" fontId="0" fillId="7" borderId="0" xfId="0" applyFont="1" applyFill="1" applyAlignment="1" applyProtection="1">
      <alignment horizontal="center"/>
    </xf>
    <xf numFmtId="0" fontId="0" fillId="8" borderId="0" xfId="0" applyFill="1" applyAlignment="1" applyProtection="1">
      <alignment horizontal="center"/>
    </xf>
    <xf numFmtId="14" fontId="3" fillId="0" borderId="0" xfId="0" applyNumberFormat="1" applyFont="1" applyAlignment="1" applyProtection="1"/>
    <xf numFmtId="14" fontId="3" fillId="0" borderId="0" xfId="0" applyNumberFormat="1" applyFont="1" applyAlignment="1" applyProtection="1">
      <alignment horizontal="left"/>
    </xf>
    <xf numFmtId="0" fontId="0" fillId="4" borderId="0" xfId="0" applyFont="1" applyFill="1" applyAlignment="1" applyProtection="1">
      <alignment horizontal="center"/>
    </xf>
    <xf numFmtId="0" fontId="0" fillId="4" borderId="0" xfId="0" applyFont="1" applyFill="1" applyAlignment="1" applyProtection="1">
      <alignment horizontal="left"/>
    </xf>
    <xf numFmtId="0" fontId="2" fillId="3" borderId="0" xfId="0" applyFont="1" applyFill="1" applyAlignment="1" applyProtection="1">
      <alignment horizontal="center"/>
    </xf>
    <xf numFmtId="0" fontId="0" fillId="9" borderId="0" xfId="0" applyFill="1" applyAlignment="1" applyProtection="1">
      <alignment horizontal="center"/>
    </xf>
    <xf numFmtId="0" fontId="0" fillId="3" borderId="0" xfId="0" applyFill="1" applyAlignment="1" applyProtection="1">
      <alignment horizontal="center"/>
    </xf>
    <xf numFmtId="0" fontId="4" fillId="4" borderId="0" xfId="0" applyFont="1" applyFill="1" applyAlignment="1" applyProtection="1">
      <alignment horizontal="left"/>
    </xf>
    <xf numFmtId="0" fontId="5" fillId="4" borderId="0" xfId="0" applyFont="1" applyFill="1" applyAlignment="1" applyProtection="1">
      <alignment horizontal="left"/>
    </xf>
    <xf numFmtId="0" fontId="0" fillId="0" borderId="0" xfId="0" applyFont="1" applyFill="1" applyAlignment="1" applyProtection="1"/>
    <xf numFmtId="0" fontId="0" fillId="0" borderId="0" xfId="0" applyFill="1" applyAlignment="1" applyProtection="1"/>
    <xf numFmtId="0" fontId="0" fillId="0" borderId="0" xfId="0" applyFill="1" applyAlignment="1" applyProtection="1">
      <alignment horizontal="center"/>
    </xf>
    <xf numFmtId="0" fontId="0" fillId="0" borderId="0" xfId="0" applyFont="1" applyFill="1" applyAlignment="1" applyProtection="1">
      <alignment horizontal="center"/>
    </xf>
    <xf numFmtId="0" fontId="0" fillId="0" borderId="0" xfId="0" applyFill="1"/>
    <xf numFmtId="0" fontId="6" fillId="10" borderId="0" xfId="0" applyFont="1" applyFill="1" applyAlignment="1">
      <alignment horizontal="center"/>
    </xf>
    <xf numFmtId="0" fontId="7" fillId="10" borderId="0" xfId="0" applyFont="1" applyFill="1"/>
    <xf numFmtId="0" fontId="7" fillId="11" borderId="0" xfId="0" applyFont="1" applyFill="1"/>
    <xf numFmtId="0" fontId="0" fillId="0" borderId="0" xfId="0" applyFill="1" applyAlignment="1">
      <alignment horizontal="center"/>
    </xf>
    <xf numFmtId="0" fontId="0" fillId="0" borderId="0" xfId="0" applyFill="1" applyAlignment="1">
      <alignment horizontal="left"/>
    </xf>
    <xf numFmtId="0" fontId="8" fillId="12" borderId="0" xfId="0" applyFont="1" applyFill="1" applyAlignment="1">
      <alignment horizontal="center"/>
    </xf>
    <xf numFmtId="0" fontId="0" fillId="12" borderId="0" xfId="0" applyFill="1" applyAlignment="1">
      <alignment horizontal="center"/>
    </xf>
    <xf numFmtId="0" fontId="0" fillId="12" borderId="0" xfId="0" applyFill="1" applyAlignment="1">
      <alignment horizontal="left"/>
    </xf>
    <xf numFmtId="0" fontId="0" fillId="12" borderId="0" xfId="0" applyFill="1" applyAlignment="1" applyProtection="1"/>
    <xf numFmtId="0" fontId="0" fillId="13" borderId="0" xfId="0" applyFont="1" applyFill="1" applyAlignment="1" applyProtection="1">
      <alignment horizontal="center"/>
    </xf>
    <xf numFmtId="0" fontId="0" fillId="10" borderId="0" xfId="0" applyFill="1" applyAlignment="1" applyProtection="1"/>
    <xf numFmtId="0" fontId="0" fillId="10" borderId="0" xfId="0" applyFill="1" applyAlignment="1" applyProtection="1">
      <alignment horizontal="center"/>
    </xf>
    <xf numFmtId="0" fontId="0" fillId="10" borderId="0" xfId="0" applyFont="1" applyFill="1" applyAlignment="1" applyProtection="1">
      <alignment horizontal="center"/>
    </xf>
    <xf numFmtId="0" fontId="0" fillId="14" borderId="0" xfId="0" applyFill="1" applyAlignment="1" applyProtection="1"/>
    <xf numFmtId="0" fontId="0" fillId="14" borderId="0" xfId="0" applyFont="1" applyFill="1" applyAlignment="1" applyProtection="1">
      <alignment horizontal="center"/>
    </xf>
    <xf numFmtId="0" fontId="0" fillId="14" borderId="0" xfId="0" applyFont="1" applyFill="1" applyAlignment="1" applyProtection="1">
      <alignment horizontal="left"/>
    </xf>
    <xf numFmtId="0" fontId="0" fillId="10" borderId="0" xfId="0" applyFill="1"/>
  </cellXfs>
  <cellStyles count="1">
    <cellStyle name="Normal" xfId="0" builtinId="0"/>
  </cellStyles>
  <dxfs count="3">
    <dxf>
      <font>
        <sz val="11"/>
        <color rgb="FF006600"/>
        <name val="Calibri"/>
        <family val="2"/>
        <charset val="1"/>
      </font>
      <fill>
        <patternFill>
          <bgColor rgb="FFCCFFCC"/>
        </patternFill>
      </fill>
    </dxf>
    <dxf>
      <font>
        <sz val="11"/>
        <color rgb="FF006600"/>
        <name val="Calibri"/>
        <family val="2"/>
        <charset val="1"/>
      </font>
      <fill>
        <patternFill>
          <bgColor rgb="FFCCFFCC"/>
        </patternFill>
      </fill>
    </dxf>
    <dxf>
      <font>
        <sz val="11"/>
        <color rgb="FF006600"/>
        <name val="Calibri"/>
        <family val="2"/>
        <charset val="1"/>
      </font>
      <fill>
        <patternFill>
          <bgColor rgb="FFCCFFC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C00000"/>
      <rgbColor rgb="FF006600"/>
      <rgbColor rgb="FF000080"/>
      <rgbColor rgb="FF808000"/>
      <rgbColor rgb="FF800080"/>
      <rgbColor rgb="FF008080"/>
      <rgbColor rgb="FFE0C2CD"/>
      <rgbColor rgb="FF808080"/>
      <rgbColor rgb="FF9999FF"/>
      <rgbColor rgb="FF993366"/>
      <rgbColor rgb="FFF6F9D4"/>
      <rgbColor rgb="FFDBEEF4"/>
      <rgbColor rgb="FF660066"/>
      <rgbColor rgb="FFFF8080"/>
      <rgbColor rgb="FF0066CC"/>
      <rgbColor rgb="FFCCCCFF"/>
      <rgbColor rgb="FF000080"/>
      <rgbColor rgb="FFFF00FF"/>
      <rgbColor rgb="FFFFFF00"/>
      <rgbColor rgb="FF00FFFF"/>
      <rgbColor rgb="FF800080"/>
      <rgbColor rgb="FF800000"/>
      <rgbColor rgb="FF008080"/>
      <rgbColor rgb="FF0000FF"/>
      <rgbColor rgb="FF00B0F0"/>
      <rgbColor rgb="FFCCFFFF"/>
      <rgbColor rgb="FFCCFFCC"/>
      <rgbColor rgb="FFFFFF99"/>
      <rgbColor rgb="FF99CCFF"/>
      <rgbColor rgb="FFFF99CC"/>
      <rgbColor rgb="FFB3A2C7"/>
      <rgbColor rgb="FFFFCC99"/>
      <rgbColor rgb="FF3366FF"/>
      <rgbColor rgb="FF33CCCC"/>
      <rgbColor rgb="FF99CC00"/>
      <rgbColor rgb="FFFFC000"/>
      <rgbColor rgb="FFFF9900"/>
      <rgbColor rgb="FFFF6600"/>
      <rgbColor rgb="FF666699"/>
      <rgbColor rgb="FFA6A6A6"/>
      <rgbColor rgb="FF003366"/>
      <rgbColor rgb="FF00B050"/>
      <rgbColor rgb="FF003300"/>
      <rgbColor rgb="FF333300"/>
      <rgbColor rgb="FFC9211E"/>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117"/>
  <sheetViews>
    <sheetView tabSelected="1" topLeftCell="A69" zoomScale="81" zoomScaleNormal="54" workbookViewId="0">
      <pane xSplit="1" topLeftCell="F1" activePane="topRight" state="frozen"/>
      <selection activeCell="A11" sqref="A11"/>
      <selection pane="topRight" activeCell="A2" sqref="A2:A114"/>
    </sheetView>
  </sheetViews>
  <sheetFormatPr baseColWidth="10" defaultColWidth="11.5234375" defaultRowHeight="14.4" x14ac:dyDescent="0.55000000000000004"/>
  <cols>
    <col min="1" max="1" width="10.62890625" style="1" customWidth="1"/>
    <col min="2" max="2" width="28.578125" style="1" customWidth="1"/>
    <col min="3" max="3" width="5.734375" style="1" customWidth="1"/>
    <col min="4" max="4" width="12.15625" style="1" customWidth="1"/>
    <col min="5" max="5" width="4.89453125" style="1" customWidth="1"/>
    <col min="6" max="6" width="29.41796875" style="1" customWidth="1"/>
    <col min="7" max="7" width="16.89453125" style="1" customWidth="1"/>
    <col min="8" max="8" width="17.83984375" style="1" customWidth="1"/>
    <col min="9" max="9" width="69.734375" style="1" customWidth="1"/>
    <col min="10" max="10" width="12.15625" style="1" customWidth="1"/>
    <col min="11" max="11" width="96.578125" style="1" customWidth="1"/>
    <col min="12" max="12" width="16.20703125" style="2" customWidth="1"/>
    <col min="13" max="19" width="11.41796875" style="2" customWidth="1"/>
    <col min="20" max="20" width="6.578125" style="1" customWidth="1"/>
    <col min="21" max="21" width="67.62890625" style="1" customWidth="1"/>
    <col min="22" max="22" width="19.1015625" style="1" customWidth="1"/>
    <col min="23" max="23" width="36.62890625" style="1" customWidth="1"/>
    <col min="24" max="24" width="27.15625" style="1" customWidth="1"/>
    <col min="25" max="25" width="20.3671875" style="1" customWidth="1"/>
    <col min="26" max="28" width="6.578125" style="1" customWidth="1"/>
    <col min="29" max="29" width="16.89453125" style="1" customWidth="1"/>
    <col min="30" max="30" width="22" style="1" customWidth="1"/>
    <col min="31" max="31" width="22.41796875" style="1" customWidth="1"/>
    <col min="32" max="32" width="27.3125" style="1" customWidth="1"/>
    <col min="33" max="33" width="15.89453125" style="1" customWidth="1"/>
    <col min="34" max="34" width="134.83984375" style="1" customWidth="1"/>
    <col min="35" max="35" width="17.68359375" style="1" customWidth="1"/>
    <col min="36" max="36" width="14.9453125" style="1" customWidth="1"/>
    <col min="38" max="38" width="236.41796875" style="1" customWidth="1"/>
    <col min="39" max="39" width="22.15625" style="1" customWidth="1"/>
  </cols>
  <sheetData>
    <row r="1" spans="1:39" x14ac:dyDescent="0.55000000000000004">
      <c r="A1" s="3" t="s">
        <v>0</v>
      </c>
      <c r="B1" s="3" t="s">
        <v>1</v>
      </c>
      <c r="C1" s="3" t="s">
        <v>2</v>
      </c>
      <c r="D1" s="3" t="s">
        <v>3</v>
      </c>
      <c r="E1" s="3" t="s">
        <v>4</v>
      </c>
      <c r="F1" s="3" t="s">
        <v>5</v>
      </c>
      <c r="G1" s="3" t="s">
        <v>6</v>
      </c>
      <c r="H1" s="3" t="s">
        <v>7</v>
      </c>
      <c r="I1" s="3" t="s">
        <v>8</v>
      </c>
      <c r="J1" s="3" t="s">
        <v>9</v>
      </c>
      <c r="K1" s="3" t="s">
        <v>10</v>
      </c>
      <c r="L1" s="4" t="s">
        <v>11</v>
      </c>
      <c r="M1" s="5" t="s">
        <v>12</v>
      </c>
      <c r="N1" s="5" t="s">
        <v>13</v>
      </c>
      <c r="O1" s="5" t="s">
        <v>14</v>
      </c>
      <c r="P1" s="5" t="s">
        <v>15</v>
      </c>
      <c r="Q1" s="5" t="s">
        <v>16</v>
      </c>
      <c r="R1" s="5" t="s">
        <v>17</v>
      </c>
      <c r="S1" s="5" t="s">
        <v>18</v>
      </c>
      <c r="T1" s="6" t="s">
        <v>19</v>
      </c>
      <c r="U1" s="7" t="s">
        <v>20</v>
      </c>
      <c r="V1" s="8" t="s">
        <v>21</v>
      </c>
      <c r="W1" s="9" t="s">
        <v>22</v>
      </c>
      <c r="X1" s="9" t="s">
        <v>23</v>
      </c>
      <c r="Y1" s="9" t="s">
        <v>24</v>
      </c>
      <c r="Z1" s="9" t="s">
        <v>25</v>
      </c>
      <c r="AA1" s="9" t="s">
        <v>26</v>
      </c>
      <c r="AB1" s="9" t="s">
        <v>27</v>
      </c>
      <c r="AC1" s="9" t="s">
        <v>28</v>
      </c>
      <c r="AD1" s="9" t="s">
        <v>29</v>
      </c>
      <c r="AE1" s="9" t="s">
        <v>30</v>
      </c>
      <c r="AF1" s="3" t="s">
        <v>31</v>
      </c>
      <c r="AG1" s="9" t="s">
        <v>32</v>
      </c>
      <c r="AH1" s="9" t="s">
        <v>33</v>
      </c>
      <c r="AI1" s="9" t="s">
        <v>34</v>
      </c>
      <c r="AJ1" s="9" t="s">
        <v>35</v>
      </c>
      <c r="AK1" s="9" t="s">
        <v>36</v>
      </c>
      <c r="AL1" s="9" t="s">
        <v>37</v>
      </c>
      <c r="AM1" s="9" t="s">
        <v>38</v>
      </c>
    </row>
    <row r="2" spans="1:39" x14ac:dyDescent="0.55000000000000004">
      <c r="A2" s="1" t="s">
        <v>39</v>
      </c>
      <c r="B2" s="1" t="s">
        <v>40</v>
      </c>
      <c r="C2" s="1" t="s">
        <v>41</v>
      </c>
      <c r="D2" s="1" t="s">
        <v>42</v>
      </c>
      <c r="E2" s="1">
        <v>66</v>
      </c>
      <c r="F2" s="1" t="s">
        <v>43</v>
      </c>
      <c r="G2" s="1" t="s">
        <v>44</v>
      </c>
      <c r="J2" s="1" t="s">
        <v>45</v>
      </c>
      <c r="L2" s="2">
        <v>0</v>
      </c>
      <c r="T2" s="1">
        <v>5.9</v>
      </c>
      <c r="U2" s="10" t="s">
        <v>46</v>
      </c>
      <c r="V2" s="1">
        <v>21</v>
      </c>
      <c r="W2" s="1">
        <v>12.92</v>
      </c>
      <c r="X2" s="1">
        <v>162</v>
      </c>
      <c r="Y2" s="1">
        <v>135</v>
      </c>
      <c r="Z2" s="1">
        <v>3.38</v>
      </c>
      <c r="AA2" s="1">
        <v>63.07</v>
      </c>
      <c r="AB2" s="1">
        <v>20.61</v>
      </c>
      <c r="AC2" s="1">
        <v>2.21</v>
      </c>
      <c r="AD2" s="1">
        <v>0.74</v>
      </c>
      <c r="AE2" s="1">
        <v>2</v>
      </c>
      <c r="AF2" s="1">
        <v>0</v>
      </c>
      <c r="AG2" s="1">
        <v>87</v>
      </c>
      <c r="AI2" s="11" t="s">
        <v>47</v>
      </c>
      <c r="AJ2" s="1">
        <v>8.56</v>
      </c>
      <c r="AK2" s="1">
        <v>32</v>
      </c>
      <c r="AL2" s="11" t="s">
        <v>48</v>
      </c>
      <c r="AM2" s="31">
        <f t="shared" ref="AM2:AM31" si="0">AE2/V2</f>
        <v>9.5238095238095233E-2</v>
      </c>
    </row>
    <row r="3" spans="1:39" x14ac:dyDescent="0.55000000000000004">
      <c r="A3" s="1" t="s">
        <v>49</v>
      </c>
      <c r="B3" s="1" t="s">
        <v>50</v>
      </c>
      <c r="C3" s="1" t="s">
        <v>41</v>
      </c>
      <c r="D3" s="1" t="s">
        <v>51</v>
      </c>
      <c r="E3" s="1">
        <v>72</v>
      </c>
      <c r="F3" s="1" t="s">
        <v>43</v>
      </c>
      <c r="G3" s="1" t="s">
        <v>44</v>
      </c>
      <c r="J3" s="1" t="s">
        <v>52</v>
      </c>
      <c r="L3" s="2">
        <v>0</v>
      </c>
      <c r="T3" s="1">
        <v>46.84</v>
      </c>
      <c r="U3" s="10" t="s">
        <v>53</v>
      </c>
      <c r="V3" s="1">
        <v>74</v>
      </c>
      <c r="W3" s="1">
        <v>18.88</v>
      </c>
      <c r="X3" s="1">
        <v>394</v>
      </c>
      <c r="Y3" s="1">
        <v>148</v>
      </c>
      <c r="Z3" s="1">
        <v>10.51</v>
      </c>
      <c r="AA3" s="1">
        <v>59.69</v>
      </c>
      <c r="AB3" s="1">
        <v>10.89</v>
      </c>
      <c r="AC3" s="1">
        <v>29.2</v>
      </c>
      <c r="AD3" s="1">
        <v>0.79</v>
      </c>
      <c r="AE3" s="1">
        <v>4</v>
      </c>
      <c r="AF3" s="1">
        <v>0</v>
      </c>
      <c r="AG3" s="1">
        <v>97</v>
      </c>
      <c r="AI3" s="11" t="s">
        <v>47</v>
      </c>
      <c r="AJ3" s="1">
        <v>62.8</v>
      </c>
      <c r="AK3" s="1">
        <v>430</v>
      </c>
      <c r="AL3" s="11" t="s">
        <v>54</v>
      </c>
      <c r="AM3" s="31">
        <f t="shared" si="0"/>
        <v>5.4054054054054057E-2</v>
      </c>
    </row>
    <row r="4" spans="1:39" x14ac:dyDescent="0.55000000000000004">
      <c r="A4" s="1" t="s">
        <v>55</v>
      </c>
      <c r="B4" s="1" t="s">
        <v>56</v>
      </c>
      <c r="C4" s="1" t="s">
        <v>41</v>
      </c>
      <c r="D4" s="1" t="s">
        <v>57</v>
      </c>
      <c r="E4" s="1">
        <v>69</v>
      </c>
      <c r="F4" s="1" t="s">
        <v>58</v>
      </c>
      <c r="G4" s="1" t="s">
        <v>44</v>
      </c>
      <c r="J4" s="1" t="s">
        <v>59</v>
      </c>
      <c r="L4" s="2">
        <v>0</v>
      </c>
      <c r="N4" s="2" t="s">
        <v>60</v>
      </c>
      <c r="T4" s="1">
        <v>18.149999999999999</v>
      </c>
      <c r="U4" s="10" t="s">
        <v>61</v>
      </c>
      <c r="V4" s="1">
        <v>56</v>
      </c>
      <c r="W4" s="1">
        <v>22.99</v>
      </c>
      <c r="X4" s="1">
        <v>244</v>
      </c>
      <c r="Y4" s="1">
        <v>302</v>
      </c>
      <c r="Z4" s="1">
        <v>12.88</v>
      </c>
      <c r="AA4" s="1">
        <v>26.78</v>
      </c>
      <c r="AB4" s="1">
        <v>37.42</v>
      </c>
      <c r="AC4" s="1">
        <v>19.63</v>
      </c>
      <c r="AD4" s="1">
        <v>0.65</v>
      </c>
      <c r="AE4" s="1">
        <v>1</v>
      </c>
      <c r="AF4" s="1">
        <v>0</v>
      </c>
      <c r="AG4" s="1">
        <v>33</v>
      </c>
      <c r="AI4" s="11" t="s">
        <v>62</v>
      </c>
      <c r="AJ4" s="1">
        <v>19.28</v>
      </c>
      <c r="AK4" s="1">
        <v>0</v>
      </c>
      <c r="AL4" s="11" t="s">
        <v>63</v>
      </c>
      <c r="AM4" s="31">
        <f t="shared" si="0"/>
        <v>1.7857142857142856E-2</v>
      </c>
    </row>
    <row r="5" spans="1:39" x14ac:dyDescent="0.55000000000000004">
      <c r="A5" s="1" t="s">
        <v>64</v>
      </c>
      <c r="B5" s="1" t="s">
        <v>65</v>
      </c>
      <c r="C5" s="1" t="s">
        <v>66</v>
      </c>
      <c r="D5" s="1" t="s">
        <v>67</v>
      </c>
      <c r="E5" s="1">
        <v>81</v>
      </c>
      <c r="F5" s="1" t="s">
        <v>58</v>
      </c>
      <c r="G5" s="1" t="s">
        <v>44</v>
      </c>
      <c r="I5" s="1" t="s">
        <v>68</v>
      </c>
      <c r="J5" s="1" t="s">
        <v>69</v>
      </c>
      <c r="L5" s="2">
        <v>0</v>
      </c>
      <c r="N5" s="2" t="s">
        <v>70</v>
      </c>
      <c r="O5" s="2" t="s">
        <v>71</v>
      </c>
      <c r="T5" s="1">
        <v>1.2</v>
      </c>
      <c r="U5" s="10" t="s">
        <v>72</v>
      </c>
      <c r="V5" s="1">
        <v>40</v>
      </c>
      <c r="W5" s="1">
        <v>13.5</v>
      </c>
      <c r="X5" s="1">
        <v>300</v>
      </c>
      <c r="Y5" s="1">
        <v>146</v>
      </c>
      <c r="Z5" s="1">
        <v>4.66</v>
      </c>
      <c r="AA5" s="1">
        <v>41.5</v>
      </c>
      <c r="AB5" s="1">
        <v>40.33</v>
      </c>
      <c r="AC5" s="1">
        <v>9.19</v>
      </c>
      <c r="AD5" s="1">
        <v>0.91</v>
      </c>
      <c r="AE5" s="1">
        <v>2</v>
      </c>
      <c r="AF5" s="1">
        <v>0</v>
      </c>
      <c r="AG5" s="1">
        <v>42</v>
      </c>
      <c r="AI5" s="11" t="s">
        <v>62</v>
      </c>
      <c r="AJ5" s="1">
        <v>5.92</v>
      </c>
      <c r="AK5" s="1">
        <v>10</v>
      </c>
      <c r="AL5" s="11" t="s">
        <v>73</v>
      </c>
      <c r="AM5" s="31">
        <f t="shared" si="0"/>
        <v>0.05</v>
      </c>
    </row>
    <row r="6" spans="1:39" x14ac:dyDescent="0.55000000000000004">
      <c r="A6" s="1" t="s">
        <v>74</v>
      </c>
      <c r="B6" s="1" t="s">
        <v>75</v>
      </c>
      <c r="C6" s="1" t="s">
        <v>41</v>
      </c>
      <c r="D6" s="1" t="s">
        <v>76</v>
      </c>
      <c r="E6" s="1">
        <v>60</v>
      </c>
      <c r="F6" s="1" t="s">
        <v>58</v>
      </c>
      <c r="G6" s="1" t="s">
        <v>44</v>
      </c>
      <c r="J6" s="1" t="s">
        <v>77</v>
      </c>
      <c r="L6" s="2">
        <v>0</v>
      </c>
      <c r="T6" s="1">
        <v>6.1</v>
      </c>
      <c r="U6" s="10" t="s">
        <v>46</v>
      </c>
      <c r="V6" s="1">
        <v>47</v>
      </c>
      <c r="W6" s="1">
        <v>26.55</v>
      </c>
      <c r="X6" s="1">
        <v>177</v>
      </c>
      <c r="Y6" s="1">
        <v>119</v>
      </c>
      <c r="Z6" s="1">
        <v>4.51</v>
      </c>
      <c r="AA6" s="1">
        <v>29.37</v>
      </c>
      <c r="AB6" s="1">
        <v>39.54</v>
      </c>
      <c r="AC6" s="1">
        <v>2.71</v>
      </c>
      <c r="AD6" s="1">
        <v>0.76</v>
      </c>
      <c r="AE6" s="1">
        <v>6</v>
      </c>
      <c r="AF6" s="1">
        <v>0</v>
      </c>
      <c r="AG6" s="1">
        <v>88</v>
      </c>
      <c r="AI6" s="11" t="s">
        <v>62</v>
      </c>
      <c r="AJ6" s="1">
        <v>7.65</v>
      </c>
      <c r="AK6" s="1">
        <v>22</v>
      </c>
      <c r="AL6" s="11" t="s">
        <v>78</v>
      </c>
      <c r="AM6" s="31">
        <f t="shared" si="0"/>
        <v>0.1276595744680851</v>
      </c>
    </row>
    <row r="7" spans="1:39" x14ac:dyDescent="0.55000000000000004">
      <c r="A7" s="13" t="s">
        <v>79</v>
      </c>
      <c r="B7" s="13" t="s">
        <v>80</v>
      </c>
      <c r="C7" s="11" t="s">
        <v>41</v>
      </c>
      <c r="D7" s="11" t="s">
        <v>81</v>
      </c>
      <c r="E7" s="1">
        <v>60</v>
      </c>
      <c r="F7" s="13" t="s">
        <v>43</v>
      </c>
      <c r="G7" s="40" t="s">
        <v>44</v>
      </c>
      <c r="J7" s="11" t="s">
        <v>83</v>
      </c>
      <c r="T7" s="1">
        <v>11.59</v>
      </c>
      <c r="U7" s="10" t="s">
        <v>84</v>
      </c>
      <c r="V7" s="1">
        <v>56</v>
      </c>
      <c r="W7" s="1">
        <v>15.82</v>
      </c>
      <c r="X7" s="1">
        <v>357</v>
      </c>
      <c r="Y7" s="1">
        <v>92</v>
      </c>
      <c r="Z7" s="1">
        <v>10.64</v>
      </c>
      <c r="AA7" s="1">
        <v>62.04</v>
      </c>
      <c r="AB7" s="1">
        <v>11.48</v>
      </c>
      <c r="AC7" s="1">
        <v>13.78</v>
      </c>
      <c r="AD7" s="1">
        <v>0.91</v>
      </c>
      <c r="AE7" s="1">
        <v>5</v>
      </c>
      <c r="AG7" s="1">
        <v>8</v>
      </c>
      <c r="AH7" s="11" t="s">
        <v>85</v>
      </c>
      <c r="AI7" s="11" t="s">
        <v>86</v>
      </c>
      <c r="AJ7" s="1">
        <v>19.11</v>
      </c>
      <c r="AK7" s="1">
        <v>0</v>
      </c>
      <c r="AM7" s="31">
        <f t="shared" si="0"/>
        <v>8.9285714285714288E-2</v>
      </c>
    </row>
    <row r="8" spans="1:39" x14ac:dyDescent="0.55000000000000004">
      <c r="A8" s="1" t="s">
        <v>87</v>
      </c>
      <c r="B8" s="1" t="s">
        <v>88</v>
      </c>
      <c r="C8" s="1" t="s">
        <v>41</v>
      </c>
      <c r="D8" s="1" t="s">
        <v>89</v>
      </c>
      <c r="E8" s="1">
        <v>67</v>
      </c>
      <c r="F8" s="1" t="s">
        <v>58</v>
      </c>
      <c r="G8" s="1" t="s">
        <v>44</v>
      </c>
      <c r="J8" s="1" t="s">
        <v>90</v>
      </c>
      <c r="L8" s="2">
        <v>0</v>
      </c>
      <c r="T8" s="1">
        <v>7.07</v>
      </c>
      <c r="U8" s="10" t="s">
        <v>84</v>
      </c>
      <c r="V8" s="1">
        <v>87</v>
      </c>
      <c r="W8" s="1">
        <v>31.25</v>
      </c>
      <c r="X8" s="1">
        <v>280</v>
      </c>
      <c r="Y8" s="1">
        <v>67</v>
      </c>
      <c r="Z8" s="1">
        <v>4.6399999999999997</v>
      </c>
      <c r="AA8" s="1">
        <v>25.35</v>
      </c>
      <c r="AB8" s="1">
        <v>38.75</v>
      </c>
      <c r="AC8" s="1">
        <v>15.42</v>
      </c>
      <c r="AD8" s="1">
        <v>0.72</v>
      </c>
      <c r="AE8" s="1">
        <v>4</v>
      </c>
      <c r="AF8" s="1">
        <v>0</v>
      </c>
      <c r="AG8" s="1">
        <v>87</v>
      </c>
      <c r="AI8" s="11" t="s">
        <v>47</v>
      </c>
      <c r="AJ8" s="1">
        <v>10.95</v>
      </c>
      <c r="AK8" s="1">
        <v>73</v>
      </c>
      <c r="AL8" s="11" t="s">
        <v>91</v>
      </c>
      <c r="AM8" s="31">
        <f t="shared" si="0"/>
        <v>4.5977011494252873E-2</v>
      </c>
    </row>
    <row r="9" spans="1:39" x14ac:dyDescent="0.55000000000000004">
      <c r="A9" s="13" t="s">
        <v>92</v>
      </c>
      <c r="B9" s="13" t="s">
        <v>93</v>
      </c>
      <c r="C9" s="11" t="s">
        <v>41</v>
      </c>
      <c r="D9" s="11" t="s">
        <v>94</v>
      </c>
      <c r="E9" s="1">
        <v>67</v>
      </c>
      <c r="F9" s="13" t="s">
        <v>500</v>
      </c>
      <c r="G9" s="40" t="s">
        <v>44</v>
      </c>
      <c r="J9" s="11" t="s">
        <v>95</v>
      </c>
      <c r="K9" s="11" t="s">
        <v>96</v>
      </c>
      <c r="L9" s="2">
        <v>1</v>
      </c>
      <c r="T9" s="1">
        <v>2.9</v>
      </c>
      <c r="U9" s="10" t="s">
        <v>72</v>
      </c>
      <c r="V9" s="1">
        <v>52</v>
      </c>
      <c r="W9" s="1">
        <v>15.88</v>
      </c>
      <c r="X9" s="1">
        <v>330</v>
      </c>
      <c r="Y9" s="1">
        <v>80</v>
      </c>
      <c r="Z9" s="1">
        <v>8.77</v>
      </c>
      <c r="AA9" s="1">
        <v>34.340000000000003</v>
      </c>
      <c r="AB9" s="1">
        <v>40.99</v>
      </c>
      <c r="AC9" s="1">
        <v>3.63</v>
      </c>
      <c r="AD9" s="1">
        <v>0.76</v>
      </c>
      <c r="AE9" s="1">
        <v>1</v>
      </c>
      <c r="AF9" s="1">
        <v>1</v>
      </c>
      <c r="AG9" s="1">
        <v>20</v>
      </c>
      <c r="AI9" s="11" t="s">
        <v>47</v>
      </c>
      <c r="AJ9" s="1">
        <v>1.1399999999999999</v>
      </c>
      <c r="AK9" s="1">
        <v>0</v>
      </c>
      <c r="AL9" s="11" t="s">
        <v>97</v>
      </c>
      <c r="AM9" s="31">
        <f t="shared" si="0"/>
        <v>1.9230769230769232E-2</v>
      </c>
    </row>
    <row r="10" spans="1:39" x14ac:dyDescent="0.55000000000000004">
      <c r="A10" s="1" t="s">
        <v>98</v>
      </c>
      <c r="B10" s="1" t="s">
        <v>99</v>
      </c>
      <c r="C10" s="1" t="s">
        <v>41</v>
      </c>
      <c r="D10" s="1" t="s">
        <v>100</v>
      </c>
      <c r="E10" s="1">
        <v>68</v>
      </c>
      <c r="F10" s="1" t="s">
        <v>101</v>
      </c>
      <c r="G10" s="1" t="s">
        <v>82</v>
      </c>
      <c r="I10" s="1" t="s">
        <v>102</v>
      </c>
      <c r="J10" s="1" t="s">
        <v>103</v>
      </c>
      <c r="K10" s="1" t="s">
        <v>104</v>
      </c>
      <c r="L10" s="2">
        <v>1</v>
      </c>
      <c r="O10" s="14" t="s">
        <v>105</v>
      </c>
      <c r="T10" s="1">
        <v>1.82</v>
      </c>
      <c r="U10" s="10" t="s">
        <v>72</v>
      </c>
      <c r="V10" s="1">
        <v>63</v>
      </c>
      <c r="W10" s="1">
        <v>19.170000000000002</v>
      </c>
      <c r="X10" s="1">
        <v>328</v>
      </c>
      <c r="Y10" s="1">
        <v>168</v>
      </c>
      <c r="Z10" s="1">
        <v>7.45</v>
      </c>
      <c r="AA10" s="1">
        <v>54.64</v>
      </c>
      <c r="AB10" s="1">
        <v>18.72</v>
      </c>
      <c r="AC10" s="1">
        <v>6.02</v>
      </c>
      <c r="AD10" s="1">
        <v>0.91</v>
      </c>
      <c r="AE10" s="1">
        <v>2</v>
      </c>
      <c r="AF10" s="1">
        <v>1</v>
      </c>
      <c r="AG10" s="1">
        <v>39</v>
      </c>
      <c r="AI10" s="11" t="s">
        <v>47</v>
      </c>
      <c r="AJ10" s="1">
        <v>7.61</v>
      </c>
      <c r="AK10" s="1">
        <v>14</v>
      </c>
      <c r="AL10" s="11" t="s">
        <v>106</v>
      </c>
      <c r="AM10" s="31">
        <f t="shared" si="0"/>
        <v>3.1746031746031744E-2</v>
      </c>
    </row>
    <row r="11" spans="1:39" x14ac:dyDescent="0.55000000000000004">
      <c r="A11" s="13" t="s">
        <v>107</v>
      </c>
      <c r="B11" s="13" t="s">
        <v>108</v>
      </c>
      <c r="C11" s="11" t="s">
        <v>66</v>
      </c>
      <c r="D11" s="11" t="s">
        <v>109</v>
      </c>
      <c r="E11" s="1">
        <v>56</v>
      </c>
      <c r="F11" s="13" t="s">
        <v>58</v>
      </c>
      <c r="G11" s="40" t="s">
        <v>44</v>
      </c>
      <c r="I11" s="11" t="s">
        <v>110</v>
      </c>
      <c r="J11" s="11" t="s">
        <v>111</v>
      </c>
      <c r="K11" s="11" t="s">
        <v>112</v>
      </c>
      <c r="L11" s="2">
        <v>1</v>
      </c>
      <c r="T11" s="1">
        <v>84.95</v>
      </c>
      <c r="U11" s="10" t="s">
        <v>113</v>
      </c>
      <c r="V11" s="1">
        <v>47</v>
      </c>
      <c r="W11" s="1">
        <v>12.38</v>
      </c>
      <c r="X11" s="1">
        <v>383</v>
      </c>
      <c r="Y11" s="1">
        <v>301</v>
      </c>
      <c r="Z11" s="1">
        <v>10.029999999999999</v>
      </c>
      <c r="AA11" s="1">
        <v>29.46</v>
      </c>
      <c r="AB11" s="1">
        <v>48.1</v>
      </c>
      <c r="AC11" s="1">
        <v>0.93</v>
      </c>
      <c r="AD11" s="1">
        <v>0.91</v>
      </c>
      <c r="AE11" s="1">
        <v>1</v>
      </c>
      <c r="AF11" s="1">
        <v>1</v>
      </c>
      <c r="AG11" s="1">
        <v>9</v>
      </c>
      <c r="AI11" s="11" t="s">
        <v>62</v>
      </c>
      <c r="AJ11" s="1">
        <v>39.130000000000003</v>
      </c>
      <c r="AK11" s="1">
        <v>234</v>
      </c>
      <c r="AM11" s="31">
        <f t="shared" si="0"/>
        <v>2.1276595744680851E-2</v>
      </c>
    </row>
    <row r="12" spans="1:39" x14ac:dyDescent="0.55000000000000004">
      <c r="A12" s="1" t="s">
        <v>114</v>
      </c>
      <c r="B12" s="1" t="s">
        <v>115</v>
      </c>
      <c r="C12" s="1" t="s">
        <v>41</v>
      </c>
      <c r="D12" s="1" t="s">
        <v>116</v>
      </c>
      <c r="E12" s="1">
        <v>65</v>
      </c>
      <c r="F12" s="1" t="s">
        <v>101</v>
      </c>
      <c r="G12" s="1" t="s">
        <v>82</v>
      </c>
      <c r="I12" s="1" t="s">
        <v>117</v>
      </c>
      <c r="J12" s="1" t="s">
        <v>118</v>
      </c>
      <c r="L12" s="2">
        <v>0</v>
      </c>
      <c r="O12" s="14"/>
      <c r="T12" s="1">
        <v>11.15</v>
      </c>
      <c r="U12" s="10" t="s">
        <v>46</v>
      </c>
      <c r="V12" s="1">
        <v>63</v>
      </c>
      <c r="W12" s="1">
        <v>28.09</v>
      </c>
      <c r="X12" s="1">
        <v>226</v>
      </c>
      <c r="Y12" s="1">
        <v>81</v>
      </c>
      <c r="Z12" s="1">
        <v>5.97</v>
      </c>
      <c r="AA12" s="1">
        <v>47.56</v>
      </c>
      <c r="AB12" s="1">
        <v>18.36</v>
      </c>
      <c r="AC12" s="1">
        <v>4.51</v>
      </c>
      <c r="AD12" s="1">
        <v>0.57999999999999996</v>
      </c>
      <c r="AE12" s="1">
        <v>2</v>
      </c>
      <c r="AF12" s="1">
        <v>0</v>
      </c>
      <c r="AG12" s="1">
        <v>52</v>
      </c>
      <c r="AI12" s="11" t="s">
        <v>47</v>
      </c>
      <c r="AJ12" s="1">
        <v>9.44</v>
      </c>
      <c r="AK12" s="1">
        <v>13</v>
      </c>
      <c r="AL12" s="11" t="s">
        <v>106</v>
      </c>
      <c r="AM12" s="31">
        <f t="shared" si="0"/>
        <v>3.1746031746031744E-2</v>
      </c>
    </row>
    <row r="13" spans="1:39" x14ac:dyDescent="0.55000000000000004">
      <c r="A13" s="13" t="s">
        <v>119</v>
      </c>
      <c r="B13" s="13" t="s">
        <v>120</v>
      </c>
      <c r="C13" s="11" t="s">
        <v>41</v>
      </c>
      <c r="D13" s="11" t="s">
        <v>121</v>
      </c>
      <c r="E13" s="1">
        <v>75</v>
      </c>
      <c r="F13" s="13" t="s">
        <v>122</v>
      </c>
      <c r="G13" s="41" t="s">
        <v>44</v>
      </c>
      <c r="H13" s="11" t="s">
        <v>122</v>
      </c>
      <c r="I13" s="11" t="s">
        <v>123</v>
      </c>
      <c r="J13" s="11" t="s">
        <v>118</v>
      </c>
      <c r="K13" s="11" t="s">
        <v>124</v>
      </c>
      <c r="L13" s="2">
        <v>0</v>
      </c>
      <c r="N13" s="2" t="s">
        <v>125</v>
      </c>
      <c r="T13" s="1">
        <v>5.99</v>
      </c>
      <c r="U13" s="10" t="s">
        <v>46</v>
      </c>
      <c r="V13" s="1">
        <v>47</v>
      </c>
      <c r="W13" s="1">
        <v>11.73</v>
      </c>
      <c r="X13" s="1">
        <v>400</v>
      </c>
      <c r="Y13" s="1">
        <v>162</v>
      </c>
      <c r="Z13" s="1">
        <v>9.36</v>
      </c>
      <c r="AA13" s="1">
        <v>63.67</v>
      </c>
      <c r="AB13" s="1">
        <v>15.23</v>
      </c>
      <c r="AC13" s="1">
        <v>5.84</v>
      </c>
      <c r="AD13" s="1">
        <v>0.87</v>
      </c>
      <c r="AE13" s="1">
        <v>1</v>
      </c>
      <c r="AF13" s="1">
        <v>0</v>
      </c>
      <c r="AG13" s="1">
        <v>19</v>
      </c>
      <c r="AI13" s="11" t="s">
        <v>47</v>
      </c>
      <c r="AJ13" s="1">
        <v>0</v>
      </c>
      <c r="AK13" s="1">
        <v>0</v>
      </c>
      <c r="AL13" s="11" t="s">
        <v>126</v>
      </c>
      <c r="AM13" s="31">
        <f t="shared" si="0"/>
        <v>2.1276595744680851E-2</v>
      </c>
    </row>
    <row r="14" spans="1:39" x14ac:dyDescent="0.55000000000000004">
      <c r="A14" s="1" t="s">
        <v>127</v>
      </c>
      <c r="B14" s="1" t="s">
        <v>128</v>
      </c>
      <c r="C14" s="1" t="s">
        <v>41</v>
      </c>
      <c r="D14" s="1" t="s">
        <v>129</v>
      </c>
      <c r="E14" s="1">
        <v>17</v>
      </c>
      <c r="F14" s="1" t="s">
        <v>130</v>
      </c>
      <c r="G14" s="1" t="s">
        <v>131</v>
      </c>
      <c r="J14" s="15" t="s">
        <v>132</v>
      </c>
      <c r="L14" s="2">
        <v>0</v>
      </c>
      <c r="P14" s="14" t="s">
        <v>133</v>
      </c>
      <c r="Q14" s="14">
        <v>4</v>
      </c>
      <c r="R14" s="14" t="s">
        <v>134</v>
      </c>
      <c r="S14" s="14">
        <v>11</v>
      </c>
      <c r="T14" s="1">
        <v>3.18</v>
      </c>
      <c r="U14" s="10" t="s">
        <v>72</v>
      </c>
      <c r="V14" s="1">
        <v>168</v>
      </c>
      <c r="W14" s="1">
        <v>31.37</v>
      </c>
      <c r="X14" s="1">
        <v>535</v>
      </c>
      <c r="Y14" s="1">
        <v>44</v>
      </c>
      <c r="Z14" s="1">
        <v>12.88</v>
      </c>
      <c r="AA14" s="1">
        <v>36.32</v>
      </c>
      <c r="AB14" s="1">
        <v>19.420000000000002</v>
      </c>
      <c r="AC14" s="1">
        <v>2.35</v>
      </c>
      <c r="AD14" s="1">
        <v>0.81</v>
      </c>
      <c r="AE14" s="1">
        <v>2</v>
      </c>
      <c r="AF14" s="1">
        <v>0</v>
      </c>
      <c r="AG14" s="1">
        <v>25</v>
      </c>
      <c r="AI14" s="11" t="s">
        <v>47</v>
      </c>
      <c r="AJ14" s="1">
        <v>6.21</v>
      </c>
      <c r="AL14" s="11" t="s">
        <v>135</v>
      </c>
      <c r="AM14" s="31">
        <f t="shared" si="0"/>
        <v>1.1904761904761904E-2</v>
      </c>
    </row>
    <row r="15" spans="1:39" x14ac:dyDescent="0.55000000000000004">
      <c r="A15" s="1" t="s">
        <v>136</v>
      </c>
      <c r="B15" s="1" t="s">
        <v>137</v>
      </c>
      <c r="C15" s="1" t="s">
        <v>41</v>
      </c>
      <c r="D15" s="1" t="s">
        <v>138</v>
      </c>
      <c r="E15" s="1">
        <v>71</v>
      </c>
      <c r="F15" s="1" t="s">
        <v>101</v>
      </c>
      <c r="G15" s="1" t="s">
        <v>82</v>
      </c>
      <c r="H15" s="13" t="s">
        <v>139</v>
      </c>
      <c r="J15" s="11" t="s">
        <v>140</v>
      </c>
      <c r="L15" s="2">
        <v>0</v>
      </c>
      <c r="M15" s="2" t="s">
        <v>141</v>
      </c>
      <c r="N15" s="2" t="s">
        <v>142</v>
      </c>
      <c r="O15" s="14" t="s">
        <v>143</v>
      </c>
      <c r="T15" s="1">
        <v>0.64</v>
      </c>
      <c r="U15" s="10" t="s">
        <v>144</v>
      </c>
      <c r="V15" s="1">
        <v>97</v>
      </c>
      <c r="W15" s="1">
        <v>26.2</v>
      </c>
      <c r="X15" s="1">
        <v>372</v>
      </c>
      <c r="Y15" s="1">
        <v>68</v>
      </c>
      <c r="Z15" s="1">
        <v>4.03</v>
      </c>
      <c r="AA15" s="1">
        <v>43.68</v>
      </c>
      <c r="AB15" s="1">
        <v>26.07</v>
      </c>
      <c r="AC15" s="1">
        <v>6.45</v>
      </c>
      <c r="AD15" s="1">
        <v>0.85</v>
      </c>
      <c r="AE15" s="1">
        <v>7</v>
      </c>
      <c r="AF15" s="1">
        <v>0</v>
      </c>
      <c r="AG15" s="1">
        <v>1287</v>
      </c>
      <c r="AH15" s="11" t="s">
        <v>85</v>
      </c>
      <c r="AI15" s="11" t="s">
        <v>145</v>
      </c>
      <c r="AJ15" s="1">
        <v>0.61</v>
      </c>
      <c r="AK15" s="1">
        <v>0</v>
      </c>
      <c r="AL15" s="11" t="s">
        <v>146</v>
      </c>
      <c r="AM15" s="31">
        <f t="shared" si="0"/>
        <v>7.2164948453608241E-2</v>
      </c>
    </row>
    <row r="16" spans="1:39" x14ac:dyDescent="0.55000000000000004">
      <c r="A16" s="11" t="s">
        <v>147</v>
      </c>
      <c r="B16" s="11" t="s">
        <v>148</v>
      </c>
      <c r="C16" s="11" t="s">
        <v>41</v>
      </c>
      <c r="D16" s="11" t="s">
        <v>149</v>
      </c>
      <c r="E16" s="1">
        <v>66</v>
      </c>
      <c r="F16" s="11" t="s">
        <v>101</v>
      </c>
      <c r="G16" s="11" t="s">
        <v>82</v>
      </c>
      <c r="I16" s="11" t="s">
        <v>150</v>
      </c>
      <c r="J16" s="11" t="s">
        <v>151</v>
      </c>
      <c r="L16" s="2">
        <v>0</v>
      </c>
      <c r="N16" s="2" t="s">
        <v>152</v>
      </c>
      <c r="O16" s="14" t="s">
        <v>153</v>
      </c>
      <c r="T16" s="1">
        <v>5.56</v>
      </c>
      <c r="U16" s="10" t="s">
        <v>46</v>
      </c>
      <c r="V16" s="1">
        <v>67</v>
      </c>
      <c r="W16" s="1">
        <v>17.39</v>
      </c>
      <c r="X16" s="1">
        <v>388</v>
      </c>
      <c r="Y16" s="1">
        <v>88</v>
      </c>
      <c r="Z16" s="1">
        <v>9.4</v>
      </c>
      <c r="AA16" s="1">
        <v>42.78</v>
      </c>
      <c r="AB16" s="1">
        <v>30.41</v>
      </c>
      <c r="AC16" s="1">
        <v>2.4700000000000002</v>
      </c>
      <c r="AD16" s="1">
        <v>0.95</v>
      </c>
      <c r="AE16" s="1">
        <v>13</v>
      </c>
      <c r="AF16" s="1">
        <v>0</v>
      </c>
      <c r="AG16" s="1">
        <v>0</v>
      </c>
      <c r="AH16" s="11" t="s">
        <v>154</v>
      </c>
      <c r="AI16" s="11" t="s">
        <v>86</v>
      </c>
      <c r="AJ16" s="1">
        <v>12.42</v>
      </c>
      <c r="AK16" s="1">
        <v>27</v>
      </c>
      <c r="AL16" s="11" t="s">
        <v>155</v>
      </c>
      <c r="AM16" s="31">
        <f t="shared" si="0"/>
        <v>0.19402985074626866</v>
      </c>
    </row>
    <row r="17" spans="1:39" x14ac:dyDescent="0.55000000000000004">
      <c r="A17" s="16" t="s">
        <v>156</v>
      </c>
      <c r="B17" s="16" t="s">
        <v>157</v>
      </c>
      <c r="C17" s="16" t="s">
        <v>66</v>
      </c>
      <c r="D17" s="16" t="s">
        <v>158</v>
      </c>
      <c r="E17" s="16">
        <v>38</v>
      </c>
      <c r="F17" s="16" t="s">
        <v>130</v>
      </c>
      <c r="G17" s="16" t="s">
        <v>131</v>
      </c>
      <c r="H17" s="16"/>
      <c r="I17" s="16"/>
      <c r="J17" s="16" t="s">
        <v>158</v>
      </c>
      <c r="K17" s="16"/>
      <c r="L17" s="17"/>
      <c r="M17" s="17"/>
      <c r="N17" s="17"/>
      <c r="O17" s="17"/>
      <c r="P17" s="17"/>
      <c r="Q17" s="17"/>
      <c r="R17" s="17"/>
      <c r="S17" s="17"/>
      <c r="T17" s="18">
        <v>8.81</v>
      </c>
      <c r="U17" s="19" t="s">
        <v>46</v>
      </c>
      <c r="V17" s="18">
        <v>108</v>
      </c>
      <c r="W17" s="16">
        <v>25.29</v>
      </c>
      <c r="X17" s="16">
        <v>429</v>
      </c>
      <c r="Y17" s="16">
        <v>102</v>
      </c>
      <c r="Z17" s="16">
        <v>14.21</v>
      </c>
      <c r="AA17" s="16">
        <v>45.22</v>
      </c>
      <c r="AB17" s="16">
        <v>15.26</v>
      </c>
      <c r="AC17" s="16">
        <v>18.32</v>
      </c>
      <c r="AD17" s="16">
        <v>0.86</v>
      </c>
      <c r="AE17" s="16">
        <v>1</v>
      </c>
      <c r="AF17" s="16"/>
      <c r="AG17" s="16"/>
      <c r="AH17" s="16"/>
      <c r="AI17" s="16"/>
      <c r="AJ17" s="16">
        <v>11.05</v>
      </c>
      <c r="AK17" s="16">
        <v>0</v>
      </c>
      <c r="AL17" s="16" t="s">
        <v>135</v>
      </c>
      <c r="AM17" s="18">
        <f t="shared" si="0"/>
        <v>9.2592592592592587E-3</v>
      </c>
    </row>
    <row r="18" spans="1:39" x14ac:dyDescent="0.55000000000000004">
      <c r="A18" s="1" t="s">
        <v>159</v>
      </c>
      <c r="B18" s="1" t="s">
        <v>160</v>
      </c>
      <c r="C18" s="1" t="s">
        <v>66</v>
      </c>
      <c r="D18" s="1" t="s">
        <v>161</v>
      </c>
      <c r="E18" s="1">
        <v>11</v>
      </c>
      <c r="F18" s="1" t="s">
        <v>130</v>
      </c>
      <c r="G18" s="1" t="s">
        <v>131</v>
      </c>
      <c r="J18" s="1" t="s">
        <v>162</v>
      </c>
      <c r="L18" s="2">
        <v>0</v>
      </c>
      <c r="N18" s="2" t="s">
        <v>163</v>
      </c>
      <c r="P18" s="14" t="s">
        <v>164</v>
      </c>
      <c r="Q18" s="14">
        <v>3</v>
      </c>
      <c r="R18" s="14" t="s">
        <v>134</v>
      </c>
      <c r="S18" s="20"/>
      <c r="T18" s="1">
        <v>0.89</v>
      </c>
      <c r="U18" s="10" t="s">
        <v>72</v>
      </c>
      <c r="V18" s="1">
        <v>88</v>
      </c>
      <c r="W18" s="1">
        <v>21.96</v>
      </c>
      <c r="X18" s="1">
        <v>403</v>
      </c>
      <c r="Y18" s="1">
        <v>35</v>
      </c>
      <c r="Z18" s="1">
        <v>21.83</v>
      </c>
      <c r="AA18" s="1">
        <v>42.92</v>
      </c>
      <c r="AB18" s="1">
        <v>13.27</v>
      </c>
      <c r="AC18" s="1">
        <v>1.48</v>
      </c>
      <c r="AD18" s="1">
        <v>0.73</v>
      </c>
      <c r="AE18" s="1">
        <v>6</v>
      </c>
      <c r="AF18" s="1">
        <v>0</v>
      </c>
      <c r="AG18" s="1">
        <v>175</v>
      </c>
      <c r="AH18" s="11" t="s">
        <v>154</v>
      </c>
      <c r="AI18" s="11" t="s">
        <v>145</v>
      </c>
      <c r="AJ18" s="1">
        <v>3.38</v>
      </c>
      <c r="AL18" s="11" t="s">
        <v>165</v>
      </c>
      <c r="AM18" s="31">
        <f t="shared" si="0"/>
        <v>6.8181818181818177E-2</v>
      </c>
    </row>
    <row r="19" spans="1:39" x14ac:dyDescent="0.55000000000000004">
      <c r="A19" s="1" t="s">
        <v>166</v>
      </c>
      <c r="B19" s="1" t="s">
        <v>167</v>
      </c>
      <c r="C19" s="1" t="s">
        <v>66</v>
      </c>
      <c r="D19" s="1" t="s">
        <v>168</v>
      </c>
      <c r="E19" s="1">
        <v>32</v>
      </c>
      <c r="F19" s="1" t="s">
        <v>169</v>
      </c>
      <c r="G19" s="1" t="s">
        <v>131</v>
      </c>
      <c r="I19" s="1" t="s">
        <v>170</v>
      </c>
      <c r="J19" s="21">
        <v>44462</v>
      </c>
      <c r="K19" s="11" t="s">
        <v>171</v>
      </c>
      <c r="L19" s="2">
        <v>0</v>
      </c>
      <c r="P19" s="14" t="s">
        <v>172</v>
      </c>
      <c r="Q19" s="14" t="s">
        <v>173</v>
      </c>
      <c r="R19" s="20"/>
      <c r="S19" s="20"/>
      <c r="T19" s="1">
        <v>6.76</v>
      </c>
      <c r="U19" s="10" t="s">
        <v>174</v>
      </c>
      <c r="V19" s="1">
        <v>52</v>
      </c>
      <c r="W19" s="1">
        <v>13.03</v>
      </c>
      <c r="X19" s="1">
        <v>399</v>
      </c>
      <c r="Y19" s="1">
        <v>426</v>
      </c>
      <c r="Z19" s="1">
        <v>10.27</v>
      </c>
      <c r="AA19" s="1">
        <v>54.76</v>
      </c>
      <c r="AB19" s="1">
        <v>21.92</v>
      </c>
      <c r="AC19" s="1">
        <v>7.66</v>
      </c>
      <c r="AD19" s="1">
        <v>0.83</v>
      </c>
      <c r="AE19" s="1">
        <v>1</v>
      </c>
      <c r="AF19" s="1">
        <v>0</v>
      </c>
      <c r="AG19" s="1">
        <v>26</v>
      </c>
      <c r="AI19" s="11" t="s">
        <v>47</v>
      </c>
      <c r="AJ19" s="1">
        <v>29.99</v>
      </c>
      <c r="AK19" s="1">
        <v>225</v>
      </c>
      <c r="AL19" s="11" t="s">
        <v>175</v>
      </c>
      <c r="AM19" s="31">
        <f t="shared" si="0"/>
        <v>1.9230769230769232E-2</v>
      </c>
    </row>
    <row r="20" spans="1:39" x14ac:dyDescent="0.55000000000000004">
      <c r="A20" s="1" t="s">
        <v>176</v>
      </c>
      <c r="B20" s="1" t="s">
        <v>177</v>
      </c>
      <c r="C20" s="1" t="s">
        <v>41</v>
      </c>
      <c r="D20" s="1" t="s">
        <v>178</v>
      </c>
      <c r="E20" s="1">
        <v>7</v>
      </c>
      <c r="F20" s="1" t="s">
        <v>169</v>
      </c>
      <c r="G20" s="1" t="s">
        <v>131</v>
      </c>
      <c r="J20" s="21">
        <v>43635</v>
      </c>
      <c r="L20" s="2">
        <v>0</v>
      </c>
      <c r="M20" s="2" t="s">
        <v>179</v>
      </c>
      <c r="P20" s="14" t="s">
        <v>180</v>
      </c>
      <c r="Q20" s="14">
        <v>3</v>
      </c>
      <c r="R20" s="14" t="s">
        <v>134</v>
      </c>
      <c r="S20" s="20"/>
      <c r="T20" s="1">
        <v>0.13</v>
      </c>
      <c r="U20" s="10" t="s">
        <v>72</v>
      </c>
      <c r="V20" s="1">
        <v>104</v>
      </c>
      <c r="W20" s="1">
        <v>23.11</v>
      </c>
      <c r="X20" s="1">
        <v>450</v>
      </c>
      <c r="Y20" s="1">
        <v>216</v>
      </c>
      <c r="Z20" s="1">
        <v>5.77</v>
      </c>
      <c r="AA20" s="1">
        <v>19</v>
      </c>
      <c r="AB20" s="1">
        <v>52.11</v>
      </c>
      <c r="AC20" s="1">
        <v>1.46</v>
      </c>
      <c r="AD20" s="1">
        <v>0.8</v>
      </c>
      <c r="AE20" s="1">
        <v>4</v>
      </c>
      <c r="AF20" s="1">
        <v>0</v>
      </c>
      <c r="AG20" s="1">
        <v>117</v>
      </c>
      <c r="AI20" s="11" t="s">
        <v>47</v>
      </c>
      <c r="AJ20" s="1">
        <v>0</v>
      </c>
      <c r="AK20" s="1">
        <v>0</v>
      </c>
      <c r="AL20" s="11" t="s">
        <v>181</v>
      </c>
      <c r="AM20" s="31">
        <f t="shared" si="0"/>
        <v>3.8461538461538464E-2</v>
      </c>
    </row>
    <row r="21" spans="1:39" x14ac:dyDescent="0.55000000000000004">
      <c r="A21" s="1" t="s">
        <v>182</v>
      </c>
      <c r="B21" s="1" t="s">
        <v>183</v>
      </c>
      <c r="C21" s="1" t="s">
        <v>66</v>
      </c>
      <c r="D21" s="1" t="s">
        <v>184</v>
      </c>
      <c r="E21" s="1">
        <v>20</v>
      </c>
      <c r="F21" s="1" t="s">
        <v>169</v>
      </c>
      <c r="G21" s="1" t="s">
        <v>131</v>
      </c>
      <c r="J21" s="15" t="s">
        <v>185</v>
      </c>
      <c r="L21" s="2">
        <v>0</v>
      </c>
      <c r="N21" s="2" t="s">
        <v>163</v>
      </c>
      <c r="P21" s="14" t="s">
        <v>186</v>
      </c>
      <c r="Q21" s="14">
        <v>4</v>
      </c>
      <c r="R21" s="14" t="s">
        <v>134</v>
      </c>
      <c r="S21" s="20"/>
      <c r="T21" s="1">
        <v>6.13</v>
      </c>
      <c r="U21" s="10" t="s">
        <v>46</v>
      </c>
      <c r="V21" s="1">
        <v>173</v>
      </c>
      <c r="W21" s="1">
        <v>37.75</v>
      </c>
      <c r="X21" s="1">
        <v>459</v>
      </c>
      <c r="Y21" s="1">
        <v>3</v>
      </c>
      <c r="Z21" s="1">
        <v>7.07</v>
      </c>
      <c r="AA21" s="1">
        <v>32.97</v>
      </c>
      <c r="AB21" s="1">
        <v>22.19</v>
      </c>
      <c r="AC21" s="1">
        <v>2.87</v>
      </c>
      <c r="AD21" s="1">
        <v>0.94</v>
      </c>
      <c r="AE21" s="1">
        <v>2</v>
      </c>
      <c r="AF21" s="1">
        <v>0</v>
      </c>
      <c r="AG21" s="1">
        <v>52</v>
      </c>
      <c r="AI21" s="11" t="s">
        <v>47</v>
      </c>
      <c r="AJ21" s="1">
        <v>11.05</v>
      </c>
      <c r="AK21" s="1">
        <v>192</v>
      </c>
      <c r="AL21" s="11" t="s">
        <v>187</v>
      </c>
      <c r="AM21" s="31">
        <f t="shared" si="0"/>
        <v>1.1560693641618497E-2</v>
      </c>
    </row>
    <row r="22" spans="1:39" x14ac:dyDescent="0.55000000000000004">
      <c r="A22" s="1" t="s">
        <v>188</v>
      </c>
      <c r="B22" s="1" t="s">
        <v>189</v>
      </c>
      <c r="C22" s="1" t="s">
        <v>66</v>
      </c>
      <c r="D22" s="1" t="s">
        <v>190</v>
      </c>
      <c r="E22" s="1">
        <v>24</v>
      </c>
      <c r="F22" s="1" t="s">
        <v>169</v>
      </c>
      <c r="G22" s="1" t="s">
        <v>131</v>
      </c>
      <c r="J22" s="22">
        <v>43710</v>
      </c>
      <c r="K22" s="11" t="s">
        <v>191</v>
      </c>
      <c r="P22" s="14"/>
      <c r="Q22" s="14"/>
      <c r="R22" s="14"/>
      <c r="S22" s="14"/>
      <c r="T22" s="1">
        <v>5.61</v>
      </c>
      <c r="U22" s="10" t="s">
        <v>72</v>
      </c>
      <c r="V22" s="1">
        <v>165</v>
      </c>
      <c r="W22" s="1">
        <v>32.26</v>
      </c>
      <c r="X22" s="1">
        <v>513</v>
      </c>
      <c r="Y22" s="1">
        <v>1</v>
      </c>
      <c r="Z22" s="1">
        <v>23.09</v>
      </c>
      <c r="AA22" s="1">
        <v>30.79</v>
      </c>
      <c r="AB22" s="1">
        <v>13.84</v>
      </c>
      <c r="AC22" s="1">
        <v>3.97</v>
      </c>
      <c r="AD22" s="1">
        <v>0.88</v>
      </c>
      <c r="AE22" s="1">
        <v>8</v>
      </c>
      <c r="AG22" s="1">
        <v>219</v>
      </c>
      <c r="AI22" s="11" t="s">
        <v>47</v>
      </c>
      <c r="AJ22" s="1">
        <v>5.61</v>
      </c>
      <c r="AK22" s="1">
        <v>39.130000000000003</v>
      </c>
      <c r="AL22" s="11" t="s">
        <v>192</v>
      </c>
      <c r="AM22" s="31">
        <f t="shared" si="0"/>
        <v>4.8484848484848485E-2</v>
      </c>
    </row>
    <row r="23" spans="1:39" x14ac:dyDescent="0.55000000000000004">
      <c r="A23" s="1" t="s">
        <v>193</v>
      </c>
      <c r="B23" s="1" t="s">
        <v>194</v>
      </c>
      <c r="C23" s="1" t="s">
        <v>41</v>
      </c>
      <c r="D23" s="1" t="s">
        <v>195</v>
      </c>
      <c r="E23" s="1">
        <v>60</v>
      </c>
      <c r="F23" s="1" t="s">
        <v>196</v>
      </c>
      <c r="G23" s="1" t="s">
        <v>82</v>
      </c>
      <c r="I23" s="1" t="s">
        <v>197</v>
      </c>
      <c r="J23" s="1" t="s">
        <v>158</v>
      </c>
      <c r="L23" s="2">
        <v>0</v>
      </c>
      <c r="M23" s="2" t="s">
        <v>198</v>
      </c>
      <c r="N23" s="2" t="s">
        <v>163</v>
      </c>
      <c r="O23" s="14"/>
      <c r="T23" s="1">
        <v>1.2</v>
      </c>
      <c r="U23" s="10" t="s">
        <v>199</v>
      </c>
      <c r="V23" s="1">
        <v>62</v>
      </c>
      <c r="W23" s="1">
        <v>15.72</v>
      </c>
      <c r="X23" s="1">
        <v>397</v>
      </c>
      <c r="Y23" s="1">
        <v>113</v>
      </c>
      <c r="Z23" s="1">
        <v>2.89</v>
      </c>
      <c r="AA23" s="1">
        <v>58.23</v>
      </c>
      <c r="AB23" s="1">
        <v>23.14</v>
      </c>
      <c r="AC23" s="1">
        <v>3.47</v>
      </c>
      <c r="AD23" s="1">
        <v>0.93</v>
      </c>
      <c r="AE23" s="1">
        <v>5</v>
      </c>
      <c r="AF23" s="1">
        <v>0</v>
      </c>
      <c r="AG23" s="1">
        <v>623</v>
      </c>
      <c r="AH23" s="11" t="s">
        <v>200</v>
      </c>
      <c r="AI23" s="11" t="s">
        <v>86</v>
      </c>
      <c r="AJ23" s="1">
        <v>2.88</v>
      </c>
      <c r="AK23" s="1">
        <v>17</v>
      </c>
      <c r="AL23" s="11" t="s">
        <v>197</v>
      </c>
      <c r="AM23" s="31">
        <f t="shared" si="0"/>
        <v>8.0645161290322578E-2</v>
      </c>
    </row>
    <row r="24" spans="1:39" x14ac:dyDescent="0.55000000000000004">
      <c r="A24" s="1" t="s">
        <v>201</v>
      </c>
      <c r="B24" s="1" t="s">
        <v>202</v>
      </c>
      <c r="C24" s="1" t="s">
        <v>41</v>
      </c>
      <c r="D24" s="1" t="s">
        <v>203</v>
      </c>
      <c r="E24" s="1">
        <v>72</v>
      </c>
      <c r="F24" s="1" t="s">
        <v>101</v>
      </c>
      <c r="G24" s="1" t="s">
        <v>82</v>
      </c>
      <c r="H24" s="13" t="s">
        <v>139</v>
      </c>
      <c r="J24" s="11" t="s">
        <v>204</v>
      </c>
      <c r="L24" s="2">
        <v>0</v>
      </c>
      <c r="N24" s="2" t="s">
        <v>163</v>
      </c>
      <c r="O24" s="14" t="s">
        <v>205</v>
      </c>
      <c r="T24" s="1">
        <v>9.16</v>
      </c>
      <c r="U24" s="10" t="s">
        <v>46</v>
      </c>
      <c r="V24" s="1">
        <v>63</v>
      </c>
      <c r="W24" s="1">
        <v>19.23</v>
      </c>
      <c r="X24" s="1">
        <v>327</v>
      </c>
      <c r="Y24" s="1">
        <v>144</v>
      </c>
      <c r="Z24" s="1">
        <v>7.63</v>
      </c>
      <c r="AA24" s="1">
        <v>50.99</v>
      </c>
      <c r="AB24" s="1">
        <v>22.13</v>
      </c>
      <c r="AC24" s="1">
        <v>1.64</v>
      </c>
      <c r="AD24" s="1">
        <v>0.84</v>
      </c>
      <c r="AE24" s="1">
        <v>11</v>
      </c>
      <c r="AF24" s="1">
        <v>0</v>
      </c>
      <c r="AG24" s="1">
        <v>1271</v>
      </c>
      <c r="AH24" s="11" t="s">
        <v>154</v>
      </c>
      <c r="AI24" s="11" t="s">
        <v>86</v>
      </c>
      <c r="AJ24" s="1">
        <v>16.18</v>
      </c>
      <c r="AK24" s="1">
        <v>63</v>
      </c>
      <c r="AL24" s="11" t="s">
        <v>155</v>
      </c>
      <c r="AM24" s="31">
        <f t="shared" si="0"/>
        <v>0.17460317460317459</v>
      </c>
    </row>
    <row r="25" spans="1:39" x14ac:dyDescent="0.55000000000000004">
      <c r="A25" s="1" t="s">
        <v>206</v>
      </c>
      <c r="B25" s="1" t="s">
        <v>207</v>
      </c>
      <c r="C25" s="1" t="s">
        <v>41</v>
      </c>
      <c r="D25" s="1" t="s">
        <v>208</v>
      </c>
      <c r="E25" s="1">
        <v>79</v>
      </c>
      <c r="F25" s="1" t="s">
        <v>101</v>
      </c>
      <c r="G25" s="1" t="s">
        <v>82</v>
      </c>
      <c r="I25" s="1" t="s">
        <v>209</v>
      </c>
      <c r="J25" s="1" t="s">
        <v>210</v>
      </c>
      <c r="L25" s="2">
        <v>0</v>
      </c>
      <c r="M25" s="2" t="s">
        <v>211</v>
      </c>
      <c r="N25" s="2" t="s">
        <v>212</v>
      </c>
      <c r="O25" s="14" t="s">
        <v>213</v>
      </c>
      <c r="T25" s="1">
        <v>23.9</v>
      </c>
      <c r="U25" s="10" t="s">
        <v>61</v>
      </c>
      <c r="V25" s="1">
        <v>64</v>
      </c>
      <c r="W25" s="1">
        <v>28.85</v>
      </c>
      <c r="X25" s="1">
        <v>223</v>
      </c>
      <c r="Y25" s="1">
        <v>148</v>
      </c>
      <c r="Z25" s="1">
        <v>21.25</v>
      </c>
      <c r="AA25" s="1">
        <v>32.21</v>
      </c>
      <c r="AB25" s="1">
        <v>17.670000000000002</v>
      </c>
      <c r="AC25" s="1">
        <v>15.57</v>
      </c>
      <c r="AD25" s="1">
        <v>0.62</v>
      </c>
      <c r="AE25" s="1">
        <v>1</v>
      </c>
      <c r="AF25" s="1">
        <v>0</v>
      </c>
      <c r="AG25" s="1">
        <v>26</v>
      </c>
      <c r="AI25" s="11" t="s">
        <v>47</v>
      </c>
      <c r="AJ25" s="1">
        <v>28.83</v>
      </c>
      <c r="AK25" s="1">
        <v>86</v>
      </c>
      <c r="AL25" s="11" t="s">
        <v>214</v>
      </c>
      <c r="AM25" s="31">
        <f t="shared" si="0"/>
        <v>1.5625E-2</v>
      </c>
    </row>
    <row r="26" spans="1:39" x14ac:dyDescent="0.55000000000000004">
      <c r="A26" s="1" t="s">
        <v>218</v>
      </c>
      <c r="B26" s="1" t="s">
        <v>219</v>
      </c>
      <c r="C26" s="1" t="s">
        <v>41</v>
      </c>
      <c r="D26" s="1" t="s">
        <v>220</v>
      </c>
      <c r="E26" s="1">
        <v>58</v>
      </c>
      <c r="F26" s="1" t="s">
        <v>58</v>
      </c>
      <c r="G26" s="1" t="s">
        <v>44</v>
      </c>
      <c r="J26" s="1" t="s">
        <v>221</v>
      </c>
      <c r="K26" s="1" t="s">
        <v>222</v>
      </c>
      <c r="T26" s="1">
        <v>6.66</v>
      </c>
      <c r="U26" s="10" t="s">
        <v>46</v>
      </c>
      <c r="V26" s="1">
        <v>35</v>
      </c>
      <c r="W26" s="1">
        <v>10.66</v>
      </c>
      <c r="X26" s="1">
        <v>333</v>
      </c>
      <c r="Y26" s="1">
        <v>362</v>
      </c>
      <c r="Z26" s="1">
        <v>13.36</v>
      </c>
      <c r="AA26" s="1">
        <v>62.46</v>
      </c>
      <c r="AB26" s="1">
        <v>13.51</v>
      </c>
      <c r="AC26" s="1">
        <v>16.21</v>
      </c>
      <c r="AD26" s="1">
        <v>0.74</v>
      </c>
      <c r="AE26" s="1">
        <v>11</v>
      </c>
      <c r="AG26" s="1">
        <v>390</v>
      </c>
      <c r="AH26" s="11" t="s">
        <v>223</v>
      </c>
      <c r="AI26" s="11" t="s">
        <v>47</v>
      </c>
      <c r="AJ26" s="1">
        <v>13.52</v>
      </c>
      <c r="AK26" s="1">
        <v>14</v>
      </c>
      <c r="AL26" s="11" t="s">
        <v>224</v>
      </c>
      <c r="AM26" s="31">
        <f t="shared" si="0"/>
        <v>0.31428571428571428</v>
      </c>
    </row>
    <row r="27" spans="1:39" x14ac:dyDescent="0.55000000000000004">
      <c r="A27" s="1" t="s">
        <v>225</v>
      </c>
      <c r="B27" s="1" t="s">
        <v>226</v>
      </c>
      <c r="C27" s="1" t="s">
        <v>66</v>
      </c>
      <c r="D27" s="1" t="s">
        <v>227</v>
      </c>
      <c r="E27" s="1">
        <v>55</v>
      </c>
      <c r="F27" s="1" t="s">
        <v>216</v>
      </c>
      <c r="G27" s="1" t="s">
        <v>44</v>
      </c>
      <c r="J27" s="1" t="s">
        <v>228</v>
      </c>
      <c r="L27" s="2">
        <v>0</v>
      </c>
      <c r="T27" s="1">
        <v>17.48</v>
      </c>
      <c r="U27" s="10" t="s">
        <v>61</v>
      </c>
      <c r="V27" s="1">
        <v>76</v>
      </c>
      <c r="W27" s="1">
        <v>17.97</v>
      </c>
      <c r="X27" s="1">
        <v>425</v>
      </c>
      <c r="Y27" s="1">
        <v>85</v>
      </c>
      <c r="Z27" s="1">
        <v>4.8099999999999996</v>
      </c>
      <c r="AA27" s="1">
        <v>76.959999999999994</v>
      </c>
      <c r="AB27" s="1">
        <v>0.23</v>
      </c>
      <c r="AC27" s="1">
        <v>10.43</v>
      </c>
      <c r="AD27" s="1">
        <v>0.92</v>
      </c>
      <c r="AE27" s="1">
        <v>3</v>
      </c>
      <c r="AF27" s="1">
        <v>0</v>
      </c>
      <c r="AG27" s="1">
        <v>46</v>
      </c>
      <c r="AI27" s="11" t="s">
        <v>47</v>
      </c>
      <c r="AJ27" s="1">
        <v>2.62</v>
      </c>
      <c r="AK27" s="1">
        <v>14</v>
      </c>
      <c r="AM27" s="31">
        <f t="shared" si="0"/>
        <v>3.9473684210526314E-2</v>
      </c>
    </row>
    <row r="28" spans="1:39" x14ac:dyDescent="0.55000000000000004">
      <c r="A28" s="1" t="s">
        <v>229</v>
      </c>
      <c r="B28" s="1" t="s">
        <v>230</v>
      </c>
      <c r="C28" s="1" t="s">
        <v>66</v>
      </c>
      <c r="D28" s="1" t="s">
        <v>231</v>
      </c>
      <c r="E28" s="1">
        <v>70</v>
      </c>
      <c r="F28" s="1" t="s">
        <v>216</v>
      </c>
      <c r="G28" s="1" t="s">
        <v>44</v>
      </c>
      <c r="J28" s="1" t="s">
        <v>232</v>
      </c>
      <c r="K28" s="1" t="s">
        <v>96</v>
      </c>
      <c r="L28" s="2">
        <v>1</v>
      </c>
      <c r="M28" s="2" t="s">
        <v>233</v>
      </c>
      <c r="T28" s="1">
        <v>49.45</v>
      </c>
      <c r="U28" s="10" t="s">
        <v>234</v>
      </c>
      <c r="V28" s="1">
        <v>40</v>
      </c>
      <c r="W28" s="1">
        <v>12.59</v>
      </c>
      <c r="X28" s="1">
        <v>321</v>
      </c>
      <c r="Y28" s="1">
        <v>192</v>
      </c>
      <c r="Z28" s="1">
        <v>13.99</v>
      </c>
      <c r="AA28" s="1">
        <v>53.49</v>
      </c>
      <c r="AB28" s="1">
        <v>19.899999999999999</v>
      </c>
      <c r="AC28" s="1">
        <v>14.74</v>
      </c>
      <c r="AD28" s="1">
        <v>0.84</v>
      </c>
      <c r="AE28" s="1">
        <v>1</v>
      </c>
      <c r="AF28" s="1">
        <v>1</v>
      </c>
      <c r="AG28" s="1">
        <v>27</v>
      </c>
      <c r="AI28" s="11" t="s">
        <v>47</v>
      </c>
      <c r="AJ28" s="1">
        <v>65.180000000000007</v>
      </c>
      <c r="AK28" s="1">
        <v>262</v>
      </c>
      <c r="AL28" s="11" t="s">
        <v>235</v>
      </c>
      <c r="AM28" s="31">
        <f t="shared" si="0"/>
        <v>2.5000000000000001E-2</v>
      </c>
    </row>
    <row r="29" spans="1:39" x14ac:dyDescent="0.55000000000000004">
      <c r="A29" s="1" t="s">
        <v>236</v>
      </c>
      <c r="B29" s="1" t="s">
        <v>237</v>
      </c>
      <c r="C29" s="1" t="s">
        <v>41</v>
      </c>
      <c r="D29" s="1" t="s">
        <v>238</v>
      </c>
      <c r="E29" s="1">
        <v>58</v>
      </c>
      <c r="F29" s="1" t="s">
        <v>58</v>
      </c>
      <c r="G29" s="1" t="s">
        <v>44</v>
      </c>
      <c r="J29" s="1" t="s">
        <v>239</v>
      </c>
      <c r="K29" s="1" t="s">
        <v>240</v>
      </c>
      <c r="L29" s="2">
        <v>0</v>
      </c>
      <c r="T29" s="1">
        <v>0</v>
      </c>
      <c r="U29" s="10" t="s">
        <v>217</v>
      </c>
      <c r="V29" s="1">
        <v>84</v>
      </c>
      <c r="W29" s="1">
        <v>31.57</v>
      </c>
      <c r="X29" s="1">
        <v>266</v>
      </c>
      <c r="Y29" s="1">
        <v>50</v>
      </c>
      <c r="Z29" s="1">
        <v>3.57</v>
      </c>
      <c r="AA29" s="1">
        <v>46.99</v>
      </c>
      <c r="AB29" s="1">
        <v>17.850000000000001</v>
      </c>
      <c r="AC29" s="1">
        <v>9.4700000000000006</v>
      </c>
      <c r="AD29" s="1">
        <v>0.61</v>
      </c>
      <c r="AE29" s="1">
        <v>1</v>
      </c>
      <c r="AF29" s="1">
        <v>0</v>
      </c>
      <c r="AG29" s="1">
        <v>12</v>
      </c>
      <c r="AI29" s="11" t="s">
        <v>47</v>
      </c>
      <c r="AJ29" s="1">
        <v>0</v>
      </c>
      <c r="AK29" s="1">
        <v>0</v>
      </c>
      <c r="AM29" s="31">
        <f t="shared" si="0"/>
        <v>1.1904761904761904E-2</v>
      </c>
    </row>
    <row r="30" spans="1:39" x14ac:dyDescent="0.55000000000000004">
      <c r="A30" s="1" t="s">
        <v>241</v>
      </c>
      <c r="B30" s="1" t="s">
        <v>242</v>
      </c>
      <c r="C30" s="1" t="s">
        <v>41</v>
      </c>
      <c r="D30" s="1" t="s">
        <v>243</v>
      </c>
      <c r="E30" s="1">
        <v>59</v>
      </c>
      <c r="F30" s="1" t="s">
        <v>216</v>
      </c>
      <c r="G30" s="1" t="s">
        <v>44</v>
      </c>
      <c r="J30" s="1" t="s">
        <v>244</v>
      </c>
      <c r="L30" s="2">
        <v>0</v>
      </c>
      <c r="T30" s="1">
        <v>2.98</v>
      </c>
      <c r="U30" s="10" t="s">
        <v>217</v>
      </c>
      <c r="V30" s="1">
        <v>91</v>
      </c>
      <c r="W30" s="1">
        <v>25.13</v>
      </c>
      <c r="X30" s="1">
        <v>362</v>
      </c>
      <c r="Y30" s="1">
        <v>145</v>
      </c>
      <c r="Z30" s="1">
        <v>2.76</v>
      </c>
      <c r="AA30" s="1">
        <v>49.44</v>
      </c>
      <c r="AB30" s="1">
        <v>22.65</v>
      </c>
      <c r="AC30" s="1">
        <v>6.62</v>
      </c>
      <c r="AD30" s="1">
        <v>0.89</v>
      </c>
      <c r="AE30" s="1">
        <v>2</v>
      </c>
      <c r="AF30" s="1">
        <v>0</v>
      </c>
      <c r="AG30" s="1">
        <v>63</v>
      </c>
      <c r="AI30" s="11" t="s">
        <v>47</v>
      </c>
      <c r="AJ30" s="1">
        <v>1.97</v>
      </c>
      <c r="AK30" s="1">
        <v>0</v>
      </c>
      <c r="AL30" s="11" t="s">
        <v>245</v>
      </c>
      <c r="AM30" s="31">
        <f t="shared" si="0"/>
        <v>2.197802197802198E-2</v>
      </c>
    </row>
    <row r="31" spans="1:39" s="34" customFormat="1" x14ac:dyDescent="0.55000000000000004">
      <c r="A31" s="30" t="s">
        <v>246</v>
      </c>
      <c r="B31" s="30" t="s">
        <v>247</v>
      </c>
      <c r="C31" s="30" t="s">
        <v>41</v>
      </c>
      <c r="D31" s="30" t="s">
        <v>248</v>
      </c>
      <c r="E31" s="31">
        <v>70</v>
      </c>
      <c r="F31" s="30" t="s">
        <v>216</v>
      </c>
      <c r="G31" s="30" t="s">
        <v>44</v>
      </c>
      <c r="H31" s="31"/>
      <c r="I31" s="31"/>
      <c r="J31" s="30" t="s">
        <v>249</v>
      </c>
      <c r="K31" s="31"/>
      <c r="L31" s="32">
        <v>0</v>
      </c>
      <c r="M31" s="32"/>
      <c r="N31" s="32"/>
      <c r="O31" s="32"/>
      <c r="P31" s="32"/>
      <c r="Q31" s="32"/>
      <c r="R31" s="32"/>
      <c r="S31" s="32"/>
      <c r="T31" s="31">
        <v>10.76</v>
      </c>
      <c r="U31" s="33" t="s">
        <v>72</v>
      </c>
      <c r="V31" s="31">
        <v>55</v>
      </c>
      <c r="W31" s="31">
        <v>21.44</v>
      </c>
      <c r="X31" s="31">
        <v>256</v>
      </c>
      <c r="Y31" s="31">
        <v>309</v>
      </c>
      <c r="Z31" s="31">
        <v>3.5</v>
      </c>
      <c r="AA31" s="31">
        <v>74.849999999999994</v>
      </c>
      <c r="AB31" s="31">
        <v>0.19</v>
      </c>
      <c r="AC31" s="31">
        <v>3.04</v>
      </c>
      <c r="AD31" s="31">
        <v>0.89</v>
      </c>
      <c r="AE31" s="31">
        <v>2</v>
      </c>
      <c r="AF31" s="31">
        <v>0</v>
      </c>
      <c r="AG31" s="31">
        <v>234</v>
      </c>
      <c r="AH31" s="31"/>
      <c r="AI31" s="30" t="s">
        <v>47</v>
      </c>
      <c r="AJ31" s="31">
        <v>0</v>
      </c>
      <c r="AK31" s="31">
        <v>0</v>
      </c>
      <c r="AL31" s="31"/>
      <c r="AM31" s="31">
        <f t="shared" si="0"/>
        <v>3.6363636363636362E-2</v>
      </c>
    </row>
    <row r="32" spans="1:39" x14ac:dyDescent="0.55000000000000004">
      <c r="A32" s="1" t="s">
        <v>250</v>
      </c>
      <c r="B32" s="1" t="s">
        <v>251</v>
      </c>
      <c r="C32" s="1" t="s">
        <v>41</v>
      </c>
      <c r="D32" s="1" t="s">
        <v>252</v>
      </c>
      <c r="E32" s="1">
        <v>50</v>
      </c>
      <c r="F32" s="1" t="s">
        <v>58</v>
      </c>
      <c r="G32" s="1" t="s">
        <v>44</v>
      </c>
      <c r="J32" s="1" t="s">
        <v>253</v>
      </c>
      <c r="L32" s="2">
        <v>0</v>
      </c>
      <c r="T32" s="1">
        <v>1.68</v>
      </c>
      <c r="U32" s="10" t="s">
        <v>72</v>
      </c>
      <c r="V32" s="1">
        <v>86</v>
      </c>
      <c r="W32" s="1">
        <v>21.99</v>
      </c>
      <c r="X32" s="1">
        <v>391</v>
      </c>
      <c r="Y32" s="1">
        <v>104</v>
      </c>
      <c r="Z32" s="1">
        <v>7.8</v>
      </c>
      <c r="AA32" s="1">
        <v>50.63</v>
      </c>
      <c r="AB32" s="1">
        <v>19.559999999999999</v>
      </c>
      <c r="AC32" s="1">
        <v>3.83</v>
      </c>
      <c r="AD32" s="1">
        <v>0.89</v>
      </c>
      <c r="AE32" s="1">
        <v>1</v>
      </c>
      <c r="AF32" s="1">
        <v>0</v>
      </c>
      <c r="AG32" s="1">
        <v>7</v>
      </c>
      <c r="AI32" s="11" t="s">
        <v>47</v>
      </c>
      <c r="AJ32" s="1">
        <v>2.08</v>
      </c>
      <c r="AK32" s="1">
        <v>22</v>
      </c>
      <c r="AM32" s="31">
        <f t="shared" ref="AM32:AM63" si="1">AE32/V32</f>
        <v>1.1627906976744186E-2</v>
      </c>
    </row>
    <row r="33" spans="1:39" x14ac:dyDescent="0.55000000000000004">
      <c r="A33" s="1" t="s">
        <v>254</v>
      </c>
      <c r="B33" s="1" t="s">
        <v>255</v>
      </c>
      <c r="C33" s="1" t="s">
        <v>41</v>
      </c>
      <c r="D33" s="1" t="s">
        <v>256</v>
      </c>
      <c r="E33" s="1">
        <v>66</v>
      </c>
      <c r="F33" s="1" t="s">
        <v>216</v>
      </c>
      <c r="G33" s="1" t="s">
        <v>44</v>
      </c>
      <c r="J33" s="1" t="s">
        <v>257</v>
      </c>
      <c r="L33" s="2">
        <v>0</v>
      </c>
      <c r="T33" s="1">
        <v>89.1</v>
      </c>
      <c r="U33" s="10" t="s">
        <v>258</v>
      </c>
      <c r="V33" s="1">
        <v>8</v>
      </c>
      <c r="W33" s="1">
        <v>2.41</v>
      </c>
      <c r="X33" s="1">
        <v>351</v>
      </c>
      <c r="Y33" s="1">
        <v>346</v>
      </c>
      <c r="Z33" s="1">
        <v>8.67</v>
      </c>
      <c r="AA33" s="1">
        <v>79.510000000000005</v>
      </c>
      <c r="AB33" s="1">
        <v>9.3800000000000008</v>
      </c>
      <c r="AC33" s="1">
        <v>36.520000000000003</v>
      </c>
      <c r="AD33" s="1">
        <v>0.78</v>
      </c>
      <c r="AE33" s="1">
        <v>2</v>
      </c>
      <c r="AF33" s="1">
        <v>0</v>
      </c>
      <c r="AG33" s="1">
        <v>87</v>
      </c>
      <c r="AI33" s="11" t="s">
        <v>47</v>
      </c>
      <c r="AJ33" s="1">
        <v>42.33</v>
      </c>
      <c r="AK33" s="1">
        <v>42</v>
      </c>
      <c r="AM33" s="31">
        <f t="shared" si="1"/>
        <v>0.25</v>
      </c>
    </row>
    <row r="34" spans="1:39" x14ac:dyDescent="0.55000000000000004">
      <c r="A34" s="1" t="s">
        <v>259</v>
      </c>
      <c r="B34" s="1" t="s">
        <v>260</v>
      </c>
      <c r="C34" s="1" t="s">
        <v>66</v>
      </c>
      <c r="D34" s="1" t="s">
        <v>261</v>
      </c>
      <c r="E34" s="1">
        <v>62</v>
      </c>
      <c r="F34" s="1" t="s">
        <v>216</v>
      </c>
      <c r="G34" s="1" t="s">
        <v>44</v>
      </c>
      <c r="J34" s="1" t="s">
        <v>262</v>
      </c>
      <c r="K34" s="1" t="s">
        <v>263</v>
      </c>
      <c r="L34" s="2">
        <v>1</v>
      </c>
      <c r="T34" s="1">
        <v>17.97</v>
      </c>
      <c r="U34" s="10" t="s">
        <v>264</v>
      </c>
      <c r="V34" s="1">
        <v>10</v>
      </c>
      <c r="W34" s="1">
        <v>2.75</v>
      </c>
      <c r="X34" s="1">
        <v>380</v>
      </c>
      <c r="Y34" s="1">
        <v>393</v>
      </c>
      <c r="Z34" s="1">
        <v>6.57</v>
      </c>
      <c r="AA34" s="1">
        <v>77.260000000000005</v>
      </c>
      <c r="AB34" s="1">
        <v>13.4</v>
      </c>
      <c r="AC34" s="1">
        <v>10.24</v>
      </c>
      <c r="AD34" s="1">
        <v>0.89</v>
      </c>
      <c r="AE34" s="1">
        <v>1</v>
      </c>
      <c r="AF34" s="1">
        <v>1</v>
      </c>
      <c r="AG34" s="1">
        <v>292</v>
      </c>
      <c r="AI34" s="11" t="s">
        <v>47</v>
      </c>
      <c r="AJ34" s="1">
        <v>17.13</v>
      </c>
      <c r="AK34" s="1">
        <v>12</v>
      </c>
      <c r="AM34" s="31">
        <f t="shared" si="1"/>
        <v>0.1</v>
      </c>
    </row>
    <row r="35" spans="1:39" x14ac:dyDescent="0.55000000000000004">
      <c r="A35" s="1" t="s">
        <v>265</v>
      </c>
      <c r="B35" s="1" t="s">
        <v>266</v>
      </c>
      <c r="C35" s="1" t="s">
        <v>41</v>
      </c>
      <c r="D35" s="1" t="s">
        <v>267</v>
      </c>
      <c r="E35" s="1">
        <v>37</v>
      </c>
      <c r="F35" s="1" t="s">
        <v>169</v>
      </c>
      <c r="G35" s="1" t="s">
        <v>131</v>
      </c>
      <c r="J35" s="1" t="s">
        <v>268</v>
      </c>
      <c r="K35" s="1" t="s">
        <v>269</v>
      </c>
      <c r="P35" s="14" t="s">
        <v>270</v>
      </c>
      <c r="Q35" s="14">
        <v>5</v>
      </c>
      <c r="R35" s="14" t="s">
        <v>134</v>
      </c>
      <c r="S35" s="20"/>
      <c r="T35" s="1">
        <v>17.04</v>
      </c>
      <c r="U35" s="10" t="s">
        <v>61</v>
      </c>
      <c r="V35" s="1">
        <v>77</v>
      </c>
      <c r="W35" s="1">
        <v>18.22</v>
      </c>
      <c r="X35" s="1">
        <v>422</v>
      </c>
      <c r="Y35" s="1">
        <v>101</v>
      </c>
      <c r="Z35" s="1">
        <v>17.510000000000002</v>
      </c>
      <c r="AA35" s="1">
        <v>41.77</v>
      </c>
      <c r="AB35" s="1">
        <v>22.48</v>
      </c>
      <c r="AC35" s="1">
        <v>17.89</v>
      </c>
      <c r="AD35" s="1">
        <v>0.85</v>
      </c>
      <c r="AE35" s="1">
        <v>4</v>
      </c>
      <c r="AG35" s="12">
        <v>831</v>
      </c>
      <c r="AH35" s="23" t="s">
        <v>154</v>
      </c>
      <c r="AI35" s="24" t="s">
        <v>86</v>
      </c>
      <c r="AJ35" s="12">
        <f>4.67+8.57+1.55+18.7</f>
        <v>33.49</v>
      </c>
      <c r="AK35" s="12">
        <f>120+4*60+34+53</f>
        <v>447</v>
      </c>
      <c r="AL35" s="12" t="s">
        <v>271</v>
      </c>
      <c r="AM35" s="31">
        <f t="shared" si="1"/>
        <v>5.1948051948051951E-2</v>
      </c>
    </row>
    <row r="36" spans="1:39" x14ac:dyDescent="0.55000000000000004">
      <c r="A36" s="1" t="s">
        <v>272</v>
      </c>
      <c r="B36" s="1" t="s">
        <v>273</v>
      </c>
      <c r="C36" s="1" t="s">
        <v>41</v>
      </c>
      <c r="D36" s="1" t="s">
        <v>274</v>
      </c>
      <c r="E36" s="1">
        <v>63</v>
      </c>
      <c r="F36" s="1" t="s">
        <v>101</v>
      </c>
      <c r="G36" s="1" t="s">
        <v>82</v>
      </c>
      <c r="I36" s="1" t="s">
        <v>197</v>
      </c>
      <c r="J36" s="1" t="s">
        <v>275</v>
      </c>
      <c r="L36" s="2">
        <v>0</v>
      </c>
      <c r="O36" s="14" t="s">
        <v>276</v>
      </c>
      <c r="T36" s="1">
        <v>0.64</v>
      </c>
      <c r="U36" s="10" t="s">
        <v>72</v>
      </c>
      <c r="V36" s="1">
        <v>36</v>
      </c>
      <c r="W36" s="1">
        <v>12.9</v>
      </c>
      <c r="X36" s="1">
        <v>279</v>
      </c>
      <c r="Y36" s="1">
        <v>85</v>
      </c>
      <c r="Z36" s="1">
        <v>15.59</v>
      </c>
      <c r="AA36" s="1">
        <v>58.78</v>
      </c>
      <c r="AB36" s="1">
        <v>12.72</v>
      </c>
      <c r="AC36" s="1">
        <v>7.95</v>
      </c>
      <c r="AD36" s="1">
        <v>0.72</v>
      </c>
      <c r="AE36" s="1">
        <v>11</v>
      </c>
      <c r="AG36" s="12">
        <v>1047</v>
      </c>
      <c r="AH36" s="23" t="s">
        <v>200</v>
      </c>
      <c r="AI36" s="24" t="s">
        <v>86</v>
      </c>
      <c r="AJ36" s="12">
        <v>0</v>
      </c>
      <c r="AK36" s="12">
        <v>0</v>
      </c>
      <c r="AL36" s="12" t="s">
        <v>197</v>
      </c>
      <c r="AM36" s="31">
        <f t="shared" si="1"/>
        <v>0.30555555555555558</v>
      </c>
    </row>
    <row r="37" spans="1:39" x14ac:dyDescent="0.55000000000000004">
      <c r="A37" s="11" t="s">
        <v>277</v>
      </c>
      <c r="B37" s="11" t="s">
        <v>278</v>
      </c>
      <c r="C37" s="11" t="s">
        <v>41</v>
      </c>
      <c r="D37" s="11" t="s">
        <v>279</v>
      </c>
      <c r="E37" s="1">
        <v>70</v>
      </c>
      <c r="F37" s="11" t="s">
        <v>280</v>
      </c>
      <c r="G37" s="11" t="s">
        <v>82</v>
      </c>
      <c r="I37" s="11" t="s">
        <v>281</v>
      </c>
      <c r="J37" s="11" t="s">
        <v>282</v>
      </c>
      <c r="K37" s="11" t="s">
        <v>283</v>
      </c>
      <c r="L37" s="2">
        <v>1</v>
      </c>
      <c r="M37" s="2" t="s">
        <v>284</v>
      </c>
      <c r="N37" s="2" t="s">
        <v>163</v>
      </c>
      <c r="O37" s="14" t="s">
        <v>285</v>
      </c>
      <c r="T37" s="1">
        <v>19.309999999999999</v>
      </c>
      <c r="U37" s="10" t="s">
        <v>61</v>
      </c>
      <c r="V37" s="1">
        <v>25</v>
      </c>
      <c r="W37" s="1">
        <v>14.65</v>
      </c>
      <c r="X37" s="1">
        <v>174</v>
      </c>
      <c r="Y37" s="1">
        <v>233</v>
      </c>
      <c r="Z37" s="1">
        <v>34.479999999999997</v>
      </c>
      <c r="AA37" s="1">
        <v>39.08</v>
      </c>
      <c r="AB37" s="1">
        <v>11.78</v>
      </c>
      <c r="AC37" s="1">
        <v>31.03</v>
      </c>
      <c r="AD37" s="1">
        <v>0.52</v>
      </c>
      <c r="AE37" s="1">
        <v>6</v>
      </c>
      <c r="AF37" s="1">
        <v>0</v>
      </c>
      <c r="AG37" s="12">
        <v>370</v>
      </c>
      <c r="AH37" s="23" t="s">
        <v>85</v>
      </c>
      <c r="AI37" s="24" t="s">
        <v>86</v>
      </c>
      <c r="AJ37" s="12">
        <v>11.76</v>
      </c>
      <c r="AK37" s="12">
        <v>0</v>
      </c>
      <c r="AL37" s="12" t="s">
        <v>286</v>
      </c>
      <c r="AM37" s="31">
        <f t="shared" si="1"/>
        <v>0.24</v>
      </c>
    </row>
    <row r="38" spans="1:39" x14ac:dyDescent="0.55000000000000004">
      <c r="A38" s="11" t="s">
        <v>287</v>
      </c>
      <c r="B38" s="11" t="s">
        <v>288</v>
      </c>
      <c r="C38" s="11" t="s">
        <v>41</v>
      </c>
      <c r="D38" s="11" t="s">
        <v>289</v>
      </c>
      <c r="E38" s="1">
        <v>79</v>
      </c>
      <c r="F38" s="11" t="s">
        <v>101</v>
      </c>
      <c r="G38" s="11" t="s">
        <v>82</v>
      </c>
      <c r="J38" s="11" t="s">
        <v>290</v>
      </c>
      <c r="L38" s="2">
        <v>0</v>
      </c>
      <c r="N38" s="2" t="s">
        <v>163</v>
      </c>
      <c r="O38" s="14" t="s">
        <v>276</v>
      </c>
      <c r="T38" s="1">
        <v>6.29</v>
      </c>
      <c r="U38" s="10" t="s">
        <v>291</v>
      </c>
      <c r="V38" s="1">
        <v>75</v>
      </c>
      <c r="W38" s="1">
        <v>19.329999999999998</v>
      </c>
      <c r="X38" s="1">
        <v>390</v>
      </c>
      <c r="Y38" s="1">
        <v>88</v>
      </c>
      <c r="Z38" s="1">
        <v>5.37</v>
      </c>
      <c r="AA38" s="1">
        <v>60.56</v>
      </c>
      <c r="AB38" s="1">
        <v>14.72</v>
      </c>
      <c r="AC38" s="1">
        <v>4.91</v>
      </c>
      <c r="AD38" s="1">
        <v>0.9</v>
      </c>
      <c r="AE38" s="1">
        <v>11</v>
      </c>
      <c r="AF38" s="1">
        <v>1</v>
      </c>
      <c r="AG38" s="12">
        <v>306</v>
      </c>
      <c r="AH38" s="23" t="s">
        <v>223</v>
      </c>
      <c r="AI38" s="24" t="s">
        <v>86</v>
      </c>
      <c r="AJ38" s="12">
        <f>3.36+2.24+4.48</f>
        <v>10.08</v>
      </c>
      <c r="AK38" s="12">
        <f>56+41</f>
        <v>97</v>
      </c>
      <c r="AL38" s="12"/>
      <c r="AM38" s="31">
        <f t="shared" si="1"/>
        <v>0.14666666666666667</v>
      </c>
    </row>
    <row r="39" spans="1:39" x14ac:dyDescent="0.55000000000000004">
      <c r="A39" s="11" t="s">
        <v>292</v>
      </c>
      <c r="B39" s="11" t="s">
        <v>293</v>
      </c>
      <c r="C39" s="11" t="s">
        <v>41</v>
      </c>
      <c r="D39" s="11" t="s">
        <v>294</v>
      </c>
      <c r="E39" s="1">
        <v>82</v>
      </c>
      <c r="F39" s="11" t="s">
        <v>101</v>
      </c>
      <c r="G39" s="11" t="s">
        <v>82</v>
      </c>
      <c r="J39" s="11" t="s">
        <v>295</v>
      </c>
      <c r="K39" s="11" t="s">
        <v>296</v>
      </c>
      <c r="N39" s="2" t="s">
        <v>163</v>
      </c>
      <c r="O39" s="14" t="s">
        <v>297</v>
      </c>
      <c r="T39" s="1">
        <v>10.9</v>
      </c>
      <c r="U39" s="10" t="s">
        <v>46</v>
      </c>
      <c r="V39" s="1">
        <v>51</v>
      </c>
      <c r="W39" s="1">
        <v>18.54</v>
      </c>
      <c r="X39" s="1">
        <v>275</v>
      </c>
      <c r="Y39" s="1">
        <v>178</v>
      </c>
      <c r="Z39" s="1">
        <v>10</v>
      </c>
      <c r="AA39" s="1">
        <v>59.09</v>
      </c>
      <c r="AB39" s="1">
        <v>12.36</v>
      </c>
      <c r="AC39" s="1">
        <v>18.98</v>
      </c>
      <c r="AD39" s="1">
        <v>0.75</v>
      </c>
      <c r="AE39" s="1">
        <v>11</v>
      </c>
      <c r="AF39" s="1">
        <v>0</v>
      </c>
      <c r="AG39" s="12">
        <v>629</v>
      </c>
      <c r="AH39" s="23" t="s">
        <v>154</v>
      </c>
      <c r="AI39" s="24" t="s">
        <v>86</v>
      </c>
      <c r="AJ39" s="12">
        <v>5.88</v>
      </c>
      <c r="AK39" s="12">
        <v>0</v>
      </c>
      <c r="AL39" s="12" t="s">
        <v>146</v>
      </c>
      <c r="AM39" s="31">
        <f t="shared" si="1"/>
        <v>0.21568627450980393</v>
      </c>
    </row>
    <row r="40" spans="1:39" x14ac:dyDescent="0.55000000000000004">
      <c r="A40" s="11" t="s">
        <v>298</v>
      </c>
      <c r="B40" s="11" t="s">
        <v>299</v>
      </c>
      <c r="C40" s="11" t="s">
        <v>41</v>
      </c>
      <c r="D40" s="11" t="s">
        <v>300</v>
      </c>
      <c r="E40" s="1">
        <v>48</v>
      </c>
      <c r="F40" s="11" t="s">
        <v>101</v>
      </c>
      <c r="G40" s="11" t="s">
        <v>82</v>
      </c>
      <c r="I40" s="11" t="s">
        <v>301</v>
      </c>
      <c r="J40" s="11" t="s">
        <v>302</v>
      </c>
      <c r="L40" s="2">
        <v>0</v>
      </c>
      <c r="N40" s="2" t="s">
        <v>163</v>
      </c>
      <c r="O40" s="14" t="s">
        <v>276</v>
      </c>
      <c r="T40" s="1">
        <v>75.510000000000005</v>
      </c>
      <c r="U40" s="10" t="s">
        <v>53</v>
      </c>
      <c r="V40" s="1">
        <v>26</v>
      </c>
      <c r="W40" s="1">
        <v>11.89</v>
      </c>
      <c r="X40" s="1">
        <v>218</v>
      </c>
      <c r="Y40" s="1">
        <v>259</v>
      </c>
      <c r="Z40" s="1">
        <v>31.8</v>
      </c>
      <c r="AA40" s="1">
        <v>42.79</v>
      </c>
      <c r="AB40" s="1">
        <v>13.5</v>
      </c>
      <c r="AC40" s="1">
        <v>59.58</v>
      </c>
      <c r="AD40" s="1">
        <v>0.56000000000000005</v>
      </c>
      <c r="AE40" s="1">
        <v>4</v>
      </c>
      <c r="AG40" s="12">
        <v>95</v>
      </c>
      <c r="AH40" s="23" t="s">
        <v>154</v>
      </c>
      <c r="AI40" s="24" t="s">
        <v>47</v>
      </c>
      <c r="AJ40" s="12">
        <v>0</v>
      </c>
      <c r="AK40" s="12">
        <v>0</v>
      </c>
      <c r="AL40" s="12"/>
      <c r="AM40" s="31">
        <f t="shared" si="1"/>
        <v>0.15384615384615385</v>
      </c>
    </row>
    <row r="41" spans="1:39" x14ac:dyDescent="0.55000000000000004">
      <c r="A41" s="11" t="s">
        <v>303</v>
      </c>
      <c r="B41" s="11" t="s">
        <v>304</v>
      </c>
      <c r="C41" s="11" t="s">
        <v>41</v>
      </c>
      <c r="D41" s="11" t="s">
        <v>305</v>
      </c>
      <c r="E41" s="1">
        <v>60</v>
      </c>
      <c r="F41" s="11" t="s">
        <v>101</v>
      </c>
      <c r="G41" s="11" t="s">
        <v>82</v>
      </c>
      <c r="J41" s="11" t="s">
        <v>306</v>
      </c>
      <c r="K41" s="11" t="s">
        <v>307</v>
      </c>
      <c r="L41" s="2">
        <v>1</v>
      </c>
      <c r="M41" s="2" t="s">
        <v>308</v>
      </c>
      <c r="N41" s="2" t="s">
        <v>163</v>
      </c>
      <c r="O41" s="14"/>
      <c r="T41" s="1">
        <v>5.67</v>
      </c>
      <c r="U41" s="10" t="s">
        <v>309</v>
      </c>
      <c r="V41" s="1">
        <v>74</v>
      </c>
      <c r="W41" s="1">
        <v>25.16</v>
      </c>
      <c r="X41" s="1">
        <v>296</v>
      </c>
      <c r="Y41" s="1">
        <v>94</v>
      </c>
      <c r="Z41" s="1">
        <v>5.23</v>
      </c>
      <c r="AA41" s="1">
        <v>38.85</v>
      </c>
      <c r="AB41" s="1">
        <v>30.74</v>
      </c>
      <c r="AC41" s="1">
        <v>21.89</v>
      </c>
      <c r="AD41" s="1">
        <v>0.81</v>
      </c>
      <c r="AE41" s="1">
        <v>4</v>
      </c>
      <c r="AF41" s="1">
        <v>0</v>
      </c>
      <c r="AG41" s="12">
        <v>30</v>
      </c>
      <c r="AH41" s="23" t="s">
        <v>154</v>
      </c>
      <c r="AI41" s="24" t="s">
        <v>86</v>
      </c>
      <c r="AJ41" s="12">
        <f>0.8+8.04</f>
        <v>8.84</v>
      </c>
      <c r="AK41" s="12">
        <v>15</v>
      </c>
      <c r="AL41" s="12" t="s">
        <v>310</v>
      </c>
      <c r="AM41" s="31">
        <f t="shared" si="1"/>
        <v>5.4054054054054057E-2</v>
      </c>
    </row>
    <row r="42" spans="1:39" x14ac:dyDescent="0.55000000000000004">
      <c r="A42" s="11" t="s">
        <v>311</v>
      </c>
      <c r="B42" s="11" t="s">
        <v>312</v>
      </c>
      <c r="C42" s="11" t="s">
        <v>41</v>
      </c>
      <c r="D42" s="11" t="s">
        <v>313</v>
      </c>
      <c r="E42" s="1">
        <v>51</v>
      </c>
      <c r="F42" s="11" t="s">
        <v>314</v>
      </c>
      <c r="G42" s="11" t="s">
        <v>315</v>
      </c>
      <c r="I42" s="11" t="s">
        <v>316</v>
      </c>
      <c r="J42" s="11" t="s">
        <v>317</v>
      </c>
      <c r="K42" s="11" t="s">
        <v>318</v>
      </c>
      <c r="N42" s="2" t="s">
        <v>319</v>
      </c>
      <c r="O42" s="14"/>
      <c r="T42" s="1">
        <v>44</v>
      </c>
      <c r="U42" s="10" t="s">
        <v>320</v>
      </c>
      <c r="V42" s="1">
        <v>48</v>
      </c>
      <c r="W42" s="1">
        <v>9.35</v>
      </c>
      <c r="X42" s="1">
        <v>513</v>
      </c>
      <c r="Y42" s="1">
        <v>112</v>
      </c>
      <c r="Z42" s="1">
        <v>25.24</v>
      </c>
      <c r="AA42" s="1">
        <v>52.04</v>
      </c>
      <c r="AB42" s="1">
        <v>13.35</v>
      </c>
      <c r="AC42" s="1">
        <v>36.950000000000003</v>
      </c>
      <c r="AD42" s="1">
        <v>0.71</v>
      </c>
      <c r="AE42" s="1">
        <v>10</v>
      </c>
      <c r="AF42" s="1">
        <v>1</v>
      </c>
      <c r="AG42" s="12">
        <v>1093</v>
      </c>
      <c r="AH42" s="23" t="s">
        <v>85</v>
      </c>
      <c r="AI42" s="24" t="s">
        <v>86</v>
      </c>
      <c r="AJ42" s="12"/>
      <c r="AK42" s="12"/>
      <c r="AL42" s="12"/>
      <c r="AM42" s="31">
        <f t="shared" si="1"/>
        <v>0.20833333333333334</v>
      </c>
    </row>
    <row r="43" spans="1:39" x14ac:dyDescent="0.55000000000000004">
      <c r="A43" s="11" t="s">
        <v>321</v>
      </c>
      <c r="B43" s="11" t="s">
        <v>322</v>
      </c>
      <c r="C43" s="11" t="s">
        <v>66</v>
      </c>
      <c r="D43" s="11" t="s">
        <v>323</v>
      </c>
      <c r="E43" s="11">
        <v>59</v>
      </c>
      <c r="F43" s="11" t="s">
        <v>58</v>
      </c>
      <c r="G43" s="11" t="s">
        <v>44</v>
      </c>
      <c r="J43" s="11" t="s">
        <v>324</v>
      </c>
      <c r="K43" s="11" t="s">
        <v>325</v>
      </c>
      <c r="T43" s="1">
        <v>38.869999999999997</v>
      </c>
      <c r="U43" s="10" t="s">
        <v>326</v>
      </c>
      <c r="V43" s="1">
        <v>92</v>
      </c>
      <c r="W43" s="1">
        <v>23.59</v>
      </c>
      <c r="X43" s="1">
        <v>392</v>
      </c>
      <c r="Y43" s="1">
        <v>262</v>
      </c>
      <c r="Z43" s="1">
        <v>11.35</v>
      </c>
      <c r="AA43" s="1">
        <v>45.28</v>
      </c>
      <c r="AB43" s="1">
        <v>19.77</v>
      </c>
      <c r="AC43" s="1">
        <v>15.61</v>
      </c>
      <c r="AD43" s="1">
        <v>0.81</v>
      </c>
      <c r="AE43" s="1">
        <v>25</v>
      </c>
      <c r="AG43" s="12">
        <v>1404</v>
      </c>
      <c r="AH43" s="23" t="s">
        <v>154</v>
      </c>
      <c r="AI43" s="24" t="s">
        <v>86</v>
      </c>
      <c r="AJ43" s="12">
        <f>0.64+2.59+2.59+1.94+34.37</f>
        <v>42.129999999999995</v>
      </c>
      <c r="AK43" s="12">
        <f>54+60+44</f>
        <v>158</v>
      </c>
      <c r="AL43" s="12" t="s">
        <v>327</v>
      </c>
      <c r="AM43" s="31">
        <f t="shared" si="1"/>
        <v>0.27173913043478259</v>
      </c>
    </row>
    <row r="44" spans="1:39" x14ac:dyDescent="0.55000000000000004">
      <c r="A44" s="11" t="s">
        <v>328</v>
      </c>
      <c r="B44" s="11" t="s">
        <v>329</v>
      </c>
      <c r="C44" s="11" t="s">
        <v>66</v>
      </c>
      <c r="D44" s="11" t="s">
        <v>330</v>
      </c>
      <c r="E44" s="1">
        <v>68</v>
      </c>
      <c r="F44" s="11" t="s">
        <v>101</v>
      </c>
      <c r="G44" s="11" t="s">
        <v>82</v>
      </c>
      <c r="J44" s="11" t="s">
        <v>331</v>
      </c>
      <c r="K44" s="11" t="s">
        <v>332</v>
      </c>
      <c r="L44" s="2">
        <v>1</v>
      </c>
      <c r="M44" s="2" t="s">
        <v>308</v>
      </c>
      <c r="O44" s="14" t="s">
        <v>276</v>
      </c>
      <c r="T44" s="1">
        <v>56.8</v>
      </c>
      <c r="U44" s="10" t="s">
        <v>326</v>
      </c>
      <c r="V44" s="1">
        <v>50</v>
      </c>
      <c r="W44" s="1">
        <v>12.97</v>
      </c>
      <c r="X44" s="1">
        <v>385</v>
      </c>
      <c r="Y44" s="1">
        <v>385</v>
      </c>
      <c r="Z44" s="1">
        <v>25.55</v>
      </c>
      <c r="AA44" s="1">
        <v>47.34</v>
      </c>
      <c r="AB44" s="1">
        <v>14.13</v>
      </c>
      <c r="AC44" s="1">
        <v>46.07</v>
      </c>
      <c r="AD44" s="1">
        <v>0.78</v>
      </c>
      <c r="AE44" s="1">
        <v>1</v>
      </c>
      <c r="AG44" s="12">
        <v>25</v>
      </c>
      <c r="AH44" s="23"/>
      <c r="AI44" s="24" t="s">
        <v>47</v>
      </c>
      <c r="AJ44" s="12">
        <f>2.4+4.8+19.2</f>
        <v>26.4</v>
      </c>
      <c r="AK44" s="12">
        <f>33+10+60</f>
        <v>103</v>
      </c>
      <c r="AL44" s="12" t="s">
        <v>333</v>
      </c>
      <c r="AM44" s="31">
        <f t="shared" si="1"/>
        <v>0.02</v>
      </c>
    </row>
    <row r="45" spans="1:39" x14ac:dyDescent="0.55000000000000004">
      <c r="A45" s="11" t="s">
        <v>334</v>
      </c>
      <c r="B45" s="11" t="s">
        <v>335</v>
      </c>
      <c r="C45" s="11" t="s">
        <v>66</v>
      </c>
      <c r="D45" s="11" t="s">
        <v>336</v>
      </c>
      <c r="E45" s="1">
        <v>14</v>
      </c>
      <c r="F45" s="11" t="s">
        <v>101</v>
      </c>
      <c r="G45" s="11" t="s">
        <v>82</v>
      </c>
      <c r="J45" s="11" t="s">
        <v>337</v>
      </c>
      <c r="L45" s="2">
        <v>0</v>
      </c>
      <c r="O45" s="14">
        <v>0</v>
      </c>
      <c r="T45" s="1">
        <v>4.8600000000000003</v>
      </c>
      <c r="U45" s="10" t="s">
        <v>338</v>
      </c>
      <c r="V45" s="1">
        <v>66</v>
      </c>
      <c r="W45" s="1">
        <v>15.41</v>
      </c>
      <c r="X45" s="1">
        <v>431</v>
      </c>
      <c r="Y45" s="1">
        <v>77</v>
      </c>
      <c r="Z45" s="1">
        <v>4.4000000000000004</v>
      </c>
      <c r="AA45" s="1">
        <v>55.38</v>
      </c>
      <c r="AB45" s="1">
        <v>24.79</v>
      </c>
      <c r="AC45" s="1">
        <v>7.23</v>
      </c>
      <c r="AD45" s="1">
        <v>0.94</v>
      </c>
      <c r="AE45" s="1">
        <v>2</v>
      </c>
      <c r="AF45" s="1">
        <v>1</v>
      </c>
      <c r="AG45" s="12">
        <v>20</v>
      </c>
      <c r="AH45" s="23"/>
      <c r="AI45" s="24" t="s">
        <v>47</v>
      </c>
      <c r="AJ45" s="12">
        <f>3.6+0.9+4.51+4.51+0.9</f>
        <v>14.42</v>
      </c>
      <c r="AK45" s="12"/>
      <c r="AL45" s="12" t="s">
        <v>339</v>
      </c>
      <c r="AM45" s="31">
        <f t="shared" si="1"/>
        <v>3.0303030303030304E-2</v>
      </c>
    </row>
    <row r="46" spans="1:39" x14ac:dyDescent="0.55000000000000004">
      <c r="A46" s="11" t="s">
        <v>340</v>
      </c>
      <c r="B46" s="11" t="s">
        <v>341</v>
      </c>
      <c r="C46" s="11" t="s">
        <v>41</v>
      </c>
      <c r="D46" s="11" t="s">
        <v>342</v>
      </c>
      <c r="E46" s="1">
        <v>51</v>
      </c>
      <c r="F46" s="11" t="s">
        <v>101</v>
      </c>
      <c r="G46" s="11" t="s">
        <v>82</v>
      </c>
      <c r="J46" s="11" t="s">
        <v>343</v>
      </c>
      <c r="N46" s="2" t="s">
        <v>285</v>
      </c>
      <c r="O46" s="14"/>
      <c r="T46" s="1">
        <v>24.32</v>
      </c>
      <c r="U46" s="10" t="s">
        <v>320</v>
      </c>
      <c r="V46" s="1">
        <v>65</v>
      </c>
      <c r="W46" s="1">
        <v>17.8</v>
      </c>
      <c r="X46" s="1">
        <v>365</v>
      </c>
      <c r="Y46" s="1">
        <v>114</v>
      </c>
      <c r="Z46" s="1">
        <v>11.09</v>
      </c>
      <c r="AA46" s="1">
        <v>44.1</v>
      </c>
      <c r="AB46" s="1">
        <v>24.1</v>
      </c>
      <c r="AC46" s="1">
        <v>31.56</v>
      </c>
      <c r="AD46" s="1">
        <v>0.83</v>
      </c>
      <c r="AE46" s="1">
        <v>1</v>
      </c>
      <c r="AG46" s="12">
        <v>6</v>
      </c>
      <c r="AH46" s="23"/>
      <c r="AI46" s="24" t="s">
        <v>47</v>
      </c>
      <c r="AJ46" s="12">
        <f>11.07+14.76+7.38+32.3</f>
        <v>65.509999999999991</v>
      </c>
      <c r="AK46" s="12">
        <f>4*60+38+7*60+10+3*60+2</f>
        <v>890</v>
      </c>
      <c r="AL46" s="12" t="s">
        <v>344</v>
      </c>
      <c r="AM46" s="31">
        <f t="shared" si="1"/>
        <v>1.5384615384615385E-2</v>
      </c>
    </row>
    <row r="47" spans="1:39" x14ac:dyDescent="0.55000000000000004">
      <c r="A47" s="11" t="s">
        <v>345</v>
      </c>
      <c r="B47" s="11" t="s">
        <v>346</v>
      </c>
      <c r="C47" s="11" t="s">
        <v>66</v>
      </c>
      <c r="D47" s="11" t="s">
        <v>347</v>
      </c>
      <c r="E47" s="1">
        <v>20</v>
      </c>
      <c r="F47" s="11" t="s">
        <v>169</v>
      </c>
      <c r="G47" s="11" t="s">
        <v>131</v>
      </c>
      <c r="J47" s="11" t="s">
        <v>348</v>
      </c>
      <c r="L47" s="2">
        <v>0</v>
      </c>
      <c r="P47" s="14" t="s">
        <v>349</v>
      </c>
      <c r="Q47" s="14">
        <v>5</v>
      </c>
      <c r="R47" s="14" t="s">
        <v>134</v>
      </c>
      <c r="S47" s="14" t="s">
        <v>350</v>
      </c>
      <c r="T47" s="1">
        <v>12.75</v>
      </c>
      <c r="U47" s="10" t="s">
        <v>351</v>
      </c>
      <c r="V47" s="1">
        <v>138</v>
      </c>
      <c r="W47" s="1">
        <v>37.14</v>
      </c>
      <c r="X47" s="1">
        <v>371</v>
      </c>
      <c r="Y47" s="1">
        <v>1</v>
      </c>
      <c r="Z47" s="1">
        <v>7.67</v>
      </c>
      <c r="AA47" s="1">
        <v>29.74</v>
      </c>
      <c r="AB47" s="1">
        <v>25.43</v>
      </c>
      <c r="AC47" s="1">
        <v>31.65</v>
      </c>
      <c r="AD47" s="1">
        <v>0.86</v>
      </c>
      <c r="AE47" s="1">
        <v>2</v>
      </c>
      <c r="AF47" s="1">
        <v>0</v>
      </c>
      <c r="AG47" s="12">
        <v>51</v>
      </c>
      <c r="AH47" s="23"/>
      <c r="AI47" s="24" t="s">
        <v>47</v>
      </c>
      <c r="AJ47" s="12">
        <f>0+2.17+0.86+14.77</f>
        <v>17.8</v>
      </c>
      <c r="AK47" s="12">
        <f>59+24</f>
        <v>83</v>
      </c>
      <c r="AL47" s="12" t="s">
        <v>352</v>
      </c>
      <c r="AM47" s="31">
        <f t="shared" si="1"/>
        <v>1.4492753623188406E-2</v>
      </c>
    </row>
    <row r="48" spans="1:39" x14ac:dyDescent="0.55000000000000004">
      <c r="A48" s="11" t="s">
        <v>353</v>
      </c>
      <c r="B48" s="11" t="s">
        <v>354</v>
      </c>
      <c r="C48" s="11" t="s">
        <v>41</v>
      </c>
      <c r="D48" s="11" t="s">
        <v>355</v>
      </c>
      <c r="E48" s="1">
        <v>52</v>
      </c>
      <c r="F48" s="11" t="s">
        <v>101</v>
      </c>
      <c r="G48" s="11" t="s">
        <v>82</v>
      </c>
      <c r="J48" s="11" t="s">
        <v>356</v>
      </c>
      <c r="K48" s="11" t="s">
        <v>357</v>
      </c>
      <c r="L48" s="2">
        <v>1</v>
      </c>
      <c r="N48" s="2" t="s">
        <v>163</v>
      </c>
      <c r="O48" s="14" t="s">
        <v>276</v>
      </c>
      <c r="T48" s="1">
        <v>33.299999999999997</v>
      </c>
      <c r="U48" s="10" t="s">
        <v>358</v>
      </c>
      <c r="V48" s="1">
        <v>27</v>
      </c>
      <c r="W48" s="1">
        <v>8.77</v>
      </c>
      <c r="X48" s="1">
        <v>313</v>
      </c>
      <c r="Y48" s="1">
        <v>143</v>
      </c>
      <c r="Z48" s="1">
        <v>12.91</v>
      </c>
      <c r="AA48" s="1">
        <v>69.209999999999994</v>
      </c>
      <c r="AB48" s="1">
        <v>9.09</v>
      </c>
      <c r="AC48" s="1">
        <v>38.08</v>
      </c>
      <c r="AD48" s="1">
        <v>0.9</v>
      </c>
      <c r="AE48" s="1">
        <v>2</v>
      </c>
      <c r="AG48" s="12">
        <v>21</v>
      </c>
      <c r="AH48" s="23" t="s">
        <v>154</v>
      </c>
      <c r="AI48" s="24" t="s">
        <v>47</v>
      </c>
      <c r="AJ48" s="12">
        <v>8.7200000000000006</v>
      </c>
      <c r="AK48" s="12">
        <v>0</v>
      </c>
      <c r="AL48" s="12" t="s">
        <v>359</v>
      </c>
      <c r="AM48" s="31">
        <f t="shared" si="1"/>
        <v>7.407407407407407E-2</v>
      </c>
    </row>
    <row r="49" spans="1:39" x14ac:dyDescent="0.55000000000000004">
      <c r="A49" s="11" t="s">
        <v>360</v>
      </c>
      <c r="B49" s="11" t="s">
        <v>361</v>
      </c>
      <c r="C49" s="11" t="s">
        <v>41</v>
      </c>
      <c r="D49" s="11" t="s">
        <v>362</v>
      </c>
      <c r="E49" s="1">
        <v>72</v>
      </c>
      <c r="F49" s="11" t="s">
        <v>363</v>
      </c>
      <c r="G49" s="11" t="s">
        <v>315</v>
      </c>
      <c r="J49" s="11" t="s">
        <v>364</v>
      </c>
      <c r="K49" s="11" t="s">
        <v>365</v>
      </c>
      <c r="L49" s="2">
        <v>0</v>
      </c>
      <c r="N49" s="2" t="s">
        <v>366</v>
      </c>
      <c r="O49" s="14"/>
      <c r="T49" s="1">
        <v>79.95</v>
      </c>
      <c r="U49" s="10" t="s">
        <v>367</v>
      </c>
      <c r="V49" s="1">
        <v>40</v>
      </c>
      <c r="W49" s="1">
        <v>8.89</v>
      </c>
      <c r="X49" s="1">
        <v>455</v>
      </c>
      <c r="Y49" s="1">
        <v>336</v>
      </c>
      <c r="Z49" s="1">
        <v>6.47</v>
      </c>
      <c r="AA49" s="1">
        <v>77.709999999999994</v>
      </c>
      <c r="AB49" s="1">
        <v>6.91</v>
      </c>
      <c r="AC49" s="1">
        <v>32.93</v>
      </c>
      <c r="AD49" s="1">
        <v>0.9</v>
      </c>
      <c r="AE49" s="1">
        <v>6</v>
      </c>
      <c r="AG49" s="12">
        <v>256</v>
      </c>
      <c r="AH49" s="23" t="s">
        <v>85</v>
      </c>
      <c r="AI49" s="24" t="s">
        <v>86</v>
      </c>
      <c r="AJ49" s="12">
        <f>41.48+2.96</f>
        <v>44.44</v>
      </c>
      <c r="AK49" s="12">
        <v>42</v>
      </c>
      <c r="AL49" s="12" t="s">
        <v>368</v>
      </c>
      <c r="AM49" s="31">
        <f t="shared" si="1"/>
        <v>0.15</v>
      </c>
    </row>
    <row r="50" spans="1:39" x14ac:dyDescent="0.55000000000000004">
      <c r="A50" s="11" t="s">
        <v>369</v>
      </c>
      <c r="B50" s="11" t="s">
        <v>370</v>
      </c>
      <c r="C50" s="11" t="s">
        <v>66</v>
      </c>
      <c r="D50" s="11" t="s">
        <v>371</v>
      </c>
      <c r="E50" s="1">
        <v>81</v>
      </c>
      <c r="F50" s="11" t="s">
        <v>372</v>
      </c>
      <c r="G50" s="11" t="s">
        <v>44</v>
      </c>
      <c r="I50" s="11" t="s">
        <v>372</v>
      </c>
      <c r="J50" s="11" t="s">
        <v>373</v>
      </c>
      <c r="L50" s="2">
        <v>0</v>
      </c>
      <c r="O50" s="14" t="s">
        <v>276</v>
      </c>
      <c r="T50" s="1">
        <v>0.96</v>
      </c>
      <c r="U50" s="10" t="s">
        <v>72</v>
      </c>
      <c r="V50" s="1">
        <v>31</v>
      </c>
      <c r="W50" s="1">
        <v>12.44</v>
      </c>
      <c r="X50" s="1">
        <v>249</v>
      </c>
      <c r="Y50" s="1">
        <v>158</v>
      </c>
      <c r="Z50" s="1">
        <v>11.24</v>
      </c>
      <c r="AA50" s="1">
        <v>43.97</v>
      </c>
      <c r="AB50" s="1">
        <v>32.32</v>
      </c>
      <c r="AC50" s="1">
        <v>8.91</v>
      </c>
      <c r="AD50" s="1">
        <v>0.64</v>
      </c>
      <c r="AE50" s="1">
        <v>3</v>
      </c>
      <c r="AF50" s="1">
        <v>0</v>
      </c>
      <c r="AG50" s="12">
        <v>30</v>
      </c>
      <c r="AH50" s="23" t="s">
        <v>154</v>
      </c>
      <c r="AI50" s="24" t="s">
        <v>86</v>
      </c>
      <c r="AJ50" s="12">
        <v>0</v>
      </c>
      <c r="AK50" s="12">
        <v>0</v>
      </c>
      <c r="AL50" s="12" t="s">
        <v>374</v>
      </c>
      <c r="AM50" s="31">
        <f t="shared" si="1"/>
        <v>9.6774193548387094E-2</v>
      </c>
    </row>
    <row r="51" spans="1:39" x14ac:dyDescent="0.55000000000000004">
      <c r="A51" s="11" t="s">
        <v>375</v>
      </c>
      <c r="B51" s="11" t="s">
        <v>376</v>
      </c>
      <c r="C51" s="11" t="s">
        <v>66</v>
      </c>
      <c r="D51" s="11" t="s">
        <v>377</v>
      </c>
      <c r="E51" s="1">
        <v>12</v>
      </c>
      <c r="F51" s="11" t="s">
        <v>169</v>
      </c>
      <c r="G51" s="11" t="s">
        <v>131</v>
      </c>
      <c r="J51" s="11" t="s">
        <v>378</v>
      </c>
      <c r="L51" s="2">
        <v>0</v>
      </c>
      <c r="P51" s="14">
        <v>1</v>
      </c>
      <c r="Q51" s="14">
        <v>4</v>
      </c>
      <c r="R51" s="14" t="s">
        <v>134</v>
      </c>
      <c r="S51" s="14" t="s">
        <v>350</v>
      </c>
      <c r="T51" s="1">
        <v>2.39</v>
      </c>
      <c r="U51" s="10" t="s">
        <v>351</v>
      </c>
      <c r="V51" s="1">
        <v>195</v>
      </c>
      <c r="W51" s="1">
        <v>37.380000000000003</v>
      </c>
      <c r="X51" s="1">
        <v>523</v>
      </c>
      <c r="Y51" s="1">
        <v>66</v>
      </c>
      <c r="Z51" s="1">
        <v>22.46</v>
      </c>
      <c r="AA51" s="1">
        <v>19.309999999999999</v>
      </c>
      <c r="AB51" s="1">
        <v>20.84</v>
      </c>
      <c r="AC51" s="1">
        <v>4.8099999999999996</v>
      </c>
      <c r="AD51" s="1">
        <v>0.86</v>
      </c>
      <c r="AE51" s="1">
        <v>3</v>
      </c>
      <c r="AF51" s="1">
        <v>1</v>
      </c>
      <c r="AG51" s="12">
        <v>0</v>
      </c>
      <c r="AH51" s="23" t="s">
        <v>223</v>
      </c>
      <c r="AI51" s="24" t="s">
        <v>86</v>
      </c>
      <c r="AJ51" s="12"/>
      <c r="AK51" s="12"/>
      <c r="AL51" s="12" t="s">
        <v>135</v>
      </c>
      <c r="AM51" s="31">
        <f t="shared" si="1"/>
        <v>1.5384615384615385E-2</v>
      </c>
    </row>
    <row r="52" spans="1:39" x14ac:dyDescent="0.55000000000000004">
      <c r="A52" s="11" t="s">
        <v>379</v>
      </c>
      <c r="B52" s="11" t="s">
        <v>380</v>
      </c>
      <c r="C52" s="11" t="s">
        <v>41</v>
      </c>
      <c r="D52" s="11" t="s">
        <v>381</v>
      </c>
      <c r="E52" s="1">
        <v>62</v>
      </c>
      <c r="F52" s="11" t="s">
        <v>101</v>
      </c>
      <c r="G52" s="11" t="s">
        <v>82</v>
      </c>
      <c r="H52" s="13" t="s">
        <v>122</v>
      </c>
      <c r="J52" s="11" t="s">
        <v>382</v>
      </c>
      <c r="K52" s="11" t="s">
        <v>383</v>
      </c>
      <c r="L52" s="2">
        <v>1</v>
      </c>
      <c r="M52" s="2" t="s">
        <v>308</v>
      </c>
      <c r="N52" s="2" t="s">
        <v>163</v>
      </c>
      <c r="O52" s="14" t="s">
        <v>276</v>
      </c>
      <c r="T52" s="1">
        <v>3.23</v>
      </c>
      <c r="U52" s="10" t="s">
        <v>384</v>
      </c>
      <c r="V52" s="1">
        <v>59</v>
      </c>
      <c r="W52" s="1">
        <v>15.92</v>
      </c>
      <c r="X52" s="1">
        <v>370</v>
      </c>
      <c r="Y52" s="1">
        <v>295</v>
      </c>
      <c r="Z52" s="1">
        <v>4.18</v>
      </c>
      <c r="AA52" s="1">
        <v>43.31</v>
      </c>
      <c r="AB52" s="1">
        <v>36.57</v>
      </c>
      <c r="AC52" s="1">
        <v>12.3</v>
      </c>
      <c r="AD52" s="1">
        <v>0.93</v>
      </c>
      <c r="AE52" s="1">
        <v>2</v>
      </c>
      <c r="AF52" s="1">
        <v>0</v>
      </c>
      <c r="AG52" s="12">
        <v>56</v>
      </c>
      <c r="AH52" s="23" t="s">
        <v>223</v>
      </c>
      <c r="AI52" s="24" t="s">
        <v>86</v>
      </c>
      <c r="AJ52" s="12">
        <f>1.01+1.01+5.08</f>
        <v>7.1</v>
      </c>
      <c r="AK52" s="12">
        <f>10+14</f>
        <v>24</v>
      </c>
      <c r="AL52" s="12" t="s">
        <v>385</v>
      </c>
      <c r="AM52" s="31">
        <f t="shared" si="1"/>
        <v>3.3898305084745763E-2</v>
      </c>
    </row>
    <row r="53" spans="1:39" x14ac:dyDescent="0.55000000000000004">
      <c r="A53" s="1" t="s">
        <v>386</v>
      </c>
      <c r="B53" s="1" t="s">
        <v>387</v>
      </c>
      <c r="C53" s="1" t="s">
        <v>41</v>
      </c>
      <c r="D53" s="1" t="s">
        <v>388</v>
      </c>
      <c r="E53" s="1">
        <v>41</v>
      </c>
      <c r="F53" s="1" t="s">
        <v>389</v>
      </c>
      <c r="G53" s="1" t="s">
        <v>82</v>
      </c>
      <c r="J53" s="1" t="s">
        <v>390</v>
      </c>
      <c r="K53" s="1" t="s">
        <v>391</v>
      </c>
      <c r="L53" s="2">
        <v>1</v>
      </c>
      <c r="M53" s="2" t="s">
        <v>392</v>
      </c>
      <c r="N53" s="2" t="s">
        <v>163</v>
      </c>
      <c r="O53" s="14"/>
      <c r="T53" s="1">
        <v>24.74</v>
      </c>
      <c r="U53" s="10" t="s">
        <v>393</v>
      </c>
      <c r="V53" s="1">
        <v>68</v>
      </c>
      <c r="W53" s="1">
        <v>21.08</v>
      </c>
      <c r="X53" s="1">
        <v>322</v>
      </c>
      <c r="Y53" s="1">
        <v>126</v>
      </c>
      <c r="Z53" s="1">
        <v>17.36</v>
      </c>
      <c r="AA53" s="1">
        <v>47.59</v>
      </c>
      <c r="AB53" s="1">
        <v>13.95</v>
      </c>
      <c r="AC53" s="1">
        <v>30.51</v>
      </c>
      <c r="AD53" s="1">
        <v>0.84</v>
      </c>
      <c r="AE53" s="1">
        <v>6</v>
      </c>
      <c r="AF53" s="1">
        <v>0</v>
      </c>
      <c r="AG53" s="12">
        <v>187</v>
      </c>
      <c r="AH53" s="23" t="s">
        <v>154</v>
      </c>
      <c r="AI53" s="24" t="s">
        <v>86</v>
      </c>
      <c r="AJ53" s="12">
        <f>0.88+9.7</f>
        <v>10.58</v>
      </c>
      <c r="AK53" s="12">
        <v>16</v>
      </c>
      <c r="AL53" s="12" t="s">
        <v>394</v>
      </c>
      <c r="AM53" s="31">
        <f t="shared" si="1"/>
        <v>8.8235294117647065E-2</v>
      </c>
    </row>
    <row r="54" spans="1:39" x14ac:dyDescent="0.55000000000000004">
      <c r="A54" s="1" t="s">
        <v>395</v>
      </c>
      <c r="B54" s="1" t="s">
        <v>396</v>
      </c>
      <c r="C54" s="1" t="s">
        <v>66</v>
      </c>
      <c r="D54" s="1" t="s">
        <v>158</v>
      </c>
      <c r="E54" s="1">
        <v>64</v>
      </c>
      <c r="F54" s="1" t="s">
        <v>397</v>
      </c>
      <c r="G54" s="1" t="s">
        <v>82</v>
      </c>
      <c r="J54" s="1" t="s">
        <v>398</v>
      </c>
      <c r="K54" s="1">
        <v>0</v>
      </c>
      <c r="L54" s="2">
        <v>0</v>
      </c>
      <c r="N54" s="2" t="s">
        <v>399</v>
      </c>
      <c r="O54" s="14" t="s">
        <v>400</v>
      </c>
      <c r="T54" s="1">
        <v>1.79</v>
      </c>
      <c r="U54" s="10" t="s">
        <v>384</v>
      </c>
      <c r="V54" s="1">
        <v>65</v>
      </c>
      <c r="W54" s="1">
        <v>19.46</v>
      </c>
      <c r="X54" s="1">
        <v>334</v>
      </c>
      <c r="Y54" s="1">
        <v>228</v>
      </c>
      <c r="Z54" s="1">
        <v>23.5</v>
      </c>
      <c r="AA54" s="1">
        <v>19.61</v>
      </c>
      <c r="AB54" s="1">
        <v>37.42</v>
      </c>
      <c r="AC54" s="1">
        <v>22.81</v>
      </c>
      <c r="AD54" s="1">
        <v>0.89</v>
      </c>
      <c r="AE54" s="1">
        <v>21</v>
      </c>
      <c r="AF54" s="1">
        <v>1</v>
      </c>
      <c r="AG54" s="12">
        <v>555</v>
      </c>
      <c r="AH54" s="23" t="s">
        <v>223</v>
      </c>
      <c r="AI54" s="24" t="s">
        <v>86</v>
      </c>
      <c r="AJ54" s="12">
        <v>0.92</v>
      </c>
      <c r="AK54" s="12">
        <v>0</v>
      </c>
      <c r="AL54" s="12" t="s">
        <v>401</v>
      </c>
      <c r="AM54" s="31">
        <f t="shared" si="1"/>
        <v>0.32307692307692309</v>
      </c>
    </row>
    <row r="55" spans="1:39" x14ac:dyDescent="0.55000000000000004">
      <c r="A55" s="1" t="s">
        <v>402</v>
      </c>
      <c r="B55" s="1" t="s">
        <v>403</v>
      </c>
      <c r="C55" s="1" t="s">
        <v>41</v>
      </c>
      <c r="D55" s="1" t="s">
        <v>404</v>
      </c>
      <c r="E55" s="1">
        <v>56</v>
      </c>
      <c r="F55" s="1" t="s">
        <v>101</v>
      </c>
      <c r="G55" s="1" t="s">
        <v>82</v>
      </c>
      <c r="I55" s="1" t="s">
        <v>405</v>
      </c>
      <c r="J55" s="1" t="s">
        <v>406</v>
      </c>
      <c r="K55" s="1" t="s">
        <v>407</v>
      </c>
      <c r="L55" s="2">
        <v>0</v>
      </c>
      <c r="M55" s="2" t="s">
        <v>408</v>
      </c>
      <c r="N55" s="2" t="s">
        <v>409</v>
      </c>
      <c r="O55" s="14"/>
      <c r="T55" s="1">
        <v>32.369999999999997</v>
      </c>
      <c r="U55" s="10" t="s">
        <v>326</v>
      </c>
      <c r="V55" s="1">
        <v>35</v>
      </c>
      <c r="W55" s="1">
        <v>11.97</v>
      </c>
      <c r="X55" s="1">
        <v>296</v>
      </c>
      <c r="Y55" s="1">
        <v>108</v>
      </c>
      <c r="Z55" s="1">
        <v>13.32</v>
      </c>
      <c r="AA55" s="1">
        <v>62.22</v>
      </c>
      <c r="AB55" s="1">
        <v>12.47</v>
      </c>
      <c r="AC55" s="1">
        <v>45.73</v>
      </c>
      <c r="AD55" s="1">
        <v>0.69</v>
      </c>
      <c r="AE55" s="1">
        <v>2</v>
      </c>
      <c r="AF55" s="1">
        <v>1</v>
      </c>
      <c r="AG55" s="12">
        <v>50</v>
      </c>
      <c r="AH55" s="23" t="s">
        <v>223</v>
      </c>
      <c r="AI55" s="24" t="s">
        <v>86</v>
      </c>
      <c r="AJ55" s="12">
        <v>38.869999999999997</v>
      </c>
      <c r="AK55" s="12">
        <v>0</v>
      </c>
      <c r="AL55" s="12" t="s">
        <v>359</v>
      </c>
      <c r="AM55" s="31">
        <f t="shared" si="1"/>
        <v>5.7142857142857141E-2</v>
      </c>
    </row>
    <row r="56" spans="1:39" x14ac:dyDescent="0.55000000000000004">
      <c r="A56" s="1" t="s">
        <v>410</v>
      </c>
      <c r="B56" s="1" t="s">
        <v>411</v>
      </c>
      <c r="C56" s="1" t="s">
        <v>41</v>
      </c>
      <c r="D56" s="1" t="s">
        <v>412</v>
      </c>
      <c r="E56" s="1">
        <v>74</v>
      </c>
      <c r="F56" s="1" t="s">
        <v>413</v>
      </c>
      <c r="G56" s="1" t="s">
        <v>82</v>
      </c>
      <c r="I56" s="1" t="s">
        <v>414</v>
      </c>
      <c r="J56" s="1" t="s">
        <v>415</v>
      </c>
      <c r="K56" s="1" t="s">
        <v>416</v>
      </c>
      <c r="L56" s="2">
        <v>0</v>
      </c>
      <c r="M56" s="2" t="s">
        <v>392</v>
      </c>
      <c r="N56" s="2" t="s">
        <v>399</v>
      </c>
      <c r="O56" s="14" t="s">
        <v>276</v>
      </c>
      <c r="T56" s="1">
        <v>41.97</v>
      </c>
      <c r="U56" s="10" t="s">
        <v>174</v>
      </c>
      <c r="V56" s="1">
        <v>37</v>
      </c>
      <c r="W56" s="1">
        <v>10.28</v>
      </c>
      <c r="X56" s="1">
        <v>364</v>
      </c>
      <c r="Y56" s="1">
        <v>261</v>
      </c>
      <c r="Z56" s="1">
        <v>33.6</v>
      </c>
      <c r="AA56" s="1">
        <v>36.479999999999997</v>
      </c>
      <c r="AB56" s="1">
        <v>19.61</v>
      </c>
      <c r="AC56" s="1">
        <v>33.25</v>
      </c>
      <c r="AD56" s="1">
        <v>0.85</v>
      </c>
      <c r="AE56" s="1">
        <v>5</v>
      </c>
      <c r="AF56" s="1">
        <v>0</v>
      </c>
      <c r="AG56" s="12">
        <v>119</v>
      </c>
      <c r="AH56" s="23" t="s">
        <v>85</v>
      </c>
      <c r="AI56" s="24" t="s">
        <v>86</v>
      </c>
      <c r="AJ56" s="12"/>
      <c r="AK56" s="12"/>
      <c r="AL56" s="12"/>
      <c r="AM56" s="31">
        <f t="shared" si="1"/>
        <v>0.13513513513513514</v>
      </c>
    </row>
    <row r="57" spans="1:39" x14ac:dyDescent="0.55000000000000004">
      <c r="A57" s="1" t="s">
        <v>417</v>
      </c>
      <c r="B57" s="1" t="s">
        <v>418</v>
      </c>
      <c r="C57" s="1" t="s">
        <v>41</v>
      </c>
      <c r="D57" s="1" t="s">
        <v>419</v>
      </c>
      <c r="E57" s="1">
        <v>82</v>
      </c>
      <c r="F57" s="1" t="s">
        <v>420</v>
      </c>
      <c r="G57" s="1" t="s">
        <v>44</v>
      </c>
      <c r="J57" s="1" t="s">
        <v>421</v>
      </c>
      <c r="K57" s="1">
        <v>0</v>
      </c>
      <c r="L57" s="2">
        <v>0</v>
      </c>
      <c r="M57" s="2" t="s">
        <v>422</v>
      </c>
      <c r="O57" s="2" t="s">
        <v>423</v>
      </c>
      <c r="T57" s="1">
        <v>16.260000000000002</v>
      </c>
      <c r="U57" s="10" t="s">
        <v>424</v>
      </c>
      <c r="V57" s="1">
        <v>101</v>
      </c>
      <c r="W57" s="1">
        <v>27.5</v>
      </c>
      <c r="X57" s="1">
        <v>369</v>
      </c>
      <c r="Y57" s="1">
        <v>78</v>
      </c>
      <c r="Z57" s="1">
        <v>2.57</v>
      </c>
      <c r="AA57" s="1">
        <v>49.59</v>
      </c>
      <c r="AB57" s="1">
        <v>20.309999999999999</v>
      </c>
      <c r="AC57" s="1">
        <v>10.4</v>
      </c>
      <c r="AD57" s="1">
        <v>0.81</v>
      </c>
      <c r="AE57" s="1">
        <v>17</v>
      </c>
      <c r="AF57" s="1">
        <v>0</v>
      </c>
      <c r="AG57" s="12">
        <v>322</v>
      </c>
      <c r="AH57" s="23" t="s">
        <v>154</v>
      </c>
      <c r="AI57" s="24" t="s">
        <v>86</v>
      </c>
      <c r="AJ57" s="12">
        <f>0.59+0.59+0.59</f>
        <v>1.77</v>
      </c>
      <c r="AK57" s="12">
        <f>14+14</f>
        <v>28</v>
      </c>
      <c r="AL57" s="12" t="s">
        <v>425</v>
      </c>
      <c r="AM57" s="31">
        <f t="shared" si="1"/>
        <v>0.16831683168316833</v>
      </c>
    </row>
    <row r="58" spans="1:39" s="51" customFormat="1" x14ac:dyDescent="0.55000000000000004">
      <c r="A58" s="35" t="s">
        <v>776</v>
      </c>
      <c r="B58" s="36" t="s">
        <v>777</v>
      </c>
      <c r="C58" s="45"/>
      <c r="D58" s="45"/>
      <c r="E58" s="45"/>
      <c r="F58" s="45" t="s">
        <v>101</v>
      </c>
      <c r="G58" s="45" t="s">
        <v>82</v>
      </c>
      <c r="H58" s="45"/>
      <c r="I58" s="45"/>
      <c r="J58" s="45"/>
      <c r="K58" s="45"/>
      <c r="L58" s="46"/>
      <c r="M58" s="46"/>
      <c r="N58" s="46"/>
      <c r="O58" s="46"/>
      <c r="P58" s="46"/>
      <c r="Q58" s="46"/>
      <c r="R58" s="46"/>
      <c r="S58" s="46"/>
      <c r="T58" s="45"/>
      <c r="U58" s="47"/>
      <c r="V58" s="45"/>
      <c r="W58" s="45"/>
      <c r="X58" s="45"/>
      <c r="Y58" s="45"/>
      <c r="Z58" s="45"/>
      <c r="AA58" s="45"/>
      <c r="AB58" s="45"/>
      <c r="AC58" s="45"/>
      <c r="AD58" s="45"/>
      <c r="AE58" s="45"/>
      <c r="AF58" s="45"/>
      <c r="AG58" s="48"/>
      <c r="AH58" s="49"/>
      <c r="AI58" s="50"/>
      <c r="AJ58" s="48"/>
      <c r="AK58" s="48"/>
      <c r="AL58" s="48"/>
      <c r="AM58" s="31"/>
    </row>
    <row r="59" spans="1:39" x14ac:dyDescent="0.55000000000000004">
      <c r="A59" s="1" t="s">
        <v>426</v>
      </c>
      <c r="B59" s="1" t="s">
        <v>427</v>
      </c>
      <c r="C59" s="1" t="s">
        <v>66</v>
      </c>
      <c r="D59" s="1" t="s">
        <v>428</v>
      </c>
      <c r="E59" s="1">
        <v>39</v>
      </c>
      <c r="F59" s="1" t="s">
        <v>101</v>
      </c>
      <c r="G59" s="1" t="s">
        <v>82</v>
      </c>
      <c r="I59" s="1" t="s">
        <v>429</v>
      </c>
      <c r="J59" s="1" t="s">
        <v>430</v>
      </c>
      <c r="K59" s="1">
        <v>0</v>
      </c>
      <c r="L59" s="2">
        <v>0</v>
      </c>
      <c r="M59" s="2" t="s">
        <v>431</v>
      </c>
      <c r="O59" s="14"/>
      <c r="T59" s="1">
        <v>1.32</v>
      </c>
      <c r="U59" s="10" t="s">
        <v>72</v>
      </c>
      <c r="V59" s="1">
        <v>150</v>
      </c>
      <c r="W59" s="1">
        <v>28.23</v>
      </c>
      <c r="X59" s="1">
        <v>533</v>
      </c>
      <c r="Y59" s="1">
        <v>68</v>
      </c>
      <c r="Z59" s="1">
        <v>10.6</v>
      </c>
      <c r="AA59" s="1">
        <v>45.77</v>
      </c>
      <c r="AB59" s="1">
        <v>15.38</v>
      </c>
      <c r="AC59" s="1">
        <v>4.84</v>
      </c>
      <c r="AD59" s="1">
        <v>0.92</v>
      </c>
      <c r="AE59" s="1">
        <v>1</v>
      </c>
      <c r="AF59" s="1">
        <v>0</v>
      </c>
      <c r="AG59" s="12">
        <v>19</v>
      </c>
      <c r="AH59" s="23" t="s">
        <v>154</v>
      </c>
      <c r="AI59" s="24" t="s">
        <v>86</v>
      </c>
      <c r="AJ59" s="12"/>
      <c r="AK59" s="12"/>
      <c r="AL59" s="12"/>
      <c r="AM59" s="31">
        <f t="shared" si="1"/>
        <v>6.6666666666666671E-3</v>
      </c>
    </row>
    <row r="60" spans="1:39" x14ac:dyDescent="0.55000000000000004">
      <c r="A60" s="31" t="s">
        <v>432</v>
      </c>
      <c r="B60" s="31" t="s">
        <v>433</v>
      </c>
      <c r="C60" s="31" t="s">
        <v>41</v>
      </c>
      <c r="D60" s="31" t="s">
        <v>434</v>
      </c>
      <c r="E60" s="31">
        <v>65</v>
      </c>
      <c r="F60" s="31" t="s">
        <v>413</v>
      </c>
      <c r="G60" s="31" t="s">
        <v>82</v>
      </c>
      <c r="I60" s="1" t="s">
        <v>435</v>
      </c>
      <c r="J60" s="1" t="s">
        <v>436</v>
      </c>
      <c r="K60" s="1" t="s">
        <v>263</v>
      </c>
      <c r="L60" s="2">
        <v>1</v>
      </c>
      <c r="N60" s="2" t="s">
        <v>437</v>
      </c>
      <c r="O60" s="14" t="s">
        <v>276</v>
      </c>
      <c r="T60" s="1">
        <v>58.34</v>
      </c>
      <c r="U60" s="10" t="s">
        <v>438</v>
      </c>
      <c r="V60" s="1">
        <v>31</v>
      </c>
      <c r="W60" s="1">
        <v>8.56</v>
      </c>
      <c r="X60" s="1">
        <v>362</v>
      </c>
      <c r="Y60" s="1">
        <v>98</v>
      </c>
      <c r="Z60" s="1">
        <v>38.950000000000003</v>
      </c>
      <c r="AA60" s="1">
        <v>35.35</v>
      </c>
      <c r="AB60" s="1">
        <v>17.12</v>
      </c>
      <c r="AC60" s="1">
        <v>36.96</v>
      </c>
      <c r="AD60" s="1">
        <v>0.78</v>
      </c>
      <c r="AF60" s="1">
        <v>0</v>
      </c>
      <c r="AG60" s="12">
        <v>17</v>
      </c>
      <c r="AH60" s="23" t="s">
        <v>154</v>
      </c>
      <c r="AI60" s="24" t="s">
        <v>86</v>
      </c>
      <c r="AJ60" s="12">
        <f>3.87+1.93+5.8+21.29</f>
        <v>32.89</v>
      </c>
      <c r="AK60" s="12">
        <f>41+16+60*3+20</f>
        <v>257</v>
      </c>
      <c r="AL60" s="12" t="s">
        <v>439</v>
      </c>
      <c r="AM60" s="31">
        <f t="shared" si="1"/>
        <v>0</v>
      </c>
    </row>
    <row r="61" spans="1:39" x14ac:dyDescent="0.55000000000000004">
      <c r="A61" s="30" t="s">
        <v>440</v>
      </c>
      <c r="B61" s="30" t="s">
        <v>441</v>
      </c>
      <c r="C61" s="30" t="s">
        <v>41</v>
      </c>
      <c r="D61" s="30" t="s">
        <v>442</v>
      </c>
      <c r="E61" s="31">
        <v>68</v>
      </c>
      <c r="F61" s="30" t="s">
        <v>216</v>
      </c>
      <c r="G61" s="30" t="s">
        <v>44</v>
      </c>
      <c r="J61" s="11" t="s">
        <v>443</v>
      </c>
      <c r="K61" s="11" t="s">
        <v>444</v>
      </c>
      <c r="L61" s="2">
        <v>1</v>
      </c>
      <c r="M61" s="2" t="s">
        <v>392</v>
      </c>
      <c r="T61" s="1">
        <v>66.75</v>
      </c>
      <c r="U61" s="10" t="s">
        <v>174</v>
      </c>
      <c r="V61" s="1">
        <v>108</v>
      </c>
      <c r="W61" s="1">
        <v>29.67</v>
      </c>
      <c r="X61" s="1">
        <v>364</v>
      </c>
      <c r="Y61" s="1">
        <v>120</v>
      </c>
      <c r="Z61" s="1">
        <v>20.190000000000001</v>
      </c>
      <c r="AA61" s="1">
        <v>38.04</v>
      </c>
      <c r="AB61" s="1">
        <v>12.08</v>
      </c>
      <c r="AC61" s="1">
        <v>32.96</v>
      </c>
      <c r="AD61" s="1">
        <v>0.87</v>
      </c>
      <c r="AG61" s="12">
        <v>43</v>
      </c>
      <c r="AH61" s="23" t="s">
        <v>154</v>
      </c>
      <c r="AI61" s="24" t="s">
        <v>445</v>
      </c>
      <c r="AJ61" s="12">
        <f>2.77+2.22+59.43</f>
        <v>64.42</v>
      </c>
      <c r="AK61" s="12">
        <f>120+23+60+35+60+10</f>
        <v>308</v>
      </c>
      <c r="AL61" s="12" t="s">
        <v>446</v>
      </c>
      <c r="AM61" s="31">
        <f t="shared" si="1"/>
        <v>0</v>
      </c>
    </row>
    <row r="62" spans="1:39" x14ac:dyDescent="0.55000000000000004">
      <c r="A62" s="1" t="s">
        <v>447</v>
      </c>
      <c r="B62" s="1" t="s">
        <v>448</v>
      </c>
      <c r="C62" s="1" t="s">
        <v>41</v>
      </c>
      <c r="D62" s="1" t="s">
        <v>449</v>
      </c>
      <c r="E62" s="1">
        <v>58</v>
      </c>
      <c r="F62" s="1" t="s">
        <v>101</v>
      </c>
      <c r="G62" s="1" t="s">
        <v>82</v>
      </c>
      <c r="J62" s="1" t="s">
        <v>450</v>
      </c>
      <c r="K62" s="1">
        <v>0</v>
      </c>
      <c r="L62" s="2">
        <v>0</v>
      </c>
      <c r="M62" s="2" t="s">
        <v>392</v>
      </c>
      <c r="O62" s="14"/>
      <c r="T62" s="1">
        <v>17.440000000000001</v>
      </c>
      <c r="U62" s="10" t="s">
        <v>451</v>
      </c>
      <c r="V62" s="1">
        <v>70</v>
      </c>
      <c r="W62" s="1">
        <v>19.2</v>
      </c>
      <c r="X62" s="1">
        <v>364</v>
      </c>
      <c r="Y62" s="1">
        <v>64</v>
      </c>
      <c r="Z62" s="1">
        <v>12.07</v>
      </c>
      <c r="AA62" s="1">
        <v>50.89</v>
      </c>
      <c r="AB62" s="1">
        <v>17.829999999999998</v>
      </c>
      <c r="AC62" s="1">
        <v>22.55</v>
      </c>
      <c r="AD62" s="1">
        <v>0.87</v>
      </c>
      <c r="AF62" s="1">
        <v>0</v>
      </c>
      <c r="AG62" s="12">
        <v>114</v>
      </c>
      <c r="AH62" s="23" t="s">
        <v>154</v>
      </c>
      <c r="AI62" s="24" t="s">
        <v>86</v>
      </c>
      <c r="AJ62" s="12">
        <f>0.85+21.42</f>
        <v>22.270000000000003</v>
      </c>
      <c r="AK62" s="12">
        <v>11</v>
      </c>
      <c r="AL62" s="12" t="s">
        <v>452</v>
      </c>
      <c r="AM62" s="31">
        <f t="shared" si="1"/>
        <v>0</v>
      </c>
    </row>
    <row r="63" spans="1:39" x14ac:dyDescent="0.55000000000000004">
      <c r="A63" s="1" t="s">
        <v>453</v>
      </c>
      <c r="B63" s="1" t="s">
        <v>454</v>
      </c>
      <c r="C63" s="1" t="s">
        <v>41</v>
      </c>
      <c r="D63" s="1" t="s">
        <v>455</v>
      </c>
      <c r="E63" s="1">
        <v>69</v>
      </c>
      <c r="F63" s="1" t="s">
        <v>101</v>
      </c>
      <c r="G63" s="1" t="s">
        <v>82</v>
      </c>
      <c r="J63" s="1" t="s">
        <v>456</v>
      </c>
      <c r="K63" s="1">
        <v>0</v>
      </c>
      <c r="L63" s="2">
        <v>0</v>
      </c>
      <c r="M63" s="2">
        <v>0</v>
      </c>
      <c r="O63" s="14" t="s">
        <v>276</v>
      </c>
      <c r="T63" s="1">
        <v>11.01</v>
      </c>
      <c r="U63" s="10" t="s">
        <v>457</v>
      </c>
      <c r="V63" s="1">
        <v>45</v>
      </c>
      <c r="W63" s="1">
        <v>14.65</v>
      </c>
      <c r="X63" s="1">
        <v>310</v>
      </c>
      <c r="Y63" s="1">
        <v>84</v>
      </c>
      <c r="Z63" s="1">
        <v>27.53</v>
      </c>
      <c r="AA63" s="1">
        <v>40.57</v>
      </c>
      <c r="AB63" s="1">
        <v>17.23</v>
      </c>
      <c r="AC63" s="1">
        <v>29.37</v>
      </c>
      <c r="AD63" s="1">
        <v>0.82</v>
      </c>
      <c r="AF63" s="1">
        <v>1</v>
      </c>
      <c r="AG63" s="12">
        <v>881</v>
      </c>
      <c r="AH63" s="23" t="s">
        <v>154</v>
      </c>
      <c r="AI63" s="24" t="s">
        <v>86</v>
      </c>
      <c r="AJ63" s="12">
        <f>2.63+14.5</f>
        <v>17.13</v>
      </c>
      <c r="AK63" s="12">
        <v>25</v>
      </c>
      <c r="AL63" s="12" t="s">
        <v>458</v>
      </c>
      <c r="AM63" s="31">
        <f t="shared" si="1"/>
        <v>0</v>
      </c>
    </row>
    <row r="64" spans="1:39" x14ac:dyDescent="0.55000000000000004">
      <c r="A64" s="30" t="s">
        <v>459</v>
      </c>
      <c r="B64" s="30" t="s">
        <v>460</v>
      </c>
      <c r="C64" s="30" t="s">
        <v>41</v>
      </c>
      <c r="D64" s="30" t="s">
        <v>461</v>
      </c>
      <c r="E64" s="31">
        <v>71</v>
      </c>
      <c r="F64" s="30" t="s">
        <v>122</v>
      </c>
      <c r="G64" s="30" t="s">
        <v>44</v>
      </c>
      <c r="H64" s="11" t="s">
        <v>462</v>
      </c>
      <c r="J64" s="11" t="s">
        <v>463</v>
      </c>
      <c r="K64" s="11" t="s">
        <v>240</v>
      </c>
      <c r="L64" s="2">
        <v>0</v>
      </c>
      <c r="N64" s="2" t="s">
        <v>464</v>
      </c>
      <c r="O64" s="2" t="s">
        <v>276</v>
      </c>
      <c r="T64" s="1">
        <v>35.93</v>
      </c>
      <c r="U64" s="10" t="s">
        <v>326</v>
      </c>
      <c r="V64" s="1">
        <v>74</v>
      </c>
      <c r="W64" s="1">
        <v>18.670000000000002</v>
      </c>
      <c r="X64" s="1">
        <v>399</v>
      </c>
      <c r="Y64" s="1">
        <v>81</v>
      </c>
      <c r="Z64" s="1">
        <v>34.46</v>
      </c>
      <c r="AA64" s="1">
        <v>30.45</v>
      </c>
      <c r="AB64" s="1">
        <v>16.41</v>
      </c>
      <c r="AC64" s="1">
        <v>47.81</v>
      </c>
      <c r="AD64" s="1">
        <v>0.83</v>
      </c>
      <c r="AF64" s="1">
        <v>1</v>
      </c>
      <c r="AG64" s="12">
        <v>908</v>
      </c>
      <c r="AH64" s="23" t="s">
        <v>154</v>
      </c>
      <c r="AI64" s="24" t="s">
        <v>86</v>
      </c>
      <c r="AJ64" s="12">
        <v>27.38</v>
      </c>
      <c r="AK64" s="12">
        <v>0</v>
      </c>
      <c r="AL64" s="12" t="s">
        <v>465</v>
      </c>
      <c r="AM64" s="31">
        <f t="shared" ref="AM64:AM95" si="2">AE64/V64</f>
        <v>0</v>
      </c>
    </row>
    <row r="65" spans="1:39" x14ac:dyDescent="0.55000000000000004">
      <c r="A65" s="1" t="s">
        <v>466</v>
      </c>
      <c r="B65" s="1" t="s">
        <v>467</v>
      </c>
      <c r="C65" s="1" t="s">
        <v>41</v>
      </c>
      <c r="D65" s="1" t="s">
        <v>468</v>
      </c>
      <c r="E65" s="1">
        <v>55</v>
      </c>
      <c r="F65" s="1" t="s">
        <v>101</v>
      </c>
      <c r="G65" s="1" t="s">
        <v>82</v>
      </c>
      <c r="I65" s="1" t="s">
        <v>469</v>
      </c>
      <c r="J65" s="1" t="s">
        <v>470</v>
      </c>
      <c r="K65" s="1">
        <v>0</v>
      </c>
      <c r="L65" s="2">
        <v>0</v>
      </c>
      <c r="M65" s="2">
        <v>0</v>
      </c>
      <c r="O65" s="14"/>
      <c r="T65" s="1">
        <v>36.78</v>
      </c>
      <c r="U65" s="10" t="s">
        <v>326</v>
      </c>
      <c r="V65" s="1">
        <v>45</v>
      </c>
      <c r="W65" s="1">
        <v>15.07</v>
      </c>
      <c r="X65" s="1">
        <v>298</v>
      </c>
      <c r="Y65" s="1">
        <v>185</v>
      </c>
      <c r="Z65" s="1">
        <v>12.06</v>
      </c>
      <c r="AA65" s="1">
        <v>54.43</v>
      </c>
      <c r="AB65" s="1">
        <v>18.420000000000002</v>
      </c>
      <c r="AC65" s="1">
        <v>30.55</v>
      </c>
      <c r="AD65" s="1">
        <v>0.78</v>
      </c>
      <c r="AF65" s="1">
        <v>0</v>
      </c>
      <c r="AG65" s="12">
        <v>96</v>
      </c>
      <c r="AH65" s="23" t="s">
        <v>223</v>
      </c>
      <c r="AI65" s="24" t="s">
        <v>86</v>
      </c>
      <c r="AJ65" s="12">
        <f>4+8+1.33+46.66</f>
        <v>59.989999999999995</v>
      </c>
      <c r="AK65" s="12">
        <f>32+60+20+11</f>
        <v>123</v>
      </c>
      <c r="AL65" s="12" t="s">
        <v>471</v>
      </c>
      <c r="AM65" s="31">
        <f t="shared" si="2"/>
        <v>0</v>
      </c>
    </row>
    <row r="66" spans="1:39" x14ac:dyDescent="0.55000000000000004">
      <c r="A66" s="1" t="s">
        <v>472</v>
      </c>
      <c r="B66" s="1" t="s">
        <v>473</v>
      </c>
      <c r="C66" s="1" t="s">
        <v>41</v>
      </c>
      <c r="D66" s="1" t="s">
        <v>474</v>
      </c>
      <c r="E66" s="1">
        <v>63</v>
      </c>
      <c r="F66" s="1" t="s">
        <v>101</v>
      </c>
      <c r="G66" s="1" t="s">
        <v>82</v>
      </c>
      <c r="I66" s="1" t="s">
        <v>475</v>
      </c>
      <c r="J66" s="1" t="s">
        <v>476</v>
      </c>
      <c r="K66" s="1">
        <v>0</v>
      </c>
      <c r="L66" s="2">
        <v>0</v>
      </c>
      <c r="M66" s="2">
        <v>0</v>
      </c>
      <c r="N66" s="2" t="s">
        <v>163</v>
      </c>
      <c r="O66" s="14"/>
      <c r="T66" s="1">
        <v>6.8</v>
      </c>
      <c r="U66" s="10" t="s">
        <v>477</v>
      </c>
      <c r="V66" s="1">
        <v>44</v>
      </c>
      <c r="W66" s="1">
        <v>14.29</v>
      </c>
      <c r="X66" s="1">
        <v>308</v>
      </c>
      <c r="Y66" s="1">
        <v>95</v>
      </c>
      <c r="Z66" s="1">
        <v>7.61</v>
      </c>
      <c r="AA66" s="1">
        <v>55.26</v>
      </c>
      <c r="AB66" s="1">
        <v>22.69</v>
      </c>
      <c r="AC66" s="1">
        <v>23.14</v>
      </c>
      <c r="AD66" s="1">
        <v>0.86</v>
      </c>
      <c r="AF66" s="1">
        <v>0</v>
      </c>
      <c r="AG66" s="12">
        <v>60</v>
      </c>
      <c r="AH66" s="23" t="s">
        <v>154</v>
      </c>
      <c r="AI66" s="24" t="s">
        <v>86</v>
      </c>
      <c r="AJ66" s="12">
        <v>8.08</v>
      </c>
      <c r="AK66" s="12">
        <v>0</v>
      </c>
      <c r="AL66" s="12" t="s">
        <v>385</v>
      </c>
      <c r="AM66" s="31">
        <f t="shared" si="2"/>
        <v>0</v>
      </c>
    </row>
    <row r="67" spans="1:39" x14ac:dyDescent="0.55000000000000004">
      <c r="A67" s="1" t="s">
        <v>478</v>
      </c>
      <c r="B67" s="1" t="s">
        <v>479</v>
      </c>
      <c r="C67" s="1" t="s">
        <v>41</v>
      </c>
      <c r="D67" s="1" t="s">
        <v>480</v>
      </c>
      <c r="E67" s="1">
        <v>55</v>
      </c>
      <c r="F67" s="1" t="s">
        <v>101</v>
      </c>
      <c r="G67" s="1" t="s">
        <v>82</v>
      </c>
      <c r="J67" s="1" t="s">
        <v>481</v>
      </c>
      <c r="K67" s="1" t="s">
        <v>482</v>
      </c>
      <c r="L67" s="2">
        <v>1</v>
      </c>
      <c r="M67" s="2" t="s">
        <v>483</v>
      </c>
      <c r="N67" s="2" t="s">
        <v>163</v>
      </c>
      <c r="O67" s="14"/>
      <c r="T67" s="1">
        <v>1.21</v>
      </c>
      <c r="U67" s="10" t="s">
        <v>72</v>
      </c>
      <c r="V67" s="1">
        <v>54</v>
      </c>
      <c r="W67" s="1">
        <v>13.76</v>
      </c>
      <c r="X67" s="1">
        <v>396</v>
      </c>
      <c r="Y67" s="1">
        <v>206</v>
      </c>
      <c r="Z67" s="1">
        <v>7.32</v>
      </c>
      <c r="AA67" s="1">
        <v>56.56</v>
      </c>
      <c r="AB67" s="1">
        <v>22.34</v>
      </c>
      <c r="AC67" s="1">
        <v>5.3</v>
      </c>
      <c r="AD67" s="1">
        <v>0.91</v>
      </c>
      <c r="AF67" s="1">
        <v>0</v>
      </c>
      <c r="AG67" s="12">
        <v>358</v>
      </c>
      <c r="AH67" s="23" t="s">
        <v>154</v>
      </c>
      <c r="AI67" s="24" t="s">
        <v>86</v>
      </c>
      <c r="AJ67" s="12">
        <f>1.1+4.4</f>
        <v>5.5</v>
      </c>
      <c r="AK67" s="12">
        <v>15</v>
      </c>
      <c r="AL67" s="12"/>
      <c r="AM67" s="31">
        <f t="shared" si="2"/>
        <v>0</v>
      </c>
    </row>
    <row r="68" spans="1:39" x14ac:dyDescent="0.55000000000000004">
      <c r="A68" s="1" t="s">
        <v>484</v>
      </c>
      <c r="B68" s="1" t="s">
        <v>485</v>
      </c>
      <c r="C68" s="1" t="s">
        <v>41</v>
      </c>
      <c r="D68" s="1" t="s">
        <v>486</v>
      </c>
      <c r="E68" s="1">
        <v>64</v>
      </c>
      <c r="F68" s="1" t="s">
        <v>101</v>
      </c>
      <c r="G68" s="1" t="s">
        <v>82</v>
      </c>
      <c r="J68" s="1" t="s">
        <v>158</v>
      </c>
      <c r="K68" s="1" t="s">
        <v>487</v>
      </c>
      <c r="L68" s="25">
        <v>1</v>
      </c>
      <c r="M68" s="2" t="s">
        <v>488</v>
      </c>
      <c r="N68" s="2" t="s">
        <v>163</v>
      </c>
      <c r="O68" s="14" t="s">
        <v>489</v>
      </c>
      <c r="T68" s="1">
        <v>9.81</v>
      </c>
      <c r="U68" s="10" t="s">
        <v>490</v>
      </c>
      <c r="V68" s="1">
        <v>74</v>
      </c>
      <c r="W68" s="1">
        <v>25.21</v>
      </c>
      <c r="X68" s="1">
        <v>293</v>
      </c>
      <c r="Y68" s="1">
        <v>90</v>
      </c>
      <c r="Z68" s="1">
        <v>19.760000000000002</v>
      </c>
      <c r="AA68" s="1">
        <v>30.49</v>
      </c>
      <c r="AB68" s="1">
        <v>24.53</v>
      </c>
      <c r="AC68" s="1">
        <v>24.12</v>
      </c>
      <c r="AD68" s="1">
        <v>0.72</v>
      </c>
      <c r="AF68" s="1">
        <v>0</v>
      </c>
      <c r="AG68" s="12">
        <v>250</v>
      </c>
      <c r="AH68" s="23" t="s">
        <v>154</v>
      </c>
      <c r="AI68" s="24" t="s">
        <v>86</v>
      </c>
      <c r="AJ68" s="12">
        <v>13.78</v>
      </c>
      <c r="AK68" s="12">
        <v>0</v>
      </c>
      <c r="AL68" s="12" t="s">
        <v>491</v>
      </c>
      <c r="AM68" s="31">
        <f t="shared" si="2"/>
        <v>0</v>
      </c>
    </row>
    <row r="69" spans="1:39" x14ac:dyDescent="0.55000000000000004">
      <c r="A69" s="1" t="s">
        <v>492</v>
      </c>
      <c r="B69" s="1" t="s">
        <v>493</v>
      </c>
      <c r="C69" s="1" t="s">
        <v>66</v>
      </c>
      <c r="D69" s="1" t="s">
        <v>494</v>
      </c>
      <c r="E69" s="1">
        <v>17</v>
      </c>
      <c r="F69" s="1" t="s">
        <v>169</v>
      </c>
      <c r="G69" s="1" t="s">
        <v>131</v>
      </c>
      <c r="J69" s="1" t="s">
        <v>158</v>
      </c>
      <c r="K69" s="1">
        <v>0</v>
      </c>
      <c r="L69" s="2">
        <v>0</v>
      </c>
      <c r="N69" s="2" t="s">
        <v>163</v>
      </c>
      <c r="P69" s="14">
        <v>1</v>
      </c>
      <c r="Q69" s="14">
        <v>3</v>
      </c>
      <c r="R69" s="26"/>
      <c r="S69" s="26"/>
      <c r="T69" s="1">
        <v>6.25</v>
      </c>
      <c r="U69" s="10" t="s">
        <v>495</v>
      </c>
      <c r="V69" s="1">
        <v>27</v>
      </c>
      <c r="W69" s="1">
        <v>8.0399999999999991</v>
      </c>
      <c r="X69" s="1">
        <v>335</v>
      </c>
      <c r="Y69" s="1">
        <v>73</v>
      </c>
      <c r="Z69" s="1">
        <v>28.76</v>
      </c>
      <c r="AA69" s="1">
        <v>44.41</v>
      </c>
      <c r="AB69" s="1">
        <v>18.77</v>
      </c>
      <c r="AC69" s="1">
        <v>11.8</v>
      </c>
      <c r="AD69" s="1">
        <v>0.75</v>
      </c>
      <c r="AF69" s="1">
        <v>0</v>
      </c>
      <c r="AG69" s="12">
        <v>73</v>
      </c>
      <c r="AH69" s="23" t="s">
        <v>154</v>
      </c>
      <c r="AI69" s="24" t="s">
        <v>86</v>
      </c>
      <c r="AJ69" s="12">
        <f>8.88+2.22+2.22+11.11+4.44</f>
        <v>28.87</v>
      </c>
      <c r="AK69" s="12"/>
      <c r="AL69" s="12" t="s">
        <v>496</v>
      </c>
      <c r="AM69" s="31">
        <f t="shared" si="2"/>
        <v>0</v>
      </c>
    </row>
    <row r="70" spans="1:39" x14ac:dyDescent="0.55000000000000004">
      <c r="A70" s="43" t="s">
        <v>497</v>
      </c>
      <c r="B70" s="43" t="s">
        <v>498</v>
      </c>
      <c r="C70" s="1" t="s">
        <v>41</v>
      </c>
      <c r="D70" s="1" t="s">
        <v>499</v>
      </c>
      <c r="E70" s="1">
        <v>76</v>
      </c>
      <c r="F70" s="42" t="s">
        <v>500</v>
      </c>
      <c r="G70" s="42" t="s">
        <v>44</v>
      </c>
      <c r="J70" s="11" t="s">
        <v>501</v>
      </c>
      <c r="K70" s="11" t="s">
        <v>502</v>
      </c>
      <c r="L70" s="2">
        <v>0</v>
      </c>
      <c r="T70" s="12">
        <v>62.5</v>
      </c>
      <c r="U70" s="23" t="s">
        <v>503</v>
      </c>
      <c r="V70" s="12">
        <v>113</v>
      </c>
      <c r="W70" s="12">
        <v>25.97</v>
      </c>
      <c r="X70" s="12">
        <v>437</v>
      </c>
      <c r="Y70" s="12">
        <v>138</v>
      </c>
      <c r="Z70" s="12">
        <v>26.31</v>
      </c>
      <c r="AA70" s="12">
        <v>26.08</v>
      </c>
      <c r="AB70" s="12">
        <v>21.62</v>
      </c>
      <c r="AC70" s="12">
        <v>30.75</v>
      </c>
      <c r="AD70" s="12">
        <v>0.91</v>
      </c>
      <c r="AF70" s="1">
        <v>1</v>
      </c>
      <c r="AG70" s="12">
        <v>2461</v>
      </c>
      <c r="AH70" s="23" t="s">
        <v>154</v>
      </c>
      <c r="AI70" s="24" t="s">
        <v>86</v>
      </c>
      <c r="AJ70" s="12">
        <f>3.17+11.62+1.05+51.27</f>
        <v>67.11</v>
      </c>
      <c r="AK70" s="12">
        <f>60+5*60+26+37+26</f>
        <v>449</v>
      </c>
      <c r="AL70" s="12" t="s">
        <v>504</v>
      </c>
      <c r="AM70" s="31">
        <f t="shared" si="2"/>
        <v>0</v>
      </c>
    </row>
    <row r="71" spans="1:39" x14ac:dyDescent="0.55000000000000004">
      <c r="A71" s="1" t="s">
        <v>505</v>
      </c>
      <c r="B71" s="1" t="s">
        <v>506</v>
      </c>
      <c r="C71" s="1" t="s">
        <v>66</v>
      </c>
      <c r="D71" s="1" t="s">
        <v>507</v>
      </c>
      <c r="E71" s="1">
        <v>66</v>
      </c>
      <c r="F71" s="1" t="s">
        <v>101</v>
      </c>
      <c r="G71" s="33" t="s">
        <v>82</v>
      </c>
      <c r="J71" s="11" t="s">
        <v>508</v>
      </c>
      <c r="K71" s="11" t="s">
        <v>391</v>
      </c>
      <c r="L71" s="2">
        <v>1</v>
      </c>
      <c r="M71" s="2" t="s">
        <v>392</v>
      </c>
      <c r="N71" s="2" t="s">
        <v>399</v>
      </c>
      <c r="O71" s="2" t="s">
        <v>509</v>
      </c>
      <c r="T71" s="12">
        <v>21.05</v>
      </c>
      <c r="U71" s="23"/>
      <c r="V71" s="12">
        <v>26</v>
      </c>
      <c r="W71" s="12">
        <v>7.24</v>
      </c>
      <c r="X71" s="12">
        <v>359</v>
      </c>
      <c r="Y71" s="12">
        <v>190</v>
      </c>
      <c r="Z71" s="12">
        <v>24.51</v>
      </c>
      <c r="AA71" s="12">
        <v>47.91</v>
      </c>
      <c r="AB71" s="12">
        <v>20.329999999999998</v>
      </c>
      <c r="AC71" s="12">
        <v>44.28</v>
      </c>
      <c r="AD71" s="12">
        <v>0.88</v>
      </c>
      <c r="AF71" s="1">
        <v>1</v>
      </c>
      <c r="AG71" s="12">
        <v>195</v>
      </c>
      <c r="AH71" s="23" t="s">
        <v>154</v>
      </c>
      <c r="AI71" s="24" t="s">
        <v>86</v>
      </c>
      <c r="AJ71" s="12">
        <f>2.3+18.46</f>
        <v>20.76</v>
      </c>
      <c r="AK71" s="12">
        <v>15</v>
      </c>
      <c r="AL71" s="12" t="s">
        <v>510</v>
      </c>
      <c r="AM71" s="31">
        <f t="shared" si="2"/>
        <v>0</v>
      </c>
    </row>
    <row r="72" spans="1:39" x14ac:dyDescent="0.55000000000000004">
      <c r="A72" s="1" t="s">
        <v>511</v>
      </c>
      <c r="B72" s="1" t="s">
        <v>512</v>
      </c>
      <c r="C72" s="1" t="s">
        <v>41</v>
      </c>
      <c r="D72" s="1" t="s">
        <v>513</v>
      </c>
      <c r="E72" s="1">
        <v>67</v>
      </c>
      <c r="F72" s="1" t="s">
        <v>101</v>
      </c>
      <c r="G72" s="33" t="s">
        <v>82</v>
      </c>
      <c r="J72" s="11" t="s">
        <v>514</v>
      </c>
      <c r="K72" s="11" t="s">
        <v>515</v>
      </c>
      <c r="L72" s="2">
        <v>1</v>
      </c>
      <c r="M72" s="2" t="s">
        <v>392</v>
      </c>
      <c r="N72" s="2" t="s">
        <v>163</v>
      </c>
      <c r="O72" s="2" t="s">
        <v>276</v>
      </c>
      <c r="T72" s="12">
        <v>6.89</v>
      </c>
      <c r="U72" s="23" t="s">
        <v>516</v>
      </c>
      <c r="V72" s="12">
        <v>93</v>
      </c>
      <c r="W72" s="12">
        <v>23.75</v>
      </c>
      <c r="X72" s="12">
        <v>391</v>
      </c>
      <c r="Y72" s="12">
        <v>137</v>
      </c>
      <c r="Z72" s="12">
        <v>17.87</v>
      </c>
      <c r="AA72" s="12">
        <v>34.86</v>
      </c>
      <c r="AB72" s="12">
        <v>23.49</v>
      </c>
      <c r="AC72" s="12">
        <v>8.27</v>
      </c>
      <c r="AD72" s="12">
        <v>0.9</v>
      </c>
      <c r="AF72" s="1">
        <v>0</v>
      </c>
      <c r="AG72" s="12">
        <v>1971</v>
      </c>
      <c r="AH72" s="23" t="s">
        <v>154</v>
      </c>
      <c r="AI72" s="24" t="s">
        <v>86</v>
      </c>
      <c r="AJ72" s="12">
        <f>0.64+6.44</f>
        <v>7.08</v>
      </c>
      <c r="AK72" s="12">
        <v>23</v>
      </c>
      <c r="AL72" s="12" t="s">
        <v>517</v>
      </c>
      <c r="AM72" s="31">
        <f t="shared" si="2"/>
        <v>0</v>
      </c>
    </row>
    <row r="73" spans="1:39" x14ac:dyDescent="0.55000000000000004">
      <c r="A73" s="1" t="s">
        <v>518</v>
      </c>
      <c r="B73" s="1" t="s">
        <v>519</v>
      </c>
      <c r="C73" s="1" t="s">
        <v>41</v>
      </c>
      <c r="D73" s="1" t="s">
        <v>520</v>
      </c>
      <c r="E73" s="1">
        <v>75</v>
      </c>
      <c r="F73" s="1" t="s">
        <v>500</v>
      </c>
      <c r="G73" s="33" t="s">
        <v>44</v>
      </c>
      <c r="J73" s="11" t="s">
        <v>521</v>
      </c>
      <c r="K73" s="11" t="s">
        <v>522</v>
      </c>
      <c r="L73" s="2">
        <v>1</v>
      </c>
      <c r="M73" s="2" t="s">
        <v>392</v>
      </c>
      <c r="T73" s="12">
        <v>17.3</v>
      </c>
      <c r="U73" s="23" t="s">
        <v>523</v>
      </c>
      <c r="V73" s="12">
        <v>46</v>
      </c>
      <c r="W73" s="12">
        <v>26.8</v>
      </c>
      <c r="X73" s="12">
        <v>173</v>
      </c>
      <c r="Y73" s="12">
        <v>413</v>
      </c>
      <c r="Z73" s="12">
        <v>3.74</v>
      </c>
      <c r="AA73" s="12">
        <v>9.51</v>
      </c>
      <c r="AB73" s="12">
        <v>59.94</v>
      </c>
      <c r="AC73" s="12">
        <v>10.72</v>
      </c>
      <c r="AD73" s="12">
        <v>0.96</v>
      </c>
      <c r="AF73" s="1">
        <v>0</v>
      </c>
      <c r="AG73" s="12">
        <v>346</v>
      </c>
      <c r="AH73" s="23" t="s">
        <v>154</v>
      </c>
      <c r="AI73" s="24" t="s">
        <v>86</v>
      </c>
      <c r="AJ73" s="12">
        <f>20.64+1.29+15.48</f>
        <v>37.409999999999997</v>
      </c>
      <c r="AK73" s="12">
        <f>4*60+45+20</f>
        <v>305</v>
      </c>
      <c r="AL73" s="12" t="s">
        <v>524</v>
      </c>
      <c r="AM73" s="31">
        <f t="shared" si="2"/>
        <v>0</v>
      </c>
    </row>
    <row r="74" spans="1:39" x14ac:dyDescent="0.55000000000000004">
      <c r="A74" s="1" t="s">
        <v>525</v>
      </c>
      <c r="B74" s="1" t="s">
        <v>526</v>
      </c>
      <c r="C74" s="1" t="s">
        <v>66</v>
      </c>
      <c r="D74" s="1" t="s">
        <v>527</v>
      </c>
      <c r="E74" s="1">
        <v>51</v>
      </c>
      <c r="F74" s="1" t="s">
        <v>58</v>
      </c>
      <c r="G74" s="33" t="s">
        <v>44</v>
      </c>
      <c r="J74" s="11" t="s">
        <v>528</v>
      </c>
      <c r="K74" s="1">
        <v>0</v>
      </c>
      <c r="L74" s="2">
        <v>0</v>
      </c>
      <c r="M74" s="2">
        <v>0</v>
      </c>
      <c r="T74" s="12">
        <v>17.350000000000001</v>
      </c>
      <c r="U74" s="23" t="s">
        <v>393</v>
      </c>
      <c r="V74" s="12">
        <v>58</v>
      </c>
      <c r="W74" s="12">
        <v>28.92</v>
      </c>
      <c r="X74" s="12">
        <v>200</v>
      </c>
      <c r="Y74" s="12"/>
      <c r="Z74" s="12">
        <v>12.96</v>
      </c>
      <c r="AA74" s="12">
        <v>29.67</v>
      </c>
      <c r="AB74" s="12">
        <v>28.42</v>
      </c>
      <c r="AC74" s="12">
        <v>12.56</v>
      </c>
      <c r="AD74" s="12">
        <v>0.45</v>
      </c>
      <c r="AF74" s="1">
        <v>1</v>
      </c>
      <c r="AG74" s="12">
        <v>401</v>
      </c>
      <c r="AH74" s="23" t="s">
        <v>154</v>
      </c>
      <c r="AI74" s="24" t="s">
        <v>86</v>
      </c>
      <c r="AJ74" s="12">
        <v>2.06</v>
      </c>
      <c r="AK74" s="12">
        <v>31</v>
      </c>
      <c r="AL74" s="12" t="s">
        <v>529</v>
      </c>
      <c r="AM74" s="31">
        <f t="shared" si="2"/>
        <v>0</v>
      </c>
    </row>
    <row r="75" spans="1:39" x14ac:dyDescent="0.55000000000000004">
      <c r="A75" s="1" t="s">
        <v>530</v>
      </c>
      <c r="B75" s="1" t="s">
        <v>531</v>
      </c>
      <c r="C75" s="1" t="s">
        <v>41</v>
      </c>
      <c r="D75" s="1" t="s">
        <v>532</v>
      </c>
      <c r="E75" s="1">
        <v>51</v>
      </c>
      <c r="F75" s="1" t="s">
        <v>101</v>
      </c>
      <c r="G75" s="33" t="s">
        <v>82</v>
      </c>
      <c r="J75" s="11" t="s">
        <v>533</v>
      </c>
      <c r="K75" s="1">
        <v>0</v>
      </c>
      <c r="L75" s="2">
        <v>0</v>
      </c>
      <c r="T75" s="12">
        <v>27.74</v>
      </c>
      <c r="U75" s="23"/>
      <c r="V75" s="12">
        <v>52</v>
      </c>
      <c r="W75" s="12">
        <v>13.5</v>
      </c>
      <c r="X75" s="12">
        <v>385</v>
      </c>
      <c r="Y75" s="12">
        <v>205</v>
      </c>
      <c r="Z75" s="12">
        <v>24.67</v>
      </c>
      <c r="AA75" s="12">
        <v>42.98</v>
      </c>
      <c r="AB75" s="12">
        <v>18.829999999999998</v>
      </c>
      <c r="AC75" s="12">
        <v>40.36</v>
      </c>
      <c r="AD75" s="12">
        <v>0.92</v>
      </c>
      <c r="AF75" s="1">
        <v>1</v>
      </c>
      <c r="AG75" s="12">
        <v>393</v>
      </c>
      <c r="AH75" s="23" t="s">
        <v>154</v>
      </c>
      <c r="AI75" s="24" t="s">
        <v>86</v>
      </c>
      <c r="AJ75" s="12">
        <v>21.92</v>
      </c>
      <c r="AK75" s="12">
        <v>0</v>
      </c>
      <c r="AL75" s="12" t="s">
        <v>534</v>
      </c>
      <c r="AM75" s="31">
        <f t="shared" si="2"/>
        <v>0</v>
      </c>
    </row>
    <row r="76" spans="1:39" x14ac:dyDescent="0.55000000000000004">
      <c r="A76" s="1" t="s">
        <v>535</v>
      </c>
      <c r="B76" s="1" t="s">
        <v>536</v>
      </c>
      <c r="C76" s="1" t="s">
        <v>41</v>
      </c>
      <c r="D76" s="1" t="s">
        <v>537</v>
      </c>
      <c r="E76" s="1">
        <v>87</v>
      </c>
      <c r="F76" s="1" t="s">
        <v>101</v>
      </c>
      <c r="G76" s="33" t="s">
        <v>82</v>
      </c>
      <c r="J76" s="11" t="s">
        <v>538</v>
      </c>
      <c r="K76" s="11" t="s">
        <v>240</v>
      </c>
      <c r="L76" s="2">
        <v>0</v>
      </c>
      <c r="T76" s="12">
        <v>3.18</v>
      </c>
      <c r="U76" s="23" t="s">
        <v>539</v>
      </c>
      <c r="V76" s="12">
        <v>47</v>
      </c>
      <c r="W76" s="12">
        <v>12.01</v>
      </c>
      <c r="X76" s="12">
        <v>395</v>
      </c>
      <c r="Y76" s="12">
        <v>182</v>
      </c>
      <c r="Z76" s="12">
        <v>16.3</v>
      </c>
      <c r="AA76" s="12">
        <v>44.12</v>
      </c>
      <c r="AB76" s="12">
        <v>27.56</v>
      </c>
      <c r="AC76" s="12">
        <v>22.3</v>
      </c>
      <c r="AD76" s="12">
        <v>0.86</v>
      </c>
      <c r="AF76" s="1">
        <v>1</v>
      </c>
      <c r="AG76" s="12"/>
      <c r="AH76" s="23" t="s">
        <v>154</v>
      </c>
      <c r="AI76" s="24" t="s">
        <v>86</v>
      </c>
      <c r="AJ76" s="12">
        <v>7.57</v>
      </c>
      <c r="AK76" s="12">
        <v>0</v>
      </c>
      <c r="AL76" s="12" t="s">
        <v>540</v>
      </c>
      <c r="AM76" s="31">
        <f t="shared" si="2"/>
        <v>0</v>
      </c>
    </row>
    <row r="77" spans="1:39" x14ac:dyDescent="0.55000000000000004">
      <c r="A77" s="1" t="s">
        <v>541</v>
      </c>
      <c r="B77" s="1" t="s">
        <v>542</v>
      </c>
      <c r="C77" s="1" t="s">
        <v>41</v>
      </c>
      <c r="D77" s="1" t="s">
        <v>543</v>
      </c>
      <c r="E77" s="1">
        <v>75</v>
      </c>
      <c r="F77" s="1" t="s">
        <v>101</v>
      </c>
      <c r="G77" s="33" t="s">
        <v>82</v>
      </c>
      <c r="J77" s="11" t="s">
        <v>544</v>
      </c>
      <c r="K77" s="1">
        <v>0</v>
      </c>
      <c r="L77" s="2">
        <v>0</v>
      </c>
      <c r="O77" s="2" t="s">
        <v>276</v>
      </c>
      <c r="T77" s="12">
        <v>30.1</v>
      </c>
      <c r="U77" s="23" t="s">
        <v>234</v>
      </c>
      <c r="V77" s="12">
        <v>28</v>
      </c>
      <c r="W77" s="12">
        <v>9.68</v>
      </c>
      <c r="X77" s="12">
        <v>289</v>
      </c>
      <c r="Y77" s="12">
        <v>145</v>
      </c>
      <c r="Z77" s="12">
        <v>20.41</v>
      </c>
      <c r="AA77" s="12">
        <v>34.770000000000003</v>
      </c>
      <c r="AB77" s="12">
        <v>35.119999999999997</v>
      </c>
      <c r="AC77" s="12">
        <v>24.91</v>
      </c>
      <c r="AD77" s="12">
        <v>0.66</v>
      </c>
      <c r="AF77" s="1">
        <v>0</v>
      </c>
      <c r="AG77" s="12"/>
      <c r="AH77" s="23" t="s">
        <v>154</v>
      </c>
      <c r="AI77" s="24" t="s">
        <v>86</v>
      </c>
      <c r="AJ77" s="12">
        <f>30+8.57</f>
        <v>38.57</v>
      </c>
      <c r="AK77" s="12">
        <v>455</v>
      </c>
      <c r="AL77" s="12" t="s">
        <v>545</v>
      </c>
      <c r="AM77" s="31">
        <f t="shared" si="2"/>
        <v>0</v>
      </c>
    </row>
    <row r="78" spans="1:39" x14ac:dyDescent="0.55000000000000004">
      <c r="A78" s="1" t="s">
        <v>546</v>
      </c>
      <c r="B78" s="1" t="s">
        <v>547</v>
      </c>
      <c r="C78" s="1" t="s">
        <v>41</v>
      </c>
      <c r="D78" s="1" t="s">
        <v>548</v>
      </c>
      <c r="E78" s="1">
        <v>72</v>
      </c>
      <c r="F78" s="1" t="s">
        <v>58</v>
      </c>
      <c r="G78" s="33" t="s">
        <v>44</v>
      </c>
      <c r="J78" s="11" t="s">
        <v>549</v>
      </c>
      <c r="K78" s="1">
        <v>0</v>
      </c>
      <c r="L78" s="2">
        <v>0</v>
      </c>
      <c r="T78" s="12">
        <v>30.62</v>
      </c>
      <c r="U78" s="23" t="s">
        <v>503</v>
      </c>
      <c r="V78" s="12">
        <v>36</v>
      </c>
      <c r="W78" s="12">
        <v>8.91</v>
      </c>
      <c r="X78" s="12">
        <v>409</v>
      </c>
      <c r="Y78" s="12">
        <v>192</v>
      </c>
      <c r="Z78" s="12">
        <v>20.02</v>
      </c>
      <c r="AA78" s="12">
        <v>44.81</v>
      </c>
      <c r="AB78" s="12">
        <v>26.25</v>
      </c>
      <c r="AC78" s="12">
        <v>24.46</v>
      </c>
      <c r="AD78" s="12">
        <v>0.94</v>
      </c>
      <c r="AF78" s="1">
        <v>0</v>
      </c>
      <c r="AG78" s="12"/>
      <c r="AH78" s="23" t="s">
        <v>154</v>
      </c>
      <c r="AI78" s="24" t="s">
        <v>86</v>
      </c>
      <c r="AJ78" s="12">
        <f>9.86+23.01</f>
        <v>32.870000000000005</v>
      </c>
      <c r="AK78" s="12">
        <f>60+49</f>
        <v>109</v>
      </c>
      <c r="AL78" s="12" t="s">
        <v>550</v>
      </c>
      <c r="AM78" s="31">
        <f t="shared" si="2"/>
        <v>0</v>
      </c>
    </row>
    <row r="79" spans="1:39" x14ac:dyDescent="0.55000000000000004">
      <c r="A79" s="1" t="s">
        <v>551</v>
      </c>
      <c r="B79" s="1" t="s">
        <v>552</v>
      </c>
      <c r="C79" s="1" t="s">
        <v>41</v>
      </c>
      <c r="D79" s="1" t="s">
        <v>553</v>
      </c>
      <c r="E79" s="1">
        <v>45</v>
      </c>
      <c r="F79" s="1" t="s">
        <v>216</v>
      </c>
      <c r="G79" s="33" t="s">
        <v>44</v>
      </c>
      <c r="J79" s="11" t="s">
        <v>554</v>
      </c>
      <c r="K79" s="1">
        <v>0</v>
      </c>
      <c r="L79" s="2">
        <v>0</v>
      </c>
      <c r="N79" s="2" t="s">
        <v>555</v>
      </c>
      <c r="O79" s="2" t="s">
        <v>556</v>
      </c>
      <c r="T79" s="12">
        <v>72.52</v>
      </c>
      <c r="U79" s="23" t="s">
        <v>174</v>
      </c>
      <c r="V79" s="12">
        <v>94</v>
      </c>
      <c r="W79" s="12">
        <v>22.93</v>
      </c>
      <c r="X79" s="12">
        <v>412</v>
      </c>
      <c r="Y79" s="12">
        <v>114</v>
      </c>
      <c r="Z79" s="12">
        <v>20.14</v>
      </c>
      <c r="AA79" s="12">
        <v>35.31</v>
      </c>
      <c r="AB79" s="12">
        <v>21.6</v>
      </c>
      <c r="AC79" s="12">
        <v>25.77</v>
      </c>
      <c r="AD79" s="12">
        <v>0.94</v>
      </c>
      <c r="AF79" s="1">
        <v>0</v>
      </c>
      <c r="AG79" s="12"/>
      <c r="AH79" s="23" t="s">
        <v>154</v>
      </c>
      <c r="AI79" s="24" t="s">
        <v>86</v>
      </c>
      <c r="AJ79" s="12">
        <f>0.63+58.41</f>
        <v>59.04</v>
      </c>
      <c r="AK79" s="12">
        <v>11</v>
      </c>
      <c r="AL79" s="12" t="s">
        <v>557</v>
      </c>
      <c r="AM79" s="31">
        <f t="shared" si="2"/>
        <v>0</v>
      </c>
    </row>
    <row r="80" spans="1:39" x14ac:dyDescent="0.55000000000000004">
      <c r="A80" s="1" t="s">
        <v>558</v>
      </c>
      <c r="B80" s="1" t="s">
        <v>559</v>
      </c>
      <c r="C80" s="1" t="s">
        <v>41</v>
      </c>
      <c r="D80" s="1" t="s">
        <v>560</v>
      </c>
      <c r="E80" s="1">
        <v>47</v>
      </c>
      <c r="F80" s="1" t="s">
        <v>778</v>
      </c>
      <c r="G80" s="38" t="s">
        <v>44</v>
      </c>
      <c r="J80" s="11" t="s">
        <v>561</v>
      </c>
      <c r="K80" s="1">
        <v>0</v>
      </c>
      <c r="L80" s="2">
        <v>0</v>
      </c>
      <c r="N80" s="2" t="s">
        <v>562</v>
      </c>
      <c r="T80" s="12">
        <v>10.85</v>
      </c>
      <c r="U80" s="23" t="s">
        <v>516</v>
      </c>
      <c r="V80" s="12">
        <v>69</v>
      </c>
      <c r="W80" s="12">
        <v>22.29</v>
      </c>
      <c r="X80" s="12">
        <v>309</v>
      </c>
      <c r="Y80" s="12">
        <v>119</v>
      </c>
      <c r="Z80" s="12">
        <v>6.62</v>
      </c>
      <c r="AA80" s="12">
        <v>35.21</v>
      </c>
      <c r="AB80" s="12">
        <v>35.86</v>
      </c>
      <c r="AC80" s="12">
        <v>6.97</v>
      </c>
      <c r="AD80" s="12">
        <v>0.95</v>
      </c>
      <c r="AF80" s="1">
        <v>0</v>
      </c>
      <c r="AG80" s="12"/>
      <c r="AH80" s="23" t="s">
        <v>154</v>
      </c>
      <c r="AI80" s="24" t="s">
        <v>86</v>
      </c>
      <c r="AJ80" s="12">
        <f>1.73+2.6+19.12</f>
        <v>23.450000000000003</v>
      </c>
      <c r="AK80" s="12">
        <f>34+51</f>
        <v>85</v>
      </c>
      <c r="AL80" s="12" t="s">
        <v>563</v>
      </c>
      <c r="AM80" s="31">
        <f t="shared" si="2"/>
        <v>0</v>
      </c>
    </row>
    <row r="81" spans="1:39" x14ac:dyDescent="0.55000000000000004">
      <c r="A81" s="1" t="s">
        <v>564</v>
      </c>
      <c r="B81" s="1" t="s">
        <v>565</v>
      </c>
      <c r="C81" s="1" t="s">
        <v>41</v>
      </c>
      <c r="D81" s="1" t="s">
        <v>566</v>
      </c>
      <c r="E81" s="1">
        <v>81</v>
      </c>
      <c r="F81" s="1" t="s">
        <v>567</v>
      </c>
      <c r="G81" s="33" t="s">
        <v>315</v>
      </c>
      <c r="J81" s="11" t="s">
        <v>568</v>
      </c>
      <c r="K81" s="1">
        <v>0</v>
      </c>
      <c r="L81" s="2">
        <v>0</v>
      </c>
      <c r="T81" s="12">
        <v>22.6</v>
      </c>
      <c r="U81" s="23" t="s">
        <v>320</v>
      </c>
      <c r="V81" s="12">
        <v>97</v>
      </c>
      <c r="W81" s="12">
        <v>21.6</v>
      </c>
      <c r="X81" s="12">
        <v>449</v>
      </c>
      <c r="Y81" s="12">
        <v>55</v>
      </c>
      <c r="Z81" s="12">
        <v>6.23</v>
      </c>
      <c r="AA81" s="12">
        <v>55.67</v>
      </c>
      <c r="AB81" s="12">
        <v>16.48</v>
      </c>
      <c r="AC81" s="12">
        <v>22.58</v>
      </c>
      <c r="AD81" s="12">
        <v>0.86</v>
      </c>
      <c r="AF81" s="1">
        <v>0</v>
      </c>
      <c r="AG81" s="12"/>
      <c r="AH81" s="23"/>
      <c r="AI81" s="24" t="s">
        <v>62</v>
      </c>
      <c r="AJ81" s="12">
        <f>0.61+23.5</f>
        <v>24.11</v>
      </c>
      <c r="AK81" s="12">
        <f>18</f>
        <v>18</v>
      </c>
      <c r="AL81" s="12"/>
      <c r="AM81" s="31">
        <f t="shared" si="2"/>
        <v>0</v>
      </c>
    </row>
    <row r="82" spans="1:39" x14ac:dyDescent="0.55000000000000004">
      <c r="A82" s="1" t="s">
        <v>569</v>
      </c>
      <c r="B82" s="1" t="s">
        <v>570</v>
      </c>
      <c r="C82" s="1" t="s">
        <v>41</v>
      </c>
      <c r="D82" s="1" t="s">
        <v>571</v>
      </c>
      <c r="E82" s="1">
        <v>63</v>
      </c>
      <c r="F82" s="1" t="s">
        <v>572</v>
      </c>
      <c r="G82" s="33" t="s">
        <v>315</v>
      </c>
      <c r="J82" s="11" t="s">
        <v>476</v>
      </c>
      <c r="K82" s="11" t="s">
        <v>573</v>
      </c>
      <c r="L82" s="2">
        <v>1</v>
      </c>
      <c r="M82" s="2" t="s">
        <v>392</v>
      </c>
      <c r="T82" s="12">
        <v>61</v>
      </c>
      <c r="U82" s="23" t="s">
        <v>174</v>
      </c>
      <c r="V82" s="12">
        <v>27</v>
      </c>
      <c r="W82" s="12">
        <v>11.98</v>
      </c>
      <c r="X82" s="12">
        <v>229</v>
      </c>
      <c r="Y82" s="12">
        <v>94</v>
      </c>
      <c r="Z82" s="12">
        <v>24.4</v>
      </c>
      <c r="AA82" s="12">
        <v>25.49</v>
      </c>
      <c r="AB82" s="12">
        <v>38.119999999999997</v>
      </c>
      <c r="AC82" s="12">
        <v>25.09</v>
      </c>
      <c r="AD82" s="12">
        <v>0.68</v>
      </c>
      <c r="AF82" s="1">
        <v>0</v>
      </c>
      <c r="AG82" s="12">
        <v>47</v>
      </c>
      <c r="AH82" s="23" t="s">
        <v>85</v>
      </c>
      <c r="AI82" s="24" t="s">
        <v>86</v>
      </c>
      <c r="AJ82" s="12">
        <f>2.18+21.81+78.54+2.18</f>
        <v>104.71000000000001</v>
      </c>
      <c r="AK82" s="12">
        <f>16+3*60+36</f>
        <v>232</v>
      </c>
      <c r="AL82" s="12" t="s">
        <v>574</v>
      </c>
      <c r="AM82" s="31">
        <f t="shared" si="2"/>
        <v>0</v>
      </c>
    </row>
    <row r="83" spans="1:39" x14ac:dyDescent="0.55000000000000004">
      <c r="A83" s="1" t="s">
        <v>575</v>
      </c>
      <c r="B83" s="1" t="s">
        <v>576</v>
      </c>
      <c r="C83" s="1" t="s">
        <v>66</v>
      </c>
      <c r="D83" s="1" t="s">
        <v>577</v>
      </c>
      <c r="E83" s="1">
        <v>74</v>
      </c>
      <c r="F83" s="1" t="s">
        <v>101</v>
      </c>
      <c r="G83" s="33" t="s">
        <v>82</v>
      </c>
      <c r="J83" s="11" t="s">
        <v>578</v>
      </c>
      <c r="K83" s="11" t="s">
        <v>579</v>
      </c>
      <c r="L83" s="2">
        <v>1</v>
      </c>
      <c r="M83" s="2" t="s">
        <v>392</v>
      </c>
      <c r="N83" s="2" t="s">
        <v>276</v>
      </c>
      <c r="O83" s="2" t="s">
        <v>276</v>
      </c>
      <c r="T83" s="12">
        <v>59.57</v>
      </c>
      <c r="U83" s="23" t="s">
        <v>174</v>
      </c>
      <c r="V83" s="12">
        <v>18</v>
      </c>
      <c r="W83" s="12">
        <v>3.63</v>
      </c>
      <c r="X83" s="12">
        <v>495</v>
      </c>
      <c r="Y83" s="12">
        <v>435</v>
      </c>
      <c r="Z83" s="12">
        <v>12.51</v>
      </c>
      <c r="AA83" s="12">
        <v>65.48</v>
      </c>
      <c r="AB83" s="12">
        <v>18.36</v>
      </c>
      <c r="AC83" s="12">
        <v>64.290000000000006</v>
      </c>
      <c r="AD83" s="12">
        <v>0.85</v>
      </c>
      <c r="AF83" s="1">
        <v>0</v>
      </c>
      <c r="AG83" s="12"/>
      <c r="AH83" s="23" t="s">
        <v>85</v>
      </c>
      <c r="AI83" s="24" t="s">
        <v>86</v>
      </c>
      <c r="AJ83" s="12">
        <f>3.33+6.66+29.99</f>
        <v>39.979999999999997</v>
      </c>
      <c r="AK83" s="12">
        <f>17+29</f>
        <v>46</v>
      </c>
      <c r="AL83" s="12" t="s">
        <v>580</v>
      </c>
      <c r="AM83" s="31">
        <f t="shared" si="2"/>
        <v>0</v>
      </c>
    </row>
    <row r="84" spans="1:39" x14ac:dyDescent="0.55000000000000004">
      <c r="A84" s="1" t="s">
        <v>581</v>
      </c>
      <c r="B84" s="1" t="s">
        <v>582</v>
      </c>
      <c r="C84" s="1" t="s">
        <v>66</v>
      </c>
      <c r="D84" s="1" t="s">
        <v>583</v>
      </c>
      <c r="E84" s="1">
        <v>68</v>
      </c>
      <c r="F84" s="1" t="s">
        <v>101</v>
      </c>
      <c r="G84" s="33" t="s">
        <v>82</v>
      </c>
      <c r="J84" s="11" t="s">
        <v>584</v>
      </c>
      <c r="K84" s="11" t="s">
        <v>585</v>
      </c>
      <c r="L84" s="2">
        <v>1</v>
      </c>
      <c r="M84" s="2" t="s">
        <v>586</v>
      </c>
      <c r="N84" s="2" t="s">
        <v>587</v>
      </c>
      <c r="T84" s="12">
        <v>10.17</v>
      </c>
      <c r="U84" s="23" t="s">
        <v>588</v>
      </c>
      <c r="V84" s="12">
        <v>153</v>
      </c>
      <c r="W84" s="12">
        <v>27.03</v>
      </c>
      <c r="X84" s="12">
        <v>566</v>
      </c>
      <c r="Y84" s="12">
        <v>121</v>
      </c>
      <c r="Z84" s="12">
        <v>5.21</v>
      </c>
      <c r="AA84" s="12">
        <v>45.75</v>
      </c>
      <c r="AB84" s="12">
        <v>21.99</v>
      </c>
      <c r="AC84" s="12">
        <v>11.87</v>
      </c>
      <c r="AD84" s="12">
        <v>0.95</v>
      </c>
      <c r="AF84" s="1">
        <v>0</v>
      </c>
      <c r="AG84" s="12"/>
      <c r="AH84" s="23" t="s">
        <v>85</v>
      </c>
      <c r="AI84" s="24" t="s">
        <v>86</v>
      </c>
      <c r="AJ84" s="12">
        <f>0.39+1.17</f>
        <v>1.56</v>
      </c>
      <c r="AK84" s="12">
        <v>10</v>
      </c>
      <c r="AL84" s="12" t="s">
        <v>589</v>
      </c>
      <c r="AM84" s="31">
        <f t="shared" si="2"/>
        <v>0</v>
      </c>
    </row>
    <row r="85" spans="1:39" x14ac:dyDescent="0.55000000000000004">
      <c r="A85" s="1" t="s">
        <v>590</v>
      </c>
      <c r="B85" s="1" t="s">
        <v>591</v>
      </c>
      <c r="C85" s="1" t="s">
        <v>41</v>
      </c>
      <c r="D85" s="1" t="s">
        <v>592</v>
      </c>
      <c r="E85" s="1">
        <v>73</v>
      </c>
      <c r="F85" s="1" t="s">
        <v>58</v>
      </c>
      <c r="G85" s="33" t="s">
        <v>44</v>
      </c>
      <c r="J85" s="11" t="s">
        <v>593</v>
      </c>
      <c r="K85" s="11" t="s">
        <v>594</v>
      </c>
      <c r="L85" s="2">
        <v>1</v>
      </c>
      <c r="M85" s="2" t="s">
        <v>392</v>
      </c>
      <c r="T85" s="12">
        <v>77.19</v>
      </c>
      <c r="U85" s="23" t="s">
        <v>174</v>
      </c>
      <c r="V85" s="12">
        <v>10</v>
      </c>
      <c r="W85" s="12">
        <v>3.79</v>
      </c>
      <c r="X85" s="12">
        <f>263</f>
        <v>263</v>
      </c>
      <c r="Y85" s="12">
        <v>338</v>
      </c>
      <c r="Z85" s="12">
        <v>19.54</v>
      </c>
      <c r="AA85" s="12">
        <v>50.09</v>
      </c>
      <c r="AB85" s="12">
        <v>26.56</v>
      </c>
      <c r="AC85" s="12">
        <v>45.99</v>
      </c>
      <c r="AD85" s="12">
        <v>0.75</v>
      </c>
      <c r="AF85" s="1">
        <v>1</v>
      </c>
      <c r="AG85" s="12"/>
      <c r="AH85" s="23" t="s">
        <v>154</v>
      </c>
      <c r="AI85" s="24" t="s">
        <v>86</v>
      </c>
      <c r="AJ85" s="12">
        <f>48+18</f>
        <v>66</v>
      </c>
      <c r="AK85" s="12">
        <f>2*60+38</f>
        <v>158</v>
      </c>
      <c r="AL85" s="12" t="s">
        <v>595</v>
      </c>
      <c r="AM85" s="31">
        <f t="shared" si="2"/>
        <v>0</v>
      </c>
    </row>
    <row r="86" spans="1:39" x14ac:dyDescent="0.55000000000000004">
      <c r="A86" s="1" t="s">
        <v>596</v>
      </c>
      <c r="B86" s="1" t="s">
        <v>597</v>
      </c>
      <c r="C86" s="1" t="s">
        <v>66</v>
      </c>
      <c r="D86" s="1" t="s">
        <v>598</v>
      </c>
      <c r="E86" s="1">
        <v>75</v>
      </c>
      <c r="F86" s="1" t="s">
        <v>101</v>
      </c>
      <c r="G86" s="33" t="s">
        <v>82</v>
      </c>
      <c r="J86" s="11" t="s">
        <v>599</v>
      </c>
      <c r="L86" s="2">
        <v>0</v>
      </c>
      <c r="T86" s="12">
        <v>21.13</v>
      </c>
      <c r="U86" s="23" t="s">
        <v>320</v>
      </c>
      <c r="V86" s="12">
        <v>94</v>
      </c>
      <c r="W86" s="12">
        <v>24.35</v>
      </c>
      <c r="X86" s="12">
        <v>386</v>
      </c>
      <c r="Y86" s="12">
        <v>299</v>
      </c>
      <c r="Z86" s="12">
        <v>2.72</v>
      </c>
      <c r="AA86" s="12">
        <v>51.42</v>
      </c>
      <c r="AB86" s="12">
        <v>21.5</v>
      </c>
      <c r="AC86" s="12">
        <v>1.55</v>
      </c>
      <c r="AD86" s="12">
        <v>0.92</v>
      </c>
      <c r="AF86" s="1">
        <v>1</v>
      </c>
      <c r="AG86" s="12"/>
      <c r="AH86" s="23" t="s">
        <v>85</v>
      </c>
      <c r="AI86" s="24" t="s">
        <v>86</v>
      </c>
      <c r="AJ86" s="12">
        <f>3.82+7.02+25.52</f>
        <v>36.36</v>
      </c>
      <c r="AK86" s="12">
        <f>60+54+120+46</f>
        <v>280</v>
      </c>
      <c r="AL86" s="12" t="s">
        <v>600</v>
      </c>
      <c r="AM86" s="31">
        <f t="shared" si="2"/>
        <v>0</v>
      </c>
    </row>
    <row r="87" spans="1:39" x14ac:dyDescent="0.55000000000000004">
      <c r="A87" s="1" t="s">
        <v>601</v>
      </c>
      <c r="B87" s="1" t="s">
        <v>602</v>
      </c>
      <c r="C87" s="1" t="s">
        <v>41</v>
      </c>
      <c r="D87" s="1" t="s">
        <v>603</v>
      </c>
      <c r="E87" s="1">
        <v>28</v>
      </c>
      <c r="F87" s="1" t="s">
        <v>101</v>
      </c>
      <c r="G87" s="33" t="s">
        <v>82</v>
      </c>
      <c r="I87" s="11" t="s">
        <v>604</v>
      </c>
      <c r="J87" s="11" t="s">
        <v>538</v>
      </c>
      <c r="K87" s="11" t="s">
        <v>391</v>
      </c>
      <c r="L87" s="2">
        <v>1</v>
      </c>
      <c r="T87" s="12">
        <v>0.35</v>
      </c>
      <c r="U87" s="23" t="s">
        <v>605</v>
      </c>
      <c r="V87" s="12">
        <v>74</v>
      </c>
      <c r="W87" s="12">
        <v>14.62</v>
      </c>
      <c r="X87" s="12">
        <v>506</v>
      </c>
      <c r="Y87" s="12">
        <v>286</v>
      </c>
      <c r="Z87" s="12">
        <v>4.9400000000000004</v>
      </c>
      <c r="AA87" s="12">
        <v>61.16</v>
      </c>
      <c r="AB87" s="12">
        <v>19.260000000000002</v>
      </c>
      <c r="AC87" s="12">
        <v>0.83</v>
      </c>
      <c r="AD87" s="12">
        <v>0.89</v>
      </c>
      <c r="AF87" s="1">
        <v>1</v>
      </c>
      <c r="AG87" s="12"/>
      <c r="AH87" s="23" t="s">
        <v>85</v>
      </c>
      <c r="AI87" s="24" t="s">
        <v>86</v>
      </c>
      <c r="AJ87" s="12">
        <v>1.62</v>
      </c>
      <c r="AK87" s="12">
        <v>21</v>
      </c>
      <c r="AL87" s="12" t="s">
        <v>606</v>
      </c>
      <c r="AM87" s="31">
        <f t="shared" si="2"/>
        <v>0</v>
      </c>
    </row>
    <row r="88" spans="1:39" x14ac:dyDescent="0.55000000000000004">
      <c r="A88" s="1" t="s">
        <v>607</v>
      </c>
      <c r="B88" s="1" t="s">
        <v>608</v>
      </c>
      <c r="C88" s="1" t="s">
        <v>66</v>
      </c>
      <c r="D88" s="1" t="s">
        <v>609</v>
      </c>
      <c r="E88" s="1">
        <v>59</v>
      </c>
      <c r="F88" s="39" t="s">
        <v>779</v>
      </c>
      <c r="G88" s="38" t="s">
        <v>315</v>
      </c>
      <c r="I88" s="11" t="s">
        <v>610</v>
      </c>
      <c r="J88" s="11" t="s">
        <v>611</v>
      </c>
      <c r="K88" s="11" t="s">
        <v>612</v>
      </c>
      <c r="L88" s="2">
        <v>1</v>
      </c>
      <c r="T88" s="12"/>
      <c r="U88" s="23"/>
      <c r="V88" s="12">
        <v>44</v>
      </c>
      <c r="W88" s="12">
        <v>12.34</v>
      </c>
      <c r="X88" s="12">
        <v>356</v>
      </c>
      <c r="Y88" s="12">
        <v>87</v>
      </c>
      <c r="Z88" s="12">
        <v>11.07</v>
      </c>
      <c r="AA88" s="12">
        <v>23.98</v>
      </c>
      <c r="AB88" s="12">
        <v>52.59</v>
      </c>
      <c r="AC88" s="12"/>
      <c r="AD88" s="12">
        <v>0.96</v>
      </c>
      <c r="AF88" s="1">
        <v>1</v>
      </c>
      <c r="AG88" s="12"/>
      <c r="AH88" s="23" t="s">
        <v>154</v>
      </c>
      <c r="AI88" s="24" t="s">
        <v>86</v>
      </c>
      <c r="AJ88" s="12"/>
      <c r="AK88" s="12"/>
      <c r="AL88" s="12" t="s">
        <v>613</v>
      </c>
      <c r="AM88" s="31">
        <f t="shared" si="2"/>
        <v>0</v>
      </c>
    </row>
    <row r="89" spans="1:39" x14ac:dyDescent="0.55000000000000004">
      <c r="A89" s="1" t="s">
        <v>614</v>
      </c>
      <c r="B89" s="1" t="s">
        <v>615</v>
      </c>
      <c r="C89" s="1" t="s">
        <v>66</v>
      </c>
      <c r="D89" s="1" t="s">
        <v>616</v>
      </c>
      <c r="E89" s="1">
        <v>35</v>
      </c>
      <c r="F89" s="1" t="s">
        <v>169</v>
      </c>
      <c r="G89" s="33" t="s">
        <v>131</v>
      </c>
      <c r="J89" s="11" t="s">
        <v>584</v>
      </c>
      <c r="K89" s="11" t="s">
        <v>96</v>
      </c>
      <c r="L89" s="2">
        <v>1</v>
      </c>
      <c r="P89" s="2" t="s">
        <v>617</v>
      </c>
      <c r="Q89" s="2">
        <v>3</v>
      </c>
      <c r="R89" s="27"/>
      <c r="S89" s="2">
        <v>22</v>
      </c>
      <c r="T89" s="12">
        <v>8.0299999999999994</v>
      </c>
      <c r="U89" s="23" t="s">
        <v>618</v>
      </c>
      <c r="V89" s="12">
        <v>35</v>
      </c>
      <c r="W89" s="12">
        <v>9.56</v>
      </c>
      <c r="X89" s="12">
        <v>366</v>
      </c>
      <c r="Y89" s="12">
        <v>163</v>
      </c>
      <c r="Z89" s="12">
        <v>3.55</v>
      </c>
      <c r="AA89" s="12">
        <v>63.11</v>
      </c>
      <c r="AB89" s="12">
        <v>23.77</v>
      </c>
      <c r="AC89" s="12">
        <v>21.14</v>
      </c>
      <c r="AD89" s="12">
        <v>0.85</v>
      </c>
      <c r="AF89" s="1">
        <v>0</v>
      </c>
      <c r="AG89" s="12">
        <v>114</v>
      </c>
      <c r="AH89" s="23" t="s">
        <v>154</v>
      </c>
      <c r="AI89" s="24" t="s">
        <v>86</v>
      </c>
      <c r="AJ89" s="12">
        <v>10.28</v>
      </c>
      <c r="AK89" s="12">
        <v>0</v>
      </c>
      <c r="AL89" s="12" t="s">
        <v>619</v>
      </c>
      <c r="AM89" s="31">
        <f t="shared" si="2"/>
        <v>0</v>
      </c>
    </row>
    <row r="90" spans="1:39" x14ac:dyDescent="0.55000000000000004">
      <c r="A90" s="1" t="s">
        <v>620</v>
      </c>
      <c r="B90" s="1" t="s">
        <v>621</v>
      </c>
      <c r="C90" s="1" t="s">
        <v>41</v>
      </c>
      <c r="D90" s="1" t="s">
        <v>622</v>
      </c>
      <c r="E90" s="1">
        <v>14</v>
      </c>
      <c r="F90" s="1" t="s">
        <v>169</v>
      </c>
      <c r="G90" s="33" t="s">
        <v>131</v>
      </c>
      <c r="J90" s="11" t="s">
        <v>623</v>
      </c>
      <c r="K90" s="1">
        <v>0</v>
      </c>
      <c r="L90" s="2">
        <v>0</v>
      </c>
      <c r="M90" s="2">
        <v>0</v>
      </c>
      <c r="P90" s="2" t="s">
        <v>624</v>
      </c>
      <c r="Q90" s="2">
        <v>5</v>
      </c>
      <c r="R90" s="2" t="s">
        <v>625</v>
      </c>
      <c r="S90" s="27"/>
      <c r="T90" s="12">
        <v>4.88</v>
      </c>
      <c r="U90" s="23" t="s">
        <v>626</v>
      </c>
      <c r="V90" s="12">
        <v>94</v>
      </c>
      <c r="W90" s="12">
        <v>20.12</v>
      </c>
      <c r="X90" s="12">
        <v>467</v>
      </c>
      <c r="Y90" s="12">
        <v>1</v>
      </c>
      <c r="Z90" s="12">
        <v>5.46</v>
      </c>
      <c r="AA90" s="12">
        <v>57.81</v>
      </c>
      <c r="AB90" s="12">
        <v>16.59</v>
      </c>
      <c r="AC90" s="12">
        <v>18.11</v>
      </c>
      <c r="AD90" s="12">
        <v>0.83</v>
      </c>
      <c r="AF90" s="1">
        <v>1</v>
      </c>
      <c r="AG90" s="12">
        <v>76</v>
      </c>
      <c r="AH90" s="23" t="s">
        <v>154</v>
      </c>
      <c r="AI90" s="24" t="s">
        <v>86</v>
      </c>
      <c r="AJ90" s="12">
        <f>0.63+7.02</f>
        <v>7.6499999999999995</v>
      </c>
      <c r="AK90" s="12"/>
      <c r="AL90" s="12" t="s">
        <v>627</v>
      </c>
      <c r="AM90" s="31">
        <f t="shared" si="2"/>
        <v>0</v>
      </c>
    </row>
    <row r="91" spans="1:39" x14ac:dyDescent="0.55000000000000004">
      <c r="A91" s="1" t="s">
        <v>628</v>
      </c>
      <c r="B91" s="1" t="s">
        <v>629</v>
      </c>
      <c r="C91" s="1" t="s">
        <v>66</v>
      </c>
      <c r="D91" s="1" t="s">
        <v>630</v>
      </c>
      <c r="E91" s="1">
        <v>83</v>
      </c>
      <c r="F91" s="1" t="s">
        <v>101</v>
      </c>
      <c r="G91" s="33" t="s">
        <v>82</v>
      </c>
      <c r="J91" s="11" t="s">
        <v>631</v>
      </c>
      <c r="K91" s="11" t="s">
        <v>632</v>
      </c>
      <c r="L91" s="2">
        <v>1</v>
      </c>
      <c r="M91" s="2" t="s">
        <v>633</v>
      </c>
      <c r="T91" s="12">
        <v>8.1199999999999992</v>
      </c>
      <c r="U91" s="23" t="s">
        <v>634</v>
      </c>
      <c r="V91" s="12">
        <v>99</v>
      </c>
      <c r="W91" s="12">
        <v>21.97</v>
      </c>
      <c r="X91" s="12">
        <v>450</v>
      </c>
      <c r="Y91" s="12">
        <v>179</v>
      </c>
      <c r="Z91" s="12">
        <v>10.54</v>
      </c>
      <c r="AA91" s="12">
        <v>25.41</v>
      </c>
      <c r="AB91" s="12">
        <v>42.06</v>
      </c>
      <c r="AC91" s="12">
        <v>11.45</v>
      </c>
      <c r="AD91" s="12"/>
      <c r="AF91" s="1">
        <v>1</v>
      </c>
      <c r="AG91" s="12">
        <v>539</v>
      </c>
      <c r="AH91" s="23" t="s">
        <v>85</v>
      </c>
      <c r="AI91" s="24" t="s">
        <v>86</v>
      </c>
      <c r="AJ91" s="12">
        <f>18.78+0.6+5.45</f>
        <v>24.830000000000002</v>
      </c>
      <c r="AK91" s="12">
        <f>60*7+53+13</f>
        <v>486</v>
      </c>
      <c r="AL91" s="12" t="s">
        <v>635</v>
      </c>
      <c r="AM91" s="31">
        <f t="shared" si="2"/>
        <v>0</v>
      </c>
    </row>
    <row r="92" spans="1:39" x14ac:dyDescent="0.55000000000000004">
      <c r="A92" s="1" t="s">
        <v>636</v>
      </c>
      <c r="B92" s="1" t="s">
        <v>637</v>
      </c>
      <c r="C92" s="1" t="s">
        <v>41</v>
      </c>
      <c r="D92" s="1" t="s">
        <v>638</v>
      </c>
      <c r="E92" s="1">
        <v>70</v>
      </c>
      <c r="F92" s="37" t="s">
        <v>122</v>
      </c>
      <c r="G92" s="38" t="s">
        <v>44</v>
      </c>
      <c r="I92" s="11" t="s">
        <v>639</v>
      </c>
      <c r="J92" s="11" t="s">
        <v>640</v>
      </c>
      <c r="K92" s="1">
        <v>0</v>
      </c>
      <c r="L92" s="2">
        <v>0</v>
      </c>
      <c r="M92" s="2">
        <v>0</v>
      </c>
      <c r="O92" s="2" t="s">
        <v>641</v>
      </c>
      <c r="T92" s="12">
        <v>14.05</v>
      </c>
      <c r="U92" s="23"/>
      <c r="V92" s="12">
        <v>64</v>
      </c>
      <c r="W92" s="12">
        <v>17.36</v>
      </c>
      <c r="X92" s="12">
        <v>371</v>
      </c>
      <c r="Y92" s="12">
        <v>152</v>
      </c>
      <c r="Z92" s="12">
        <v>14.26</v>
      </c>
      <c r="AA92" s="12">
        <v>44.54</v>
      </c>
      <c r="AB92" s="12">
        <v>23.82</v>
      </c>
      <c r="AC92" s="12">
        <v>33.43</v>
      </c>
      <c r="AD92" s="12">
        <v>0.82</v>
      </c>
      <c r="AF92" s="1">
        <v>1</v>
      </c>
      <c r="AG92" s="12">
        <v>213</v>
      </c>
      <c r="AH92" s="23" t="s">
        <v>154</v>
      </c>
      <c r="AI92" s="24" t="s">
        <v>86</v>
      </c>
      <c r="AJ92" s="12">
        <v>5.58</v>
      </c>
      <c r="AK92" s="12">
        <v>0</v>
      </c>
      <c r="AL92" s="12" t="s">
        <v>642</v>
      </c>
      <c r="AM92" s="31">
        <f t="shared" si="2"/>
        <v>0</v>
      </c>
    </row>
    <row r="93" spans="1:39" x14ac:dyDescent="0.55000000000000004">
      <c r="A93" s="1" t="s">
        <v>643</v>
      </c>
      <c r="B93" s="1" t="s">
        <v>644</v>
      </c>
      <c r="C93" s="1" t="s">
        <v>41</v>
      </c>
      <c r="D93" s="1" t="s">
        <v>645</v>
      </c>
      <c r="E93" s="1">
        <v>71</v>
      </c>
      <c r="F93" s="39" t="s">
        <v>43</v>
      </c>
      <c r="G93" s="38" t="s">
        <v>44</v>
      </c>
      <c r="J93" s="11" t="s">
        <v>646</v>
      </c>
      <c r="K93" s="1">
        <v>0</v>
      </c>
      <c r="L93" s="2">
        <v>0</v>
      </c>
      <c r="M93" s="2">
        <v>0</v>
      </c>
      <c r="T93" s="12">
        <v>12.71</v>
      </c>
      <c r="U93" s="23" t="s">
        <v>618</v>
      </c>
      <c r="V93" s="12">
        <v>30</v>
      </c>
      <c r="W93" s="12">
        <v>8.9499999999999993</v>
      </c>
      <c r="X93" s="12">
        <v>335</v>
      </c>
      <c r="Y93" s="12">
        <v>195</v>
      </c>
      <c r="Z93" s="12">
        <v>11.34</v>
      </c>
      <c r="AA93" s="12">
        <v>45.07</v>
      </c>
      <c r="AB93" s="12">
        <v>34.619999999999997</v>
      </c>
      <c r="AC93" s="12">
        <v>19.88</v>
      </c>
      <c r="AD93" s="12">
        <v>0.77</v>
      </c>
      <c r="AF93" s="1">
        <v>0</v>
      </c>
      <c r="AG93" s="12">
        <v>246</v>
      </c>
      <c r="AH93" s="23" t="s">
        <v>154</v>
      </c>
      <c r="AI93" s="24" t="s">
        <v>86</v>
      </c>
      <c r="AJ93" s="12">
        <v>12</v>
      </c>
      <c r="AK93" s="12">
        <f>17+21+19</f>
        <v>57</v>
      </c>
      <c r="AL93" s="12" t="s">
        <v>647</v>
      </c>
      <c r="AM93" s="31">
        <f t="shared" si="2"/>
        <v>0</v>
      </c>
    </row>
    <row r="94" spans="1:39" x14ac:dyDescent="0.55000000000000004">
      <c r="A94" s="1" t="s">
        <v>648</v>
      </c>
      <c r="B94" s="1" t="s">
        <v>649</v>
      </c>
      <c r="C94" s="1" t="s">
        <v>41</v>
      </c>
      <c r="D94" s="1" t="s">
        <v>650</v>
      </c>
      <c r="E94" s="1">
        <v>79</v>
      </c>
      <c r="F94" s="1" t="s">
        <v>43</v>
      </c>
      <c r="G94" s="33" t="s">
        <v>44</v>
      </c>
      <c r="I94" s="11" t="s">
        <v>651</v>
      </c>
      <c r="J94" s="11" t="s">
        <v>652</v>
      </c>
      <c r="K94" s="11" t="s">
        <v>653</v>
      </c>
      <c r="L94" s="2">
        <v>1</v>
      </c>
      <c r="N94" s="2" t="s">
        <v>654</v>
      </c>
      <c r="O94" s="2" t="s">
        <v>655</v>
      </c>
      <c r="T94" s="12">
        <v>12.58</v>
      </c>
      <c r="U94" s="23" t="s">
        <v>656</v>
      </c>
      <c r="V94" s="12">
        <v>77</v>
      </c>
      <c r="W94" s="12">
        <v>21.67</v>
      </c>
      <c r="X94" s="12">
        <v>357</v>
      </c>
      <c r="Y94" s="12">
        <v>131</v>
      </c>
      <c r="Z94" s="12">
        <v>8.11</v>
      </c>
      <c r="AA94" s="12">
        <v>57.76</v>
      </c>
      <c r="AB94" s="12">
        <v>12.44</v>
      </c>
      <c r="AC94" s="12">
        <v>11.74</v>
      </c>
      <c r="AD94" s="12">
        <v>0.88</v>
      </c>
      <c r="AF94" s="1">
        <v>1</v>
      </c>
      <c r="AG94" s="12">
        <v>960</v>
      </c>
      <c r="AH94" s="23" t="s">
        <v>154</v>
      </c>
      <c r="AI94" s="24" t="s">
        <v>86</v>
      </c>
      <c r="AJ94" s="12">
        <f>0.77*2+9.29</f>
        <v>10.829999999999998</v>
      </c>
      <c r="AK94" s="12">
        <f>11+20</f>
        <v>31</v>
      </c>
      <c r="AL94" s="12" t="s">
        <v>657</v>
      </c>
      <c r="AM94" s="31">
        <f t="shared" si="2"/>
        <v>0</v>
      </c>
    </row>
    <row r="95" spans="1:39" x14ac:dyDescent="0.55000000000000004">
      <c r="A95" s="1" t="s">
        <v>658</v>
      </c>
      <c r="B95" s="1" t="s">
        <v>659</v>
      </c>
      <c r="C95" s="1" t="s">
        <v>41</v>
      </c>
      <c r="D95" s="1" t="s">
        <v>660</v>
      </c>
      <c r="E95" s="1">
        <v>72</v>
      </c>
      <c r="F95" s="1" t="s">
        <v>661</v>
      </c>
      <c r="G95" s="33" t="s">
        <v>315</v>
      </c>
      <c r="J95" s="11" t="s">
        <v>662</v>
      </c>
      <c r="K95" s="11" t="s">
        <v>663</v>
      </c>
      <c r="L95" s="2">
        <v>1</v>
      </c>
      <c r="T95" s="12">
        <v>5.18</v>
      </c>
      <c r="U95" s="23" t="s">
        <v>664</v>
      </c>
      <c r="V95" s="12">
        <v>115</v>
      </c>
      <c r="W95" s="12">
        <v>24.97</v>
      </c>
      <c r="X95" s="12">
        <f>462</f>
        <v>462</v>
      </c>
      <c r="Y95" s="12">
        <v>157</v>
      </c>
      <c r="Z95" s="12">
        <v>4.8600000000000003</v>
      </c>
      <c r="AA95" s="12">
        <v>61.62</v>
      </c>
      <c r="AB95" s="12">
        <v>8.5399999999999991</v>
      </c>
      <c r="AC95" s="12">
        <v>3.24</v>
      </c>
      <c r="AD95" s="12">
        <v>0.77</v>
      </c>
      <c r="AF95" s="1">
        <v>0</v>
      </c>
      <c r="AG95" s="12"/>
      <c r="AH95" s="23" t="s">
        <v>85</v>
      </c>
      <c r="AI95" s="24" t="s">
        <v>86</v>
      </c>
      <c r="AJ95" s="12">
        <f>1.03+3.11</f>
        <v>4.1399999999999997</v>
      </c>
      <c r="AK95" s="12">
        <v>29</v>
      </c>
      <c r="AL95" s="12" t="s">
        <v>665</v>
      </c>
      <c r="AM95" s="31">
        <f t="shared" si="2"/>
        <v>0</v>
      </c>
    </row>
    <row r="96" spans="1:39" x14ac:dyDescent="0.55000000000000004">
      <c r="A96" s="1" t="s">
        <v>666</v>
      </c>
      <c r="B96" s="1" t="s">
        <v>667</v>
      </c>
      <c r="C96" s="1" t="s">
        <v>41</v>
      </c>
      <c r="D96" s="1" t="s">
        <v>668</v>
      </c>
      <c r="E96" s="1">
        <v>70</v>
      </c>
      <c r="F96" s="1" t="s">
        <v>101</v>
      </c>
      <c r="G96" s="33" t="s">
        <v>82</v>
      </c>
      <c r="J96" s="11" t="s">
        <v>669</v>
      </c>
      <c r="K96" s="11" t="s">
        <v>670</v>
      </c>
      <c r="L96" s="2">
        <v>0</v>
      </c>
      <c r="M96" s="2" t="s">
        <v>308</v>
      </c>
      <c r="N96" s="2" t="s">
        <v>163</v>
      </c>
      <c r="O96" s="2" t="s">
        <v>276</v>
      </c>
      <c r="T96" s="12">
        <v>4.59</v>
      </c>
      <c r="U96" s="23" t="s">
        <v>671</v>
      </c>
      <c r="V96" s="12">
        <v>75</v>
      </c>
      <c r="W96" s="12">
        <v>25</v>
      </c>
      <c r="X96" s="12">
        <v>300</v>
      </c>
      <c r="Y96" s="12">
        <v>146</v>
      </c>
      <c r="Z96" s="12">
        <v>9.33</v>
      </c>
      <c r="AA96" s="12">
        <v>44.66</v>
      </c>
      <c r="AB96" s="12">
        <v>21</v>
      </c>
      <c r="AC96" s="12">
        <v>4.8</v>
      </c>
      <c r="AD96" s="12">
        <v>0.91</v>
      </c>
      <c r="AF96" s="1">
        <v>0</v>
      </c>
      <c r="AG96" s="12"/>
      <c r="AH96" s="23" t="s">
        <v>154</v>
      </c>
      <c r="AI96" s="24" t="s">
        <v>86</v>
      </c>
      <c r="AJ96" s="12">
        <v>1.6</v>
      </c>
      <c r="AK96" s="12">
        <v>0</v>
      </c>
      <c r="AL96" s="12" t="s">
        <v>672</v>
      </c>
      <c r="AM96" s="31">
        <f t="shared" ref="AM96:AM114" si="3">AE96/V96</f>
        <v>0</v>
      </c>
    </row>
    <row r="97" spans="1:39" x14ac:dyDescent="0.55000000000000004">
      <c r="A97" s="1" t="s">
        <v>673</v>
      </c>
      <c r="B97" s="1" t="s">
        <v>674</v>
      </c>
      <c r="C97" s="1" t="s">
        <v>41</v>
      </c>
      <c r="D97" s="1" t="s">
        <v>675</v>
      </c>
      <c r="E97" s="1">
        <v>65</v>
      </c>
      <c r="F97" s="1" t="s">
        <v>101</v>
      </c>
      <c r="G97" s="33" t="s">
        <v>82</v>
      </c>
      <c r="J97" s="11" t="s">
        <v>676</v>
      </c>
      <c r="K97" s="1">
        <v>0</v>
      </c>
      <c r="L97" s="2">
        <v>0</v>
      </c>
      <c r="M97" s="2" t="s">
        <v>179</v>
      </c>
      <c r="N97" s="2" t="s">
        <v>163</v>
      </c>
      <c r="T97" s="12">
        <v>14.97</v>
      </c>
      <c r="U97" s="23" t="s">
        <v>618</v>
      </c>
      <c r="V97" s="12">
        <v>56</v>
      </c>
      <c r="W97" s="12">
        <v>17.41</v>
      </c>
      <c r="X97" s="12">
        <v>324</v>
      </c>
      <c r="Y97" s="12">
        <v>78</v>
      </c>
      <c r="Z97" s="12">
        <v>26.04</v>
      </c>
      <c r="AA97" s="12">
        <v>43.75</v>
      </c>
      <c r="AB97" s="12">
        <v>12.78</v>
      </c>
      <c r="AC97" s="12">
        <v>39.19</v>
      </c>
      <c r="AD97" s="12">
        <v>0.77</v>
      </c>
      <c r="AF97" s="1">
        <v>1</v>
      </c>
      <c r="AG97" s="12"/>
      <c r="AH97" s="23" t="s">
        <v>154</v>
      </c>
      <c r="AI97" s="24" t="s">
        <v>86</v>
      </c>
      <c r="AJ97" s="12">
        <f>1.06+5.3</f>
        <v>6.3599999999999994</v>
      </c>
      <c r="AK97" s="12">
        <v>16</v>
      </c>
      <c r="AL97" s="12" t="s">
        <v>677</v>
      </c>
      <c r="AM97" s="31">
        <f t="shared" si="3"/>
        <v>0</v>
      </c>
    </row>
    <row r="98" spans="1:39" x14ac:dyDescent="0.55000000000000004">
      <c r="A98" s="1" t="s">
        <v>678</v>
      </c>
      <c r="B98" s="1" t="s">
        <v>679</v>
      </c>
      <c r="C98" s="1" t="s">
        <v>66</v>
      </c>
      <c r="D98" s="1" t="s">
        <v>680</v>
      </c>
      <c r="E98" s="1">
        <v>63</v>
      </c>
      <c r="F98" s="1" t="s">
        <v>101</v>
      </c>
      <c r="G98" s="33" t="s">
        <v>82</v>
      </c>
      <c r="J98" s="11" t="s">
        <v>681</v>
      </c>
      <c r="K98" s="11" t="s">
        <v>96</v>
      </c>
      <c r="L98" s="2">
        <v>1</v>
      </c>
      <c r="M98" s="2" t="s">
        <v>586</v>
      </c>
      <c r="N98" s="2" t="s">
        <v>163</v>
      </c>
      <c r="T98" s="12">
        <v>6.4</v>
      </c>
      <c r="U98" s="23"/>
      <c r="V98" s="12">
        <v>105</v>
      </c>
      <c r="W98" s="12">
        <v>26.21</v>
      </c>
      <c r="X98" s="12">
        <v>402</v>
      </c>
      <c r="Y98" s="12">
        <v>140</v>
      </c>
      <c r="Z98" s="12">
        <v>3.1</v>
      </c>
      <c r="AA98" s="12">
        <v>23.85</v>
      </c>
      <c r="AB98" s="12">
        <v>46.83</v>
      </c>
      <c r="AC98" s="12">
        <v>4.7699999999999996</v>
      </c>
      <c r="AD98" s="12">
        <v>0.92</v>
      </c>
      <c r="AF98" s="1">
        <v>1</v>
      </c>
      <c r="AG98" s="12">
        <v>42</v>
      </c>
      <c r="AH98" s="23" t="s">
        <v>154</v>
      </c>
      <c r="AI98" s="24" t="s">
        <v>86</v>
      </c>
      <c r="AJ98" s="12">
        <f>1.13*2+10.22</f>
        <v>12.48</v>
      </c>
      <c r="AK98" s="12">
        <f>26+27</f>
        <v>53</v>
      </c>
      <c r="AL98" s="12" t="s">
        <v>682</v>
      </c>
      <c r="AM98" s="31">
        <f t="shared" si="3"/>
        <v>0</v>
      </c>
    </row>
    <row r="99" spans="1:39" x14ac:dyDescent="0.55000000000000004">
      <c r="A99" s="1" t="s">
        <v>683</v>
      </c>
      <c r="B99" s="1" t="s">
        <v>684</v>
      </c>
      <c r="C99" s="1" t="s">
        <v>41</v>
      </c>
      <c r="D99" s="1" t="s">
        <v>685</v>
      </c>
      <c r="E99" s="1">
        <v>76</v>
      </c>
      <c r="F99" s="1" t="s">
        <v>101</v>
      </c>
      <c r="G99" s="33" t="s">
        <v>82</v>
      </c>
      <c r="J99" s="11" t="s">
        <v>686</v>
      </c>
      <c r="K99" s="1">
        <v>0</v>
      </c>
      <c r="L99" s="2">
        <v>0</v>
      </c>
      <c r="M99" s="2">
        <v>0</v>
      </c>
      <c r="N99" s="2" t="s">
        <v>163</v>
      </c>
      <c r="T99" s="12">
        <v>18.649999999999999</v>
      </c>
      <c r="U99" s="23" t="s">
        <v>320</v>
      </c>
      <c r="V99" s="12">
        <v>70</v>
      </c>
      <c r="W99" s="12">
        <v>16.11</v>
      </c>
      <c r="X99" s="12">
        <v>437</v>
      </c>
      <c r="Y99" s="12">
        <v>71</v>
      </c>
      <c r="Z99" s="12">
        <v>10.28</v>
      </c>
      <c r="AA99" s="12">
        <v>52.45</v>
      </c>
      <c r="AB99" s="12">
        <v>21.14</v>
      </c>
      <c r="AC99" s="12">
        <v>34.83</v>
      </c>
      <c r="AD99" s="12">
        <v>0.88</v>
      </c>
      <c r="AF99" s="1">
        <v>0</v>
      </c>
      <c r="AG99" s="12"/>
      <c r="AH99" s="23" t="s">
        <v>154</v>
      </c>
      <c r="AI99" s="24" t="s">
        <v>86</v>
      </c>
      <c r="AJ99" s="12">
        <v>10.210000000000001</v>
      </c>
      <c r="AK99" s="12">
        <v>0</v>
      </c>
      <c r="AL99" s="12" t="s">
        <v>687</v>
      </c>
      <c r="AM99" s="31">
        <f t="shared" si="3"/>
        <v>0</v>
      </c>
    </row>
    <row r="100" spans="1:39" x14ac:dyDescent="0.55000000000000004">
      <c r="A100" s="1" t="s">
        <v>688</v>
      </c>
      <c r="B100" s="1" t="s">
        <v>689</v>
      </c>
      <c r="C100" s="1" t="s">
        <v>41</v>
      </c>
      <c r="D100" s="1" t="s">
        <v>690</v>
      </c>
      <c r="E100" s="1">
        <v>46</v>
      </c>
      <c r="F100" s="1" t="s">
        <v>691</v>
      </c>
      <c r="G100" s="33" t="s">
        <v>315</v>
      </c>
      <c r="J100" s="11" t="s">
        <v>692</v>
      </c>
      <c r="K100" s="11" t="s">
        <v>693</v>
      </c>
      <c r="L100" s="2">
        <v>1</v>
      </c>
      <c r="M100" s="2" t="s">
        <v>586</v>
      </c>
      <c r="N100" s="2" t="s">
        <v>694</v>
      </c>
      <c r="T100" s="12">
        <v>23.51</v>
      </c>
      <c r="U100" s="23" t="s">
        <v>523</v>
      </c>
      <c r="V100" s="12">
        <v>23</v>
      </c>
      <c r="W100" s="12">
        <v>7.36</v>
      </c>
      <c r="X100" s="12">
        <v>319</v>
      </c>
      <c r="Y100" s="12">
        <v>208</v>
      </c>
      <c r="Z100" s="12">
        <v>23.82</v>
      </c>
      <c r="AA100" s="12">
        <v>57.52</v>
      </c>
      <c r="AB100" s="12">
        <v>11.28</v>
      </c>
      <c r="AC100" s="12">
        <v>18.239999999999998</v>
      </c>
      <c r="AD100" s="12">
        <v>0.65</v>
      </c>
      <c r="AF100" s="1">
        <v>0</v>
      </c>
      <c r="AG100" s="12"/>
      <c r="AH100" s="23" t="s">
        <v>85</v>
      </c>
      <c r="AI100" s="24" t="s">
        <v>86</v>
      </c>
      <c r="AJ100" s="12">
        <v>12.76</v>
      </c>
      <c r="AK100" s="12">
        <v>0</v>
      </c>
      <c r="AL100" s="12" t="s">
        <v>695</v>
      </c>
      <c r="AM100" s="31">
        <f t="shared" si="3"/>
        <v>0</v>
      </c>
    </row>
    <row r="101" spans="1:39" x14ac:dyDescent="0.55000000000000004">
      <c r="A101" s="1" t="s">
        <v>696</v>
      </c>
      <c r="B101" s="1" t="s">
        <v>697</v>
      </c>
      <c r="C101" s="1" t="s">
        <v>66</v>
      </c>
      <c r="D101" s="1" t="s">
        <v>698</v>
      </c>
      <c r="E101" s="1">
        <v>55</v>
      </c>
      <c r="F101" s="1" t="s">
        <v>101</v>
      </c>
      <c r="G101" s="33" t="s">
        <v>82</v>
      </c>
      <c r="H101" s="11" t="s">
        <v>699</v>
      </c>
      <c r="J101" s="11" t="s">
        <v>700</v>
      </c>
      <c r="K101" s="11" t="s">
        <v>701</v>
      </c>
      <c r="L101" s="2">
        <v>1</v>
      </c>
      <c r="M101" s="2" t="s">
        <v>586</v>
      </c>
      <c r="T101" s="12">
        <v>9.92</v>
      </c>
      <c r="U101" s="23" t="s">
        <v>702</v>
      </c>
      <c r="V101" s="12">
        <v>126</v>
      </c>
      <c r="W101" s="12">
        <v>25.74</v>
      </c>
      <c r="X101" s="12">
        <v>489</v>
      </c>
      <c r="Y101" s="12">
        <v>63</v>
      </c>
      <c r="Z101" s="12">
        <v>3.57</v>
      </c>
      <c r="AA101" s="12">
        <v>46.27</v>
      </c>
      <c r="AB101" s="12">
        <v>24.41</v>
      </c>
      <c r="AC101" s="12">
        <v>6.12</v>
      </c>
      <c r="AD101" s="12">
        <v>0.94</v>
      </c>
      <c r="AF101" s="1">
        <v>1</v>
      </c>
      <c r="AG101" s="12"/>
      <c r="AH101" s="23" t="s">
        <v>85</v>
      </c>
      <c r="AI101" s="24" t="s">
        <v>86</v>
      </c>
      <c r="AJ101" s="12">
        <f>0.47+10.95</f>
        <v>11.42</v>
      </c>
      <c r="AK101" s="12">
        <v>10</v>
      </c>
      <c r="AL101" s="12" t="s">
        <v>703</v>
      </c>
      <c r="AM101" s="31">
        <f t="shared" si="3"/>
        <v>0</v>
      </c>
    </row>
    <row r="102" spans="1:39" x14ac:dyDescent="0.55000000000000004">
      <c r="A102" s="1" t="s">
        <v>704</v>
      </c>
      <c r="B102" s="1" t="s">
        <v>705</v>
      </c>
      <c r="C102" s="1" t="s">
        <v>41</v>
      </c>
      <c r="D102" s="1" t="s">
        <v>706</v>
      </c>
      <c r="E102" s="1">
        <v>55</v>
      </c>
      <c r="F102" s="1" t="s">
        <v>707</v>
      </c>
      <c r="G102" s="33" t="s">
        <v>44</v>
      </c>
      <c r="J102" s="11" t="s">
        <v>708</v>
      </c>
      <c r="K102" s="1">
        <v>0</v>
      </c>
      <c r="L102" s="2">
        <v>0</v>
      </c>
      <c r="M102" s="2">
        <v>0</v>
      </c>
      <c r="T102" s="12">
        <v>4.9000000000000004</v>
      </c>
      <c r="U102" s="23" t="s">
        <v>605</v>
      </c>
      <c r="V102" s="12">
        <v>26</v>
      </c>
      <c r="W102" s="12">
        <v>11.1</v>
      </c>
      <c r="X102" s="12">
        <v>233.5</v>
      </c>
      <c r="Y102" s="12">
        <v>134.5</v>
      </c>
      <c r="Z102" s="12">
        <v>13.5</v>
      </c>
      <c r="AA102" s="12">
        <v>43</v>
      </c>
      <c r="AB102" s="12">
        <v>32.299999999999997</v>
      </c>
      <c r="AC102" s="12"/>
      <c r="AD102" s="12">
        <v>0.54</v>
      </c>
      <c r="AF102" s="1">
        <v>0</v>
      </c>
      <c r="AG102" s="12"/>
      <c r="AH102" s="23"/>
      <c r="AI102" s="24" t="s">
        <v>86</v>
      </c>
      <c r="AJ102" s="12">
        <v>0</v>
      </c>
      <c r="AK102" s="12">
        <v>0</v>
      </c>
      <c r="AL102" s="12" t="s">
        <v>709</v>
      </c>
      <c r="AM102" s="31">
        <f t="shared" si="3"/>
        <v>0</v>
      </c>
    </row>
    <row r="103" spans="1:39" x14ac:dyDescent="0.55000000000000004">
      <c r="A103" s="1" t="s">
        <v>710</v>
      </c>
      <c r="B103" s="1" t="s">
        <v>215</v>
      </c>
      <c r="C103" s="1" t="s">
        <v>41</v>
      </c>
      <c r="D103" s="1" t="s">
        <v>711</v>
      </c>
      <c r="E103" s="1">
        <v>77</v>
      </c>
      <c r="F103" s="1" t="s">
        <v>707</v>
      </c>
      <c r="G103" s="33" t="s">
        <v>44</v>
      </c>
      <c r="J103" s="11" t="s">
        <v>712</v>
      </c>
      <c r="K103" s="11" t="s">
        <v>713</v>
      </c>
      <c r="L103" s="2">
        <v>1</v>
      </c>
      <c r="M103" s="2" t="s">
        <v>586</v>
      </c>
      <c r="T103" s="12">
        <v>20</v>
      </c>
      <c r="U103" s="23" t="s">
        <v>320</v>
      </c>
      <c r="V103" s="12">
        <v>86</v>
      </c>
      <c r="W103" s="12">
        <v>42.5</v>
      </c>
      <c r="X103" s="12">
        <v>203</v>
      </c>
      <c r="Y103" s="12">
        <v>57</v>
      </c>
      <c r="Z103" s="12">
        <v>28</v>
      </c>
      <c r="AA103" s="12">
        <v>28.25</v>
      </c>
      <c r="AB103" s="12">
        <v>1.22</v>
      </c>
      <c r="AC103" s="12" t="s">
        <v>714</v>
      </c>
      <c r="AD103" s="12">
        <v>0.49</v>
      </c>
      <c r="AF103" s="1">
        <v>1</v>
      </c>
      <c r="AG103" s="12"/>
      <c r="AH103" s="23" t="s">
        <v>154</v>
      </c>
      <c r="AI103" s="24" t="s">
        <v>86</v>
      </c>
      <c r="AJ103" s="12">
        <f>8.32+4.85+12.48</f>
        <v>25.65</v>
      </c>
      <c r="AK103" s="12">
        <v>255</v>
      </c>
      <c r="AL103" s="12" t="s">
        <v>715</v>
      </c>
      <c r="AM103" s="31">
        <f t="shared" si="3"/>
        <v>0</v>
      </c>
    </row>
    <row r="104" spans="1:39" x14ac:dyDescent="0.55000000000000004">
      <c r="A104" s="1" t="s">
        <v>716</v>
      </c>
      <c r="B104" s="1" t="s">
        <v>717</v>
      </c>
      <c r="C104" s="1" t="s">
        <v>41</v>
      </c>
      <c r="D104" s="1" t="s">
        <v>718</v>
      </c>
      <c r="E104" s="1">
        <v>67</v>
      </c>
      <c r="F104" s="1" t="s">
        <v>719</v>
      </c>
      <c r="G104" s="33" t="s">
        <v>44</v>
      </c>
      <c r="J104" s="11" t="s">
        <v>720</v>
      </c>
      <c r="K104" s="1">
        <v>0</v>
      </c>
      <c r="L104" s="2">
        <v>0</v>
      </c>
      <c r="T104" s="12">
        <v>3.01</v>
      </c>
      <c r="U104" s="23"/>
      <c r="V104" s="12">
        <v>45</v>
      </c>
      <c r="W104" s="12">
        <v>12.05</v>
      </c>
      <c r="X104" s="12">
        <v>377</v>
      </c>
      <c r="Y104" s="12">
        <v>45</v>
      </c>
      <c r="Z104" s="12">
        <v>9.4</v>
      </c>
      <c r="AA104" s="12">
        <v>60</v>
      </c>
      <c r="AB104" s="12">
        <v>18.54</v>
      </c>
      <c r="AC104" s="12">
        <v>0.79</v>
      </c>
      <c r="AD104" s="12">
        <v>0.89</v>
      </c>
      <c r="AF104" s="1">
        <v>1</v>
      </c>
      <c r="AG104" s="12"/>
      <c r="AH104" s="23" t="s">
        <v>154</v>
      </c>
      <c r="AI104" s="24" t="s">
        <v>86</v>
      </c>
      <c r="AJ104" s="12">
        <f>2.63+1.31+1.31+11.85</f>
        <v>17.100000000000001</v>
      </c>
      <c r="AK104" s="12">
        <v>45</v>
      </c>
      <c r="AL104" s="12"/>
      <c r="AM104" s="31">
        <f t="shared" si="3"/>
        <v>0</v>
      </c>
    </row>
    <row r="105" spans="1:39" x14ac:dyDescent="0.55000000000000004">
      <c r="A105" s="1" t="s">
        <v>721</v>
      </c>
      <c r="B105" s="1" t="s">
        <v>722</v>
      </c>
      <c r="C105" s="1" t="s">
        <v>66</v>
      </c>
      <c r="D105" s="1" t="s">
        <v>723</v>
      </c>
      <c r="E105" s="1">
        <v>60</v>
      </c>
      <c r="F105" s="1" t="s">
        <v>724</v>
      </c>
      <c r="G105" s="33" t="s">
        <v>44</v>
      </c>
      <c r="J105" s="11" t="s">
        <v>725</v>
      </c>
      <c r="K105" s="11" t="s">
        <v>726</v>
      </c>
      <c r="L105" s="2">
        <v>1</v>
      </c>
      <c r="T105" s="12">
        <v>12.1</v>
      </c>
      <c r="U105" s="23" t="s">
        <v>618</v>
      </c>
      <c r="V105" s="12">
        <v>66.5</v>
      </c>
      <c r="W105" s="12">
        <v>16.3</v>
      </c>
      <c r="X105" s="12">
        <v>409</v>
      </c>
      <c r="Y105" s="12">
        <v>250.5</v>
      </c>
      <c r="Z105" s="12">
        <v>7.1</v>
      </c>
      <c r="AA105" s="12">
        <v>55.9</v>
      </c>
      <c r="AB105" s="12">
        <v>20.8</v>
      </c>
      <c r="AC105" s="12">
        <v>15.8</v>
      </c>
      <c r="AD105" s="12">
        <v>0.89</v>
      </c>
      <c r="AF105" s="1">
        <v>0</v>
      </c>
      <c r="AG105" s="12"/>
      <c r="AH105" s="23"/>
      <c r="AI105" s="24" t="s">
        <v>86</v>
      </c>
      <c r="AJ105" s="12">
        <v>27</v>
      </c>
      <c r="AK105" s="12"/>
      <c r="AL105" s="12" t="s">
        <v>727</v>
      </c>
      <c r="AM105" s="31">
        <f t="shared" si="3"/>
        <v>0</v>
      </c>
    </row>
    <row r="106" spans="1:39" x14ac:dyDescent="0.55000000000000004">
      <c r="A106" s="1" t="s">
        <v>728</v>
      </c>
      <c r="B106" s="1" t="s">
        <v>729</v>
      </c>
      <c r="C106" s="1" t="s">
        <v>41</v>
      </c>
      <c r="D106" s="1" t="s">
        <v>730</v>
      </c>
      <c r="E106" s="1">
        <v>66</v>
      </c>
      <c r="F106" s="1" t="s">
        <v>731</v>
      </c>
      <c r="G106" s="33" t="s">
        <v>315</v>
      </c>
      <c r="J106" s="11" t="s">
        <v>732</v>
      </c>
      <c r="K106" s="1">
        <v>0</v>
      </c>
      <c r="L106" s="2">
        <v>0</v>
      </c>
      <c r="T106" s="12">
        <v>17.600000000000001</v>
      </c>
      <c r="U106" s="23"/>
      <c r="V106" s="12">
        <v>49</v>
      </c>
      <c r="W106" s="12">
        <v>15.3</v>
      </c>
      <c r="X106" s="12">
        <v>319.5</v>
      </c>
      <c r="Y106" s="12">
        <v>105</v>
      </c>
      <c r="Z106" s="12">
        <v>24.6</v>
      </c>
      <c r="AA106" s="12">
        <v>48.5</v>
      </c>
      <c r="AB106" s="12">
        <v>11.6</v>
      </c>
      <c r="AC106" s="12">
        <v>8.3000000000000007</v>
      </c>
      <c r="AD106" s="12"/>
      <c r="AF106" s="1">
        <v>1</v>
      </c>
      <c r="AG106" s="12"/>
      <c r="AH106" s="23"/>
      <c r="AI106" s="28" t="s">
        <v>145</v>
      </c>
      <c r="AJ106" s="12">
        <v>14.6</v>
      </c>
      <c r="AK106" s="12"/>
      <c r="AL106" s="12"/>
      <c r="AM106" s="31">
        <f t="shared" si="3"/>
        <v>0</v>
      </c>
    </row>
    <row r="107" spans="1:39" x14ac:dyDescent="0.55000000000000004">
      <c r="A107" s="1" t="s">
        <v>733</v>
      </c>
      <c r="B107" s="1" t="s">
        <v>734</v>
      </c>
      <c r="C107" s="1" t="s">
        <v>41</v>
      </c>
      <c r="D107" s="1" t="s">
        <v>735</v>
      </c>
      <c r="E107" s="1">
        <v>77</v>
      </c>
      <c r="F107" s="1" t="s">
        <v>500</v>
      </c>
      <c r="G107" s="33" t="s">
        <v>44</v>
      </c>
      <c r="J107" s="11" t="s">
        <v>736</v>
      </c>
      <c r="O107" s="2" t="s">
        <v>737</v>
      </c>
      <c r="T107" s="12">
        <v>7.6</v>
      </c>
      <c r="U107" s="23" t="s">
        <v>626</v>
      </c>
      <c r="V107" s="12">
        <v>48</v>
      </c>
      <c r="W107" s="12">
        <v>20.2</v>
      </c>
      <c r="X107" s="12">
        <v>237.5</v>
      </c>
      <c r="Y107" s="12">
        <v>70.5</v>
      </c>
      <c r="Z107" s="12">
        <v>35.6</v>
      </c>
      <c r="AA107" s="12">
        <v>26.7</v>
      </c>
      <c r="AB107" s="12">
        <v>17.5</v>
      </c>
      <c r="AC107" s="12">
        <v>0.8</v>
      </c>
      <c r="AD107" s="12"/>
      <c r="AF107" s="1">
        <v>0</v>
      </c>
      <c r="AG107" s="12"/>
      <c r="AH107" s="23"/>
      <c r="AI107" s="24"/>
      <c r="AJ107" s="12">
        <v>10.1</v>
      </c>
      <c r="AK107" s="12"/>
      <c r="AL107" s="12" t="s">
        <v>738</v>
      </c>
      <c r="AM107" s="31">
        <f t="shared" si="3"/>
        <v>0</v>
      </c>
    </row>
    <row r="108" spans="1:39" x14ac:dyDescent="0.55000000000000004">
      <c r="A108" s="1" t="s">
        <v>739</v>
      </c>
      <c r="B108" s="1" t="s">
        <v>740</v>
      </c>
      <c r="C108" s="1" t="s">
        <v>66</v>
      </c>
      <c r="D108" s="1" t="s">
        <v>741</v>
      </c>
      <c r="E108" s="1">
        <v>80</v>
      </c>
      <c r="F108" s="1" t="s">
        <v>500</v>
      </c>
      <c r="G108" s="33" t="s">
        <v>44</v>
      </c>
      <c r="J108" s="11" t="s">
        <v>742</v>
      </c>
      <c r="K108" s="11" t="s">
        <v>743</v>
      </c>
      <c r="L108" s="2">
        <v>1</v>
      </c>
      <c r="M108" s="2" t="s">
        <v>308</v>
      </c>
      <c r="T108" s="12">
        <v>80.900000000000006</v>
      </c>
      <c r="U108" s="23" t="s">
        <v>174</v>
      </c>
      <c r="V108" s="12">
        <v>39.5</v>
      </c>
      <c r="W108" s="12">
        <v>9</v>
      </c>
      <c r="X108" s="12">
        <v>441</v>
      </c>
      <c r="Y108" s="12">
        <v>111</v>
      </c>
      <c r="Z108" s="12">
        <v>9</v>
      </c>
      <c r="AA108" s="12">
        <v>82.1</v>
      </c>
      <c r="AB108" s="12">
        <v>0</v>
      </c>
      <c r="AC108" s="12">
        <v>6.5</v>
      </c>
      <c r="AD108" s="12"/>
      <c r="AF108" s="1">
        <v>1</v>
      </c>
      <c r="AG108" s="12"/>
      <c r="AH108" s="23"/>
      <c r="AI108" s="24"/>
      <c r="AJ108" s="12">
        <v>80.5</v>
      </c>
      <c r="AK108" s="12"/>
      <c r="AL108" s="12" t="s">
        <v>744</v>
      </c>
      <c r="AM108" s="31">
        <f t="shared" si="3"/>
        <v>0</v>
      </c>
    </row>
    <row r="109" spans="1:39" x14ac:dyDescent="0.55000000000000004">
      <c r="A109" s="1" t="s">
        <v>745</v>
      </c>
      <c r="B109" s="1" t="s">
        <v>746</v>
      </c>
      <c r="C109" s="1" t="s">
        <v>41</v>
      </c>
      <c r="D109" s="1" t="s">
        <v>747</v>
      </c>
      <c r="E109" s="1">
        <v>75</v>
      </c>
      <c r="F109" s="1" t="s">
        <v>101</v>
      </c>
      <c r="G109" s="33" t="s">
        <v>82</v>
      </c>
      <c r="H109" s="11" t="s">
        <v>748</v>
      </c>
      <c r="J109" s="11" t="s">
        <v>749</v>
      </c>
      <c r="K109" s="11" t="s">
        <v>750</v>
      </c>
      <c r="L109" s="2">
        <v>1</v>
      </c>
      <c r="M109" s="2" t="s">
        <v>308</v>
      </c>
      <c r="O109" s="2" t="s">
        <v>751</v>
      </c>
      <c r="T109" s="12">
        <v>20.399999999999999</v>
      </c>
      <c r="U109" s="23" t="s">
        <v>393</v>
      </c>
      <c r="V109" s="12">
        <v>92</v>
      </c>
      <c r="W109" s="12">
        <v>22.6</v>
      </c>
      <c r="X109" s="12">
        <v>407.5</v>
      </c>
      <c r="Y109" s="12">
        <v>43</v>
      </c>
      <c r="Z109" s="12">
        <v>13.9</v>
      </c>
      <c r="AA109" s="12">
        <v>61.3</v>
      </c>
      <c r="AB109" s="12">
        <v>2.2000000000000002</v>
      </c>
      <c r="AC109" s="12">
        <v>1.6</v>
      </c>
      <c r="AD109" s="12"/>
      <c r="AG109" s="12"/>
      <c r="AH109" s="23"/>
      <c r="AI109" s="28" t="s">
        <v>145</v>
      </c>
      <c r="AJ109" s="12">
        <v>32</v>
      </c>
      <c r="AK109" s="12"/>
      <c r="AL109" s="12" t="s">
        <v>752</v>
      </c>
      <c r="AM109" s="31">
        <f t="shared" si="3"/>
        <v>0</v>
      </c>
    </row>
    <row r="110" spans="1:39" x14ac:dyDescent="0.55000000000000004">
      <c r="A110" s="43" t="s">
        <v>753</v>
      </c>
      <c r="B110" s="43" t="s">
        <v>754</v>
      </c>
      <c r="C110" s="1" t="s">
        <v>66</v>
      </c>
      <c r="D110" s="1" t="s">
        <v>755</v>
      </c>
      <c r="E110" s="1">
        <v>36</v>
      </c>
      <c r="F110" s="43" t="s">
        <v>169</v>
      </c>
      <c r="G110" s="44" t="s">
        <v>131</v>
      </c>
      <c r="J110" s="11" t="s">
        <v>756</v>
      </c>
      <c r="K110" s="1">
        <v>0</v>
      </c>
      <c r="L110" s="2">
        <v>0</v>
      </c>
      <c r="M110" s="2">
        <v>0</v>
      </c>
      <c r="P110" s="2">
        <v>3.4</v>
      </c>
      <c r="Q110" s="2">
        <v>2</v>
      </c>
      <c r="R110" s="2" t="s">
        <v>625</v>
      </c>
      <c r="S110" s="2">
        <v>19</v>
      </c>
      <c r="T110" s="12">
        <v>6.9</v>
      </c>
      <c r="U110" s="23" t="s">
        <v>626</v>
      </c>
      <c r="V110" s="12">
        <v>76</v>
      </c>
      <c r="W110" s="12">
        <v>20.2</v>
      </c>
      <c r="X110" s="12">
        <v>376.5</v>
      </c>
      <c r="Y110" s="12">
        <v>55.5</v>
      </c>
      <c r="Z110" s="12">
        <v>15.9</v>
      </c>
      <c r="AA110" s="12">
        <v>38.200000000000003</v>
      </c>
      <c r="AB110" s="12">
        <v>25.6</v>
      </c>
      <c r="AC110" s="12">
        <v>9.1999999999999993</v>
      </c>
      <c r="AD110" s="12"/>
      <c r="AG110" s="12"/>
      <c r="AH110" s="23"/>
      <c r="AI110" s="24"/>
      <c r="AJ110" s="12">
        <v>12</v>
      </c>
      <c r="AK110" s="12"/>
      <c r="AL110" s="12" t="s">
        <v>757</v>
      </c>
      <c r="AM110" s="31">
        <f t="shared" si="3"/>
        <v>0</v>
      </c>
    </row>
    <row r="111" spans="1:39" x14ac:dyDescent="0.55000000000000004">
      <c r="A111" s="1" t="s">
        <v>758</v>
      </c>
      <c r="B111" s="1" t="s">
        <v>759</v>
      </c>
      <c r="C111" s="1" t="s">
        <v>41</v>
      </c>
      <c r="D111" s="1" t="s">
        <v>760</v>
      </c>
      <c r="E111" s="1">
        <v>68</v>
      </c>
      <c r="F111" s="1" t="s">
        <v>101</v>
      </c>
      <c r="G111" s="33" t="s">
        <v>82</v>
      </c>
      <c r="J111" s="11" t="s">
        <v>761</v>
      </c>
      <c r="K111" s="11" t="s">
        <v>762</v>
      </c>
      <c r="L111" s="2">
        <v>1</v>
      </c>
      <c r="T111" s="12">
        <v>15.1</v>
      </c>
      <c r="U111" s="23" t="s">
        <v>763</v>
      </c>
      <c r="V111" s="12">
        <v>71.5</v>
      </c>
      <c r="W111" s="12">
        <v>20.9</v>
      </c>
      <c r="X111" s="12">
        <v>342.5</v>
      </c>
      <c r="Y111" s="12">
        <v>37</v>
      </c>
      <c r="Z111" s="12">
        <v>17.399999999999999</v>
      </c>
      <c r="AA111" s="12">
        <v>45.8</v>
      </c>
      <c r="AB111" s="12">
        <v>15.9</v>
      </c>
      <c r="AC111" s="12">
        <v>23.8</v>
      </c>
      <c r="AD111" s="12"/>
      <c r="AG111" s="12"/>
      <c r="AH111" s="23"/>
      <c r="AI111" s="28" t="s">
        <v>145</v>
      </c>
      <c r="AJ111" s="12">
        <v>22.7</v>
      </c>
      <c r="AK111" s="12"/>
      <c r="AL111" s="12" t="s">
        <v>764</v>
      </c>
      <c r="AM111" s="31">
        <f t="shared" si="3"/>
        <v>0</v>
      </c>
    </row>
    <row r="112" spans="1:39" x14ac:dyDescent="0.55000000000000004">
      <c r="A112" s="1" t="s">
        <v>765</v>
      </c>
      <c r="B112" s="1" t="s">
        <v>766</v>
      </c>
      <c r="C112" s="1" t="s">
        <v>41</v>
      </c>
      <c r="D112" s="1" t="s">
        <v>767</v>
      </c>
      <c r="E112" s="1">
        <v>74</v>
      </c>
      <c r="F112" s="1" t="s">
        <v>500</v>
      </c>
      <c r="G112" s="33" t="s">
        <v>44</v>
      </c>
      <c r="J112" s="11" t="s">
        <v>768</v>
      </c>
      <c r="T112" s="12">
        <v>19.899999999999999</v>
      </c>
      <c r="U112" s="23" t="s">
        <v>523</v>
      </c>
      <c r="V112" s="12">
        <v>89</v>
      </c>
      <c r="W112" s="12">
        <v>28.4</v>
      </c>
      <c r="X112" s="12">
        <v>313.5</v>
      </c>
      <c r="Y112" s="12">
        <v>66</v>
      </c>
      <c r="Z112" s="12">
        <v>16.3</v>
      </c>
      <c r="AA112" s="12">
        <v>31.3</v>
      </c>
      <c r="AB112" s="12">
        <v>24.1</v>
      </c>
      <c r="AC112" s="12">
        <v>27.4</v>
      </c>
      <c r="AD112" s="12"/>
      <c r="AG112" s="12"/>
      <c r="AH112" s="23"/>
      <c r="AI112" s="28" t="s">
        <v>145</v>
      </c>
      <c r="AJ112" s="12">
        <v>18.2</v>
      </c>
      <c r="AK112" s="12"/>
      <c r="AL112" s="12" t="s">
        <v>769</v>
      </c>
      <c r="AM112" s="31">
        <f t="shared" si="3"/>
        <v>0</v>
      </c>
    </row>
    <row r="113" spans="1:39" x14ac:dyDescent="0.55000000000000004">
      <c r="A113" s="1" t="s">
        <v>770</v>
      </c>
      <c r="B113" s="1" t="s">
        <v>273</v>
      </c>
      <c r="C113" s="1" t="s">
        <v>41</v>
      </c>
      <c r="D113" s="1" t="s">
        <v>274</v>
      </c>
      <c r="E113" s="1">
        <v>64</v>
      </c>
      <c r="F113" s="1" t="s">
        <v>101</v>
      </c>
      <c r="G113" s="33"/>
      <c r="J113" s="11" t="s">
        <v>771</v>
      </c>
      <c r="K113" s="1">
        <v>0</v>
      </c>
      <c r="L113" s="2">
        <v>0</v>
      </c>
      <c r="T113" s="12"/>
      <c r="U113" s="23"/>
      <c r="V113" s="12"/>
      <c r="W113" s="12"/>
      <c r="X113" s="12"/>
      <c r="Y113" s="12"/>
      <c r="Z113" s="12"/>
      <c r="AA113" s="12"/>
      <c r="AB113" s="12"/>
      <c r="AC113" s="12"/>
      <c r="AD113" s="12"/>
      <c r="AG113" s="12"/>
      <c r="AH113" s="23"/>
      <c r="AI113" s="29" t="s">
        <v>145</v>
      </c>
      <c r="AJ113" s="12"/>
      <c r="AK113" s="12"/>
      <c r="AL113" s="12"/>
      <c r="AM113" s="31" t="e">
        <f t="shared" si="3"/>
        <v>#DIV/0!</v>
      </c>
    </row>
    <row r="114" spans="1:39" x14ac:dyDescent="0.55000000000000004">
      <c r="A114" s="1" t="s">
        <v>772</v>
      </c>
      <c r="B114" s="1" t="s">
        <v>773</v>
      </c>
      <c r="C114" s="1" t="s">
        <v>41</v>
      </c>
      <c r="G114" s="33" t="s">
        <v>82</v>
      </c>
      <c r="J114" s="11" t="s">
        <v>158</v>
      </c>
      <c r="T114" s="12">
        <v>5.8</v>
      </c>
      <c r="U114" s="23" t="s">
        <v>774</v>
      </c>
      <c r="V114" s="12">
        <v>33</v>
      </c>
      <c r="W114" s="12">
        <v>17.100000000000001</v>
      </c>
      <c r="X114" s="12">
        <v>192.5</v>
      </c>
      <c r="Y114" s="12">
        <v>54</v>
      </c>
      <c r="Z114" s="12">
        <v>14.3</v>
      </c>
      <c r="AA114" s="12">
        <v>44.4</v>
      </c>
      <c r="AB114" s="12">
        <v>24.2</v>
      </c>
      <c r="AC114" s="12">
        <v>7.2</v>
      </c>
      <c r="AD114" s="12"/>
      <c r="AG114" s="12"/>
      <c r="AH114" s="23"/>
      <c r="AI114" s="24"/>
      <c r="AJ114" s="12">
        <v>21.8</v>
      </c>
      <c r="AK114" s="12"/>
      <c r="AL114" s="12" t="s">
        <v>775</v>
      </c>
      <c r="AM114" s="31">
        <f t="shared" si="3"/>
        <v>0</v>
      </c>
    </row>
    <row r="115" spans="1:39" x14ac:dyDescent="0.55000000000000004">
      <c r="J115" s="1" t="s">
        <v>158</v>
      </c>
      <c r="AL115" s="11"/>
    </row>
    <row r="116" spans="1:39" x14ac:dyDescent="0.55000000000000004">
      <c r="J116" s="1" t="s">
        <v>158</v>
      </c>
    </row>
    <row r="117" spans="1:39" x14ac:dyDescent="0.55000000000000004">
      <c r="J117" s="1" t="s">
        <v>158</v>
      </c>
      <c r="AL117" s="11"/>
    </row>
  </sheetData>
  <autoFilter ref="A1:AM117" xr:uid="{00000000-0001-0000-0000-000000000000}"/>
  <conditionalFormatting sqref="G71:G114">
    <cfRule type="expression" dxfId="2" priority="4">
      <formula>G71=F71</formula>
    </cfRule>
  </conditionalFormatting>
  <conditionalFormatting sqref="F93">
    <cfRule type="expression" dxfId="1" priority="2">
      <formula>F93=E93</formula>
    </cfRule>
  </conditionalFormatting>
  <conditionalFormatting sqref="F88">
    <cfRule type="expression" dxfId="0" priority="1">
      <formula>F88=E88</formula>
    </cfRule>
  </conditionalFormatting>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29</TotalTime>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fusion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Siwar Bouden</cp:lastModifiedBy>
  <cp:revision>4</cp:revision>
  <dcterms:created xsi:type="dcterms:W3CDTF">2025-09-12T07:50:41Z</dcterms:created>
  <dcterms:modified xsi:type="dcterms:W3CDTF">2025-09-22T08:03:24Z</dcterms:modified>
  <dc:language>fr-FR</dc:language>
</cp:coreProperties>
</file>