
<file path=[Content_Types].xml><?xml version="1.0" encoding="utf-8"?>
<Types xmlns="http://schemas.openxmlformats.org/package/2006/content-types">
  <Default Extension="xml" ContentType="application/xml"/>
  <Default Extension="wmf" ContentType="image/x-wmf"/>
  <Default Extension="bin" ContentType="application/vnd.openxmlformats-officedocument.oleObject"/>
  <Default Extension="rels" ContentType="application/vnd.openxmlformats-package.relationships+xml"/>
  <Default Extension="jpeg" ContentType="image/jpeg"/>
  <Default Extension="png" ContentType="image/png"/>
  <Override PartName="/xl/styles.xml" ContentType="application/vnd.openxmlformats-officedocument.spreadsheetml.styles+xml"/>
  <Override PartName="/xl/worksheets/sheet4.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docProps/app.xml" ContentType="application/vnd.openxmlformats-officedocument.extended-properties+xml"/>
  <Override PartName="/xl/worksheets/sheet2.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Relationships xmlns="http://schemas.openxmlformats.org/package/2006/relationships"><Relationship  Id="rId1" Type="http://schemas.openxmlformats.org/officeDocument/2006/relationships/extended-properties" Target="docProps/app.xml"/><Relationship  Id="rId2" Type="http://schemas.openxmlformats.org/package/2006/relationships/metadata/core-properties" Target="docProps/core.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4="http://schemas.microsoft.com/office/spreadsheetml/2009/9/main"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bookViews>
    <workbookView xWindow="360" yWindow="15" windowWidth="20955" windowHeight="9720" activeTab="2"/>
  </bookViews>
  <sheets>
    <sheet name="Feuil1" sheetId="1" state="visible" r:id="rId1"/>
    <sheet name="description details" sheetId="2" state="visible" r:id="rId2"/>
    <sheet name="classification" sheetId="3" state="visible" r:id="rId3"/>
    <sheet name="class_mvts" sheetId="4" state="visible" r:id="rId4"/>
  </sheets>
  <definedNames>
    <definedName name="_xlnm._FilterDatabase" localSheetId="2" hidden="1">classification!$A$4:$XFC$199</definedName>
    <definedName name="_xlnm._FilterDatabase" localSheetId="2" hidden="1">classification!$A$4:$XFC$199</definedName>
  </definedNames>
  <calcPr iterateDelta="0.0001"/>
  <extLst>
    <ext xmlns:x15="http://schemas.microsoft.com/office/spreadsheetml/2010/11/main" uri="{D0CA8CA8-9F24-4464-BF8E-62219DCF47F9}"/>
  </extLst>
</workbook>
</file>

<file path=xl/sharedStrings.xml><?xml version="1.0" encoding="utf-8"?>
<sst xmlns="http://schemas.openxmlformats.org/spreadsheetml/2006/main" count="1608" uniqueCount="1608">
  <si>
    <t xml:space="preserve">Numéro participant </t>
  </si>
  <si>
    <t xml:space="preserve">identifiant unique ( les initiales du patient (1ère lettre du nom, 1ère lettre du prénom +numéro participant ))</t>
  </si>
  <si>
    <t xml:space="preserve">sexe (H/F)</t>
  </si>
  <si>
    <t xml:space="preserve">Age au moment de l'évalutation</t>
  </si>
  <si>
    <t xml:space="preserve">date de naissance</t>
  </si>
  <si>
    <t xml:space="preserve">Date d'évaluation</t>
  </si>
  <si>
    <t xml:space="preserve">Diagnostic Narco/syn</t>
  </si>
  <si>
    <t xml:space="preserve">Présence de vidéo</t>
  </si>
  <si>
    <t xml:space="preserve">Video exploitable</t>
  </si>
  <si>
    <t xml:space="preserve">infos EEG</t>
  </si>
  <si>
    <t xml:space="preserve">Type de mouvements </t>
  </si>
  <si>
    <t xml:space="preserve">Classification de mouvements</t>
  </si>
  <si>
    <t xml:space="preserve">Valence émotionnelle </t>
  </si>
  <si>
    <t xml:space="preserve">Nombre de mouvements </t>
  </si>
  <si>
    <t xml:space="preserve">vitesse des mouvements </t>
  </si>
  <si>
    <t>IB1</t>
  </si>
  <si>
    <t>H</t>
  </si>
  <si>
    <t>TCSP</t>
  </si>
  <si>
    <t>OUI</t>
  </si>
  <si>
    <t xml:space="preserve">parle / geste: coup de point</t>
  </si>
  <si>
    <t>négative</t>
  </si>
  <si>
    <t xml:space="preserve">20/10/2020 16/12/2020 19/01/2021 18/03/2021 03/05/2021 11/05/2021 26/05/2021 28/05/2021 03/06/2021 03/06/2021 08/06/2021 08/03/2022 07/07/2022</t>
  </si>
  <si>
    <t>BH2</t>
  </si>
  <si>
    <t>F</t>
  </si>
  <si>
    <t>AMS-P</t>
  </si>
  <si>
    <t>NON</t>
  </si>
  <si>
    <t>TC3</t>
  </si>
  <si>
    <t>MM4</t>
  </si>
  <si>
    <t>TA5</t>
  </si>
  <si>
    <t>HA6</t>
  </si>
  <si>
    <t>GF7</t>
  </si>
  <si>
    <t xml:space="preserve">  11/05/2021</t>
  </si>
  <si>
    <t xml:space="preserve">mouvements circulaires sur lui-même</t>
  </si>
  <si>
    <t>GM8</t>
  </si>
  <si>
    <t xml:space="preserve"> 26/05/2021 </t>
  </si>
  <si>
    <t>GMT9</t>
  </si>
  <si>
    <t>"AH"</t>
  </si>
  <si>
    <t>GR10</t>
  </si>
  <si>
    <t>SE11</t>
  </si>
  <si>
    <t>DA12</t>
  </si>
  <si>
    <t>DF13</t>
  </si>
  <si>
    <t xml:space="preserve"> 08/03/2022</t>
  </si>
  <si>
    <t>DA14</t>
  </si>
  <si>
    <t xml:space="preserve"> 07/07/2022</t>
  </si>
  <si>
    <t>ZE15</t>
  </si>
  <si>
    <t>MG16</t>
  </si>
  <si>
    <t xml:space="preserve">TCSP ( epilepsie partielle et encéphalite autoimmune) </t>
  </si>
  <si>
    <t xml:space="preserve">1h:09:29   sursaut                                     2h:25:29 fronce sourcil                                 5h:42 s'étire                                6h52:31 s'étire                                                  6h59:01 s'étire </t>
  </si>
  <si>
    <t xml:space="preserve">Sursaut  / fronce sourcil</t>
  </si>
  <si>
    <t xml:space="preserve">clonie </t>
  </si>
  <si>
    <t>MP17</t>
  </si>
  <si>
    <t>CG18</t>
  </si>
  <si>
    <t>SA19</t>
  </si>
  <si>
    <t xml:space="preserve"> 15/06/2022</t>
  </si>
  <si>
    <t xml:space="preserve">clonie-ferme les yeux plus fort-grimace x2 ou sourire ? Bouge les jambes </t>
  </si>
  <si>
    <t>RDJS20</t>
  </si>
  <si>
    <t xml:space="preserve"> 29/06/2022</t>
  </si>
  <si>
    <t xml:space="preserve">Grimace/ bouge</t>
  </si>
  <si>
    <t>VC21</t>
  </si>
  <si>
    <t xml:space="preserve"> 20/07/2022</t>
  </si>
  <si>
    <t>AMS-C</t>
  </si>
  <si>
    <t>Stridor</t>
  </si>
  <si>
    <t>MJJ22</t>
  </si>
  <si>
    <t xml:space="preserve">coup de poing </t>
  </si>
  <si>
    <t>FI23</t>
  </si>
  <si>
    <t>parle</t>
  </si>
  <si>
    <t>positive</t>
  </si>
  <si>
    <t>SA24</t>
  </si>
  <si>
    <t>parle/tombe</t>
  </si>
  <si>
    <t>FC25</t>
  </si>
  <si>
    <t xml:space="preserve">2h: 12:30</t>
  </si>
  <si>
    <t xml:space="preserve">parle un peu</t>
  </si>
  <si>
    <t>MN26</t>
  </si>
  <si>
    <t>narco</t>
  </si>
  <si>
    <t>5h:35:34</t>
  </si>
  <si>
    <t xml:space="preserve">parle/ chuchote en levant la tête / "héhé" en sursautant/ </t>
  </si>
  <si>
    <t>MA27</t>
  </si>
  <si>
    <t xml:space="preserve">1h:17 2h:40</t>
  </si>
  <si>
    <t>crie</t>
  </si>
  <si>
    <t>CD28</t>
  </si>
  <si>
    <t>2h15</t>
  </si>
  <si>
    <t xml:space="preserve">parle "puta"/ bouge/ rigole plus tard</t>
  </si>
  <si>
    <t>BGY29</t>
  </si>
  <si>
    <t xml:space="preserve">narco </t>
  </si>
  <si>
    <t>LD30</t>
  </si>
  <si>
    <t>SE31</t>
  </si>
  <si>
    <t>PS32</t>
  </si>
  <si>
    <t>PB33</t>
  </si>
  <si>
    <t xml:space="preserve">VE34 </t>
  </si>
  <si>
    <t>PC35</t>
  </si>
  <si>
    <t>CC36</t>
  </si>
  <si>
    <t>LG37</t>
  </si>
  <si>
    <t>MA38</t>
  </si>
  <si>
    <t>8h:21:58</t>
  </si>
  <si>
    <t xml:space="preserve">"je te parle" </t>
  </si>
  <si>
    <t>MHTK39</t>
  </si>
  <si>
    <t xml:space="preserve">bouge/parle/"mais arrete! Non c'est bon"</t>
  </si>
  <si>
    <t>BL40</t>
  </si>
  <si>
    <t>LJ41</t>
  </si>
  <si>
    <t xml:space="preserve">rigole </t>
  </si>
  <si>
    <t>RJ42</t>
  </si>
  <si>
    <t xml:space="preserve">"Angelina" x4</t>
  </si>
  <si>
    <t>NAL43</t>
  </si>
  <si>
    <t xml:space="preserve">rigole mais on voit pas son visage </t>
  </si>
  <si>
    <t>BDRE44</t>
  </si>
  <si>
    <t xml:space="preserve">rigole beaucoup et bouge </t>
  </si>
  <si>
    <t>BL45</t>
  </si>
  <si>
    <t>LG46</t>
  </si>
  <si>
    <t xml:space="preserve">2h:2:16 coup de poing 4H: 09:31: bouge</t>
  </si>
  <si>
    <t xml:space="preserve">bouge/ coup de poing en stade 3</t>
  </si>
  <si>
    <t xml:space="preserve">SUPPRIME CAR MVTS PAS PDT REM</t>
  </si>
  <si>
    <t xml:space="preserve">BILAN DE TROUBLES COGNITIFS D'APPARITION BRUTALE/ TROUBLES MNESIQUES/APATHIE/RALLENTISSEMENT PSYMOTEUR</t>
  </si>
  <si>
    <t>MG47</t>
  </si>
  <si>
    <t>SJ48</t>
  </si>
  <si>
    <t>LBF49</t>
  </si>
  <si>
    <t>MFM50</t>
  </si>
  <si>
    <t xml:space="preserve">se frotte les yeux </t>
  </si>
  <si>
    <t>MX51</t>
  </si>
  <si>
    <t>FP52</t>
  </si>
  <si>
    <t>EREMAD</t>
  </si>
  <si>
    <t xml:space="preserve">3h:18:01 sursaut/clonie et bouge la jambe droite                             3h:18:31 coup de pied et micromouvements         3h19:31 micromvt bouge clonie                            3h23:01 bouge jambe gauche                                          3h34:31 se met sur le dos                                                   7h:50:32 lève ses 2 jambes et les baisse après                                        7h:52:32 lève jambe droite                                            7h55:02 bouge le doigt              8h:19 met sa jambe G sur D                                           8h:15:32 mvt bizarre </t>
  </si>
  <si>
    <t>CJP53</t>
  </si>
  <si>
    <t xml:space="preserve">2h24                                                      3h24                                                     3h28                                                    4h40                                                    4h49                                                    4h50                                                  4h53                                                     6h04                                                    6h15                                                    6h16:30                                                    6h:17                                                    6h20:30                                                    6h21                                                    6h:22:30                                                    6h24                                                    6h24:30                                                    6h:25:30                                                    7h:45:01                                                    7h45:01                                                    7h45:31                                                    7h46:31                                                    7h51            </t>
  </si>
  <si>
    <t xml:space="preserve">2h24    lève le bras et bouge les lèvres en faisant un truc avec son pouce.                                                              3h24 attrape des choses                                                    3h28 grimace                                                    4h40      lève ses bras  et puis sursaut                                               4h49     grimace (-)et bouge tout le corps                                                                   4h50   se couvre                                         4h53: stereotypies mains                                                                   6h04            croise les mains                                         6h15                                                      6h16:30             sourire                                        6h:17                  rigole                                  6h20:30              baisse les bras                                       6h21                 lève l'index                                   6h:22:30           parle                                         6h24                   écrit (mvt de la main)                         6h24:30              stereotypes (mains)                                       6h:25:30                                                    7h:45:01        coup dans l'air                                             7h45:01                                                    7h45:31                                                    7h46:31        attrape des choses                                             7h51   "comme s'il mettait une ceinture"                               </t>
  </si>
  <si>
    <t>BA54</t>
  </si>
  <si>
    <t xml:space="preserve">narco ? Suspicion</t>
  </si>
  <si>
    <t/>
  </si>
  <si>
    <t>DS55</t>
  </si>
  <si>
    <t>SJC56</t>
  </si>
  <si>
    <t>CS57</t>
  </si>
  <si>
    <t>GG58</t>
  </si>
  <si>
    <t xml:space="preserve">TCSP / depression</t>
  </si>
  <si>
    <t xml:space="preserve">souris et bouge un peu le bras </t>
  </si>
  <si>
    <t>BF59</t>
  </si>
  <si>
    <t xml:space="preserve">fait du bruit avec la bouche et bouge les mains comme sur une moto</t>
  </si>
  <si>
    <t>BO60</t>
  </si>
  <si>
    <t xml:space="preserve">grimace et chuchote </t>
  </si>
  <si>
    <t>BA61</t>
  </si>
  <si>
    <t xml:space="preserve"> NON?</t>
  </si>
  <si>
    <t xml:space="preserve">bruxisme et stridor</t>
  </si>
  <si>
    <t>BE62</t>
  </si>
  <si>
    <t>CR63</t>
  </si>
  <si>
    <t xml:space="preserve">mouvements des 2 jambes selon EEG</t>
  </si>
  <si>
    <t>CB64</t>
  </si>
  <si>
    <t>CE65</t>
  </si>
  <si>
    <t xml:space="preserve">stridor </t>
  </si>
  <si>
    <t>CS66</t>
  </si>
  <si>
    <t>CA67</t>
  </si>
  <si>
    <t xml:space="preserve">mouvements jambe droite selon EEG</t>
  </si>
  <si>
    <t>CS68</t>
  </si>
  <si>
    <t xml:space="preserve">mouvements violents comme une attaque : coups</t>
  </si>
  <si>
    <t>DM69</t>
  </si>
  <si>
    <t>DF70</t>
  </si>
  <si>
    <t>NO?</t>
  </si>
  <si>
    <t xml:space="preserve">mouvement bref de la tête </t>
  </si>
  <si>
    <t>DJ71</t>
  </si>
  <si>
    <t>DM72</t>
  </si>
  <si>
    <t>FB73</t>
  </si>
  <si>
    <t>GA74</t>
  </si>
  <si>
    <t>GD75</t>
  </si>
  <si>
    <t>GC76</t>
  </si>
  <si>
    <t xml:space="preserve">parle </t>
  </si>
  <si>
    <t>GJ77</t>
  </si>
  <si>
    <t>GC78</t>
  </si>
  <si>
    <t>GE79</t>
  </si>
  <si>
    <t xml:space="preserve">Cri "oh" "oh"</t>
  </si>
  <si>
    <t xml:space="preserve">négative </t>
  </si>
  <si>
    <t>GM80</t>
  </si>
  <si>
    <t>GJ81</t>
  </si>
  <si>
    <t>HJ82</t>
  </si>
  <si>
    <t>IM83</t>
  </si>
  <si>
    <t xml:space="preserve">Parle en bougeant et grimace( sourire?)/chuchote</t>
  </si>
  <si>
    <t>IF84</t>
  </si>
  <si>
    <t>IC85</t>
  </si>
  <si>
    <t>JG86</t>
  </si>
  <si>
    <t>JA87</t>
  </si>
  <si>
    <t>KH88</t>
  </si>
  <si>
    <t>LCM89</t>
  </si>
  <si>
    <t xml:space="preserve">au début </t>
  </si>
  <si>
    <t xml:space="preserve">rigole- clonie-bouge son bras </t>
  </si>
  <si>
    <t>LY90</t>
  </si>
  <si>
    <t xml:space="preserve">Coup de coude au lit</t>
  </si>
  <si>
    <t>MR91</t>
  </si>
  <si>
    <t>PH92</t>
  </si>
  <si>
    <t>QR93</t>
  </si>
  <si>
    <t>RC94</t>
  </si>
  <si>
    <t>RH95</t>
  </si>
  <si>
    <t>RJ96</t>
  </si>
  <si>
    <t>RS97</t>
  </si>
  <si>
    <t>SJC98</t>
  </si>
  <si>
    <t xml:space="preserve">clonie et sursaut                                                                frappe l'air avec sa main- cri à la fin</t>
  </si>
  <si>
    <t>SE99</t>
  </si>
  <si>
    <t xml:space="preserve">se défend d'une attaque </t>
  </si>
  <si>
    <t>TC100</t>
  </si>
  <si>
    <t>VC101</t>
  </si>
  <si>
    <t>RB103</t>
  </si>
  <si>
    <t xml:space="preserve">02:25:30                         2:37:33                                    2:48                                                                                                                                                                                                                                                                                                         7:1:31                                                            7:9:01                                        7:59        </t>
  </si>
  <si>
    <t xml:space="preserve">bouge les jambes.                                     bouge doigts main droite                           mvt pied (comme sur une pédale d'accélérateur)                                                       bouge les jambes                                                                       bouge jambe/pied                                                       lève le bras en l'air                                        clonie : 7:8:31 et 7:58:31                                    </t>
  </si>
  <si>
    <t>CN104</t>
  </si>
  <si>
    <t>RIEN</t>
  </si>
  <si>
    <t>GS105</t>
  </si>
  <si>
    <t xml:space="preserve">EREMAD </t>
  </si>
  <si>
    <t>EP106</t>
  </si>
  <si>
    <t xml:space="preserve">examen 1:                         02/01/2022: examen 2 </t>
  </si>
  <si>
    <t xml:space="preserve">examen 1: NON              examen 2: OUI</t>
  </si>
  <si>
    <t>AJP107</t>
  </si>
  <si>
    <t>GR108</t>
  </si>
  <si>
    <t>EPILEPSIE</t>
  </si>
  <si>
    <t>MM109</t>
  </si>
  <si>
    <t>DA110</t>
  </si>
  <si>
    <t>OUi</t>
  </si>
  <si>
    <t>GX111</t>
  </si>
  <si>
    <t>DSJ112</t>
  </si>
  <si>
    <t>BC102</t>
  </si>
  <si>
    <t xml:space="preserve">12/01/2023 : examen 1                                           3/04/2023 : examen 2</t>
  </si>
  <si>
    <t xml:space="preserve">examen 1: NON                    examen 2: OUI</t>
  </si>
  <si>
    <t>KH113</t>
  </si>
  <si>
    <t>BB114</t>
  </si>
  <si>
    <t>AMS</t>
  </si>
  <si>
    <t>BMF115</t>
  </si>
  <si>
    <t>extraits</t>
  </si>
  <si>
    <t>VJM116</t>
  </si>
  <si>
    <t>KG117</t>
  </si>
  <si>
    <t>MM118</t>
  </si>
  <si>
    <t>DLL119</t>
  </si>
  <si>
    <t>RM120</t>
  </si>
  <si>
    <t xml:space="preserve">TCSP/suspicion encéphalite auto-immune </t>
  </si>
  <si>
    <t>DM121</t>
  </si>
  <si>
    <t>TCSP/dépression</t>
  </si>
  <si>
    <t>GM122</t>
  </si>
  <si>
    <t>RP123</t>
  </si>
  <si>
    <t>DT124</t>
  </si>
  <si>
    <t>CB125</t>
  </si>
  <si>
    <t>LF126</t>
  </si>
  <si>
    <t>TJ127</t>
  </si>
  <si>
    <t>EAI-LGI1</t>
  </si>
  <si>
    <t>MS128</t>
  </si>
  <si>
    <t xml:space="preserve">Autonomic failure pure</t>
  </si>
  <si>
    <t>AE129</t>
  </si>
  <si>
    <t>EF130</t>
  </si>
  <si>
    <t>CS131</t>
  </si>
  <si>
    <t xml:space="preserve">pointes-ondes </t>
  </si>
  <si>
    <t xml:space="preserve">OUI mais QUALITE POURRIE </t>
  </si>
  <si>
    <t>MRM132</t>
  </si>
  <si>
    <t xml:space="preserve">TCSP- SAS appareillée depuis 2018</t>
  </si>
  <si>
    <t>PR133</t>
  </si>
  <si>
    <t>SD134</t>
  </si>
  <si>
    <t>ML135</t>
  </si>
  <si>
    <t>DCL</t>
  </si>
  <si>
    <t xml:space="preserve">VIDEO QUALITE POURRIE </t>
  </si>
  <si>
    <t>DI136</t>
  </si>
  <si>
    <t xml:space="preserve">extraits -QUALITE POURRIE </t>
  </si>
  <si>
    <t>DJ137</t>
  </si>
  <si>
    <t>BJ138</t>
  </si>
  <si>
    <t xml:space="preserve">Extraits </t>
  </si>
  <si>
    <t>PA139</t>
  </si>
  <si>
    <t xml:space="preserve">Extraits -qualite pourrie</t>
  </si>
  <si>
    <t>PJC140</t>
  </si>
  <si>
    <t>JP141</t>
  </si>
  <si>
    <t>TM142</t>
  </si>
  <si>
    <t xml:space="preserve">DCL </t>
  </si>
  <si>
    <t>MN143</t>
  </si>
  <si>
    <t>FP144</t>
  </si>
  <si>
    <t>TO145</t>
  </si>
  <si>
    <t>rapport</t>
  </si>
  <si>
    <t xml:space="preserve">infos EEG </t>
  </si>
  <si>
    <t xml:space="preserve">type de mouvements </t>
  </si>
  <si>
    <t xml:space="preserve">classification de mvts </t>
  </si>
  <si>
    <t xml:space="preserve">vitesse de mouvements </t>
  </si>
  <si>
    <t>ok</t>
  </si>
  <si>
    <t xml:space="preserve">parle en Arabe                                                            frappe et donne 2 coups de poing / Attrape quelque chose et  la jette                                               reparle (incompréhensible) grimace négative en parlant arabe                                                                                 cri "ah" et grogne"Rmmm"                                                       vidéo 2:  rigole x2 et dit "euh eh"</t>
  </si>
  <si>
    <t xml:space="preserve">CMG-intégré- stéréotypies distales et semi-fonctionnelles -mouvements hyperkinétiques </t>
  </si>
  <si>
    <t xml:space="preserve">rapide/ brusque </t>
  </si>
  <si>
    <t xml:space="preserve">parle d'un ton ferme (incompréhensibe) coup de pieds et frappe avec ses mains (défense ou attaque?)                                                                           video 2                                                                        clonie puis coup avec la jambe et parle (incompréhensible)                                                          coup avec la main                                                              video 3 coup de pied                                                           Video 4 : cri "Ahhh" (négatif)</t>
  </si>
  <si>
    <t xml:space="preserve">CMG-intégré-stéréotypies distales (pieds)-mouvements hyperkinétiques                               vidéo 2 : stereotypies distales (jambes)</t>
  </si>
  <si>
    <t xml:space="preserve">rapide / brusque </t>
  </si>
  <si>
    <t>TCSP-AMS-P</t>
  </si>
  <si>
    <t xml:space="preserve">mouvements circulaires sur lui-même (tête et tronc) </t>
  </si>
  <si>
    <t xml:space="preserve">CMG-non intégré-stéréotypies proximales</t>
  </si>
  <si>
    <t xml:space="preserve">neutre </t>
  </si>
  <si>
    <t xml:space="preserve">rapide </t>
  </si>
  <si>
    <t xml:space="preserve">clonie au niveau de la main-donne des coup avec la main- mouvements des jambes                                                                                vidéo2 :                                                                      mouvements pieds et cri "AH" en donnant un coup de coude </t>
  </si>
  <si>
    <t xml:space="preserve"> CMG-intégré-stéréotypies distales </t>
  </si>
  <si>
    <t xml:space="preserve">3h05:31 Sursaut  / 4h21:31 fronce sourcil                            5h:42 s'étire                                                                  6h52:31 s'étire                                                              6h59:01 s'étire</t>
  </si>
  <si>
    <t xml:space="preserve">sommeil paradoxal: 2h53-3h10:31                                 4h18- 4h25        5h28:31  -5h41:31         6h56:01-7h01:32     7h48:02-7h57:32                   </t>
  </si>
  <si>
    <t xml:space="preserve">mouvements des jambes                                                    ferme les yeux plus fort et fait une grimace x2  en levant les doigts et l'épaule droite                                                              vidéo 2: mouvements distaux (jambes et bras) et referme les yeux                                                            vidéo 3 stereotypies distales (pieds)(pédale?)             vidéo 4: clonie de tout le corps puis interjection</t>
  </si>
  <si>
    <t xml:space="preserve"> CMG-intégré-stéréotypies distales (jambes et pieds)</t>
  </si>
  <si>
    <t xml:space="preserve">mouvements/contractions bruques de tout le corps en chuchotant</t>
  </si>
  <si>
    <t xml:space="preserve">SEM-stéréotypies distales (jambes et pieds)mouvements hyperkinétiques    </t>
  </si>
  <si>
    <t xml:space="preserve">neutre? Négatif ? </t>
  </si>
  <si>
    <t xml:space="preserve">ok </t>
  </si>
  <si>
    <t xml:space="preserve">mouvements des bras recroquevillés- chuchote et  coup de poing au lit                                                    vidéo2: "mmhumum" et 2 coups de poings dans l'air  en parlant 'incompréhensible'</t>
  </si>
  <si>
    <t>CMG-intégré</t>
  </si>
  <si>
    <t xml:space="preserve">rapide/brusque </t>
  </si>
  <si>
    <t xml:space="preserve">chuchote en souriant</t>
  </si>
  <si>
    <t xml:space="preserve">incompréhensible/ indéterminée</t>
  </si>
  <si>
    <t xml:space="preserve">vidéo1: myoclonie corps entier                                                 vidéo 002:                                                                                parle en se redressant sur son  coté droit" tu vas ranger ton fusi, toi?... wow , jte suis ah, tu peux..tu peux peut-être juste me reprocher de te tutoyer, moi je suis désolé hein. Tu ranges ce fusi sinon je monte sur le toit, t'as compris? "(avec un ton ferme)  et il monte sur la barrière du lit et tombe. </t>
  </si>
  <si>
    <t xml:space="preserve">parle un peu (incompréhensible) et rigole                        </t>
  </si>
  <si>
    <t xml:space="preserve">parle/ chuchote en levant la tête "Arrête stp …(incompréhensible)      si tu bouges jvais le dire à …                     ???                                                                vidéo001:                                                                             "héhé" en sursautantant et en se levant </t>
  </si>
  <si>
    <t xml:space="preserve">1h:17                                  2h:40</t>
  </si>
  <si>
    <t xml:space="preserve">clonie jambes puis bras - stéréotypies bras et jambes puis crie                                                                      stéréotypies des jambes                                                             pédale à 1h:27 puis lève les jambes brusquement et les baisse  . 3h39 chuchote 3h39:31 lève la main vers le haut (attrape? )                                                           coup de pied à 3h:42                                                             mouvements hyperkinétiques bras</t>
  </si>
  <si>
    <t>rapide/brusque</t>
  </si>
  <si>
    <t xml:space="preserve">stéréotypies de la tête et des pieds                          -mouvements des jambes (pédale?) et parle (incompréhensible)                                                                     retourne la tête et chuchote.                                                   2h22 sursaute et donne des coups dans les draps  avec ses pieds et ses mains (se défend?)                        parle  d'un ton ferme (incompréhensible)                     sourit à 2:24:30  et parle (incompréhensible) de façon plus calme en espagnol                                                                       2h25:30: donne des coups                               reparle calement à 2h26                                                                      rigole en se tapant les mains. Mouvements des pied droit                                                                               stéréotupies mains et relève les jambe en essayant d'attraper quelque chose                                                                                      2h:33:30 "cri : à droite à droite, juste devant toi, tout droit là"                                                                                chuchote en attrappant queque chose                              2h37mouvements pieds , se relève et tourne sa main dans l'air                                                                                  4h07: frappe la barrière du lit                                                     5h58: on dirait qu'il tape dans un ballon avec son pied et puis dit en souriant "Ah! ah merde!"                                                                                          6h04: rigole beaucoup puis dit 'mira'.                                            6h08: donne des couprs de poings dans l'air                               6h13: rigole beaucoup en parlant en espagnol                          6h17: coup dans l'air avec la main    (drap)                                                                                      </t>
  </si>
  <si>
    <t xml:space="preserve">négative majorité</t>
  </si>
  <si>
    <t xml:space="preserve">8h:21:58      4h15 dans vidéoPPT</t>
  </si>
  <si>
    <t xml:space="preserve"> "je te parle"  d'un ton autoritaire</t>
  </si>
  <si>
    <t xml:space="preserve">2h:21      /04:59:31    </t>
  </si>
  <si>
    <t xml:space="preserve">  4h45 mouvements brefs et lents de la tête et des jambes   .                                                                                                                                                               6h6: mouvements jambe gauche                                                  6h07:31: relève la tête                                                                             6:57:mouvements bras                                                                                  parle à 6h57:31 en mettant sa main  en l'air  (parle à  ma main)                                                                                                                                                                             "mais arrete!non arrrete arrete arrete  Non c'est bon"                                                                                               7h:01:31 claque des doigts                                                                    8h45:31 sourire avec un soupir                                                 8:46 mouvements jambe droite </t>
  </si>
  <si>
    <t xml:space="preserve"> rigole et mouvement léger du pied</t>
  </si>
  <si>
    <t xml:space="preserve">lent/ normal</t>
  </si>
  <si>
    <t xml:space="preserve"> se redresse sur son coté gauche  en appelant  "Angelina" x3 puis joue avec le fil et redit  "Angelina"                                                                                    mouvements cloniques de tout le corps                                   vidéo 2: souris en tapant des mains sur le drap                   vidéo 3: lève l'index brusquement en l'air puis se couvre le visage avec ses deux bras                                      vidéo 4 : souris et chuchote en se balançant 2fois à doite et à gauche en souriant </t>
  </si>
  <si>
    <t xml:space="preserve">CMG-intégré-stéréotypies distales (bras et mains)  et mouvements distaux </t>
  </si>
  <si>
    <t xml:space="preserve">Au début (peur? Perdu?) négative puis positive  </t>
  </si>
  <si>
    <t xml:space="preserve">video1                                                                                                         rigole mais on voit pas son visage et bouge la jambe gauche et la tête                                                                                                     vidéo 2 mouvements élémentaires : tête et jambes </t>
  </si>
  <si>
    <t xml:space="preserve">CMG-intégré-stéréotypies de la tête </t>
  </si>
  <si>
    <t xml:space="preserve">rigole beaucoup et bouge les jambes et mouvements du bras droit                                                       vidéo 2: sursaute en parlant (incompéhensible)                 vidéo 3 ,4,5: élaborés indeterminés   viédo 6 :rigole vidéo 7 : "hahah , oh mon dieu!" avec mouvements orofaciaux  vidéo 8 : souffle et mouvements schéniques indéterminés </t>
  </si>
  <si>
    <t xml:space="preserve">CMG-intégré-stéréotypies distales (jambes et bras : vidéos 2)-stéréotypies fonctionnelles ( mouvements élaborés: s'essuie la bouche, ouvre quelque chose, attrape)</t>
  </si>
  <si>
    <t xml:space="preserve">3h:18:01 sursaut/clonie et bouge la jambe droite                             3h:18:31 coup de pied et micromouvements         3h19:31 micromvt bouge clonie                            3h23:01 bouge jambe gauche                                          3h34:31 se met sur le dos                                                   7h:50:32 lève ses 2 jambes et les baisse après                                        7h:52:32 lève jambe droite                                            7h55:02 bouge le doigt              8h:19 met sa jambe G sur D                                            </t>
  </si>
  <si>
    <t xml:space="preserve">SEM-stéréotypies distales (jambes, pieds, doigts)  </t>
  </si>
  <si>
    <t xml:space="preserve">2h24    lève le bras et bouge les lèvres en faisant un truc avec son pouce.                                                              3h24 attrape des choses                                                    3h28 grimace                                                                     4h40      lève ses bras  et puis sursaut                                               4h49     grimace (-)et bouge tout le corps                                                                                                                             4h53: stereotypies mains                                                                   6h04            croise les mains                                          6h16:30             sourire         6h:17    rigole                                  6h20:30              baisse les bras                                       6h21                 lève l'index                                   6h:22:30           parle    6h24                   écrit (mvt de la main)                         6h24:30              stéréotypies (mains)                                       6h:25:30                                                    7h:45:01        coup dans l'air                                             7h45:01                                                    7h45:31                                                    7h46:31        attrape des choses                                             7h51   "comme s'il mettait une ceinture"                               </t>
  </si>
  <si>
    <t xml:space="preserve">CMG-intégré -stéréotypies distales (bras et mains )-stéréotypies semi-fonctionnelles</t>
  </si>
  <si>
    <t xml:space="preserve">négatif, positif puis négatif </t>
  </si>
  <si>
    <t xml:space="preserve">stéréotypies du bras droit.                                               souris en même temps que des stéréotypies du pied</t>
  </si>
  <si>
    <t xml:space="preserve">CMG-intégré -stéréotypies distales ( pieds et bras droit)</t>
  </si>
  <si>
    <t xml:space="preserve">CMG-intégré -stéréotypies distales (bras et mains)</t>
  </si>
  <si>
    <t>neutre</t>
  </si>
  <si>
    <t xml:space="preserve">                                                                                       vidéo1: chuchote                                                      vidéo 2: coup de poing latéral dans la barrière du lit  vidéo3: clonie corps entier "ah"                                                                  vidéo 4: grimace et chuchote vidéo 5: lève les bras pour toucher quelque chose                                             vidéo 6: clonie + parle "incompréhensible"                  video 7: clonie corps entier + 'ah'                                       video 8:                      vidéo 9: clonie + rigole                                                           vidéo 10: sursaut et cri "oh"                                             vidéo 11: coup de pieds dans les draps  </t>
  </si>
  <si>
    <t xml:space="preserve">CMG-intégré -stéréotypies distales </t>
  </si>
  <si>
    <t xml:space="preserve"> négative majorité</t>
  </si>
  <si>
    <t xml:space="preserve">video coup de poings dans la barrière du lit                  vidéo 2: parle à haute voix (incompréhensible)                                     vidéo 3: coup de poing et mouvements de bras </t>
  </si>
  <si>
    <t xml:space="preserve">parle (incompréhensible) avec grimace et mouvements des bras </t>
  </si>
  <si>
    <t xml:space="preserve">négative  souffrance ? </t>
  </si>
  <si>
    <t xml:space="preserve">parle (incompréhensible) et mouvements de la main gauche (comme si elle attrapait quelque chose) </t>
  </si>
  <si>
    <t>N1</t>
  </si>
  <si>
    <t xml:space="preserve">Sursaute et Cri (incompréhensible) puis "oh" "oh"- mouvements hyperkinétiques</t>
  </si>
  <si>
    <t xml:space="preserve">CMG-intégré-clonie tout le corps </t>
  </si>
  <si>
    <t xml:space="preserve">mouvements bras -  Parle en bougeant le bras  et sourit -chuchote                                                                vidéo 2: Sursaute: clonie de tout le corps</t>
  </si>
  <si>
    <t xml:space="preserve">CMG-intégré--clonie tout le corps </t>
  </si>
  <si>
    <t xml:space="preserve">positive </t>
  </si>
  <si>
    <t xml:space="preserve">mouvements jambe droite et main  puis rigole beaucoup - bouge son bras droit  qui est coincé dans la barrière du lit et sa jambe et pied droits.</t>
  </si>
  <si>
    <t xml:space="preserve">CMG-intégré- mouvements distaux (jambe et bras)</t>
  </si>
  <si>
    <t xml:space="preserve"> mouvements rapides brasdroit puis  Coup de coude au lit et se retourne du  coté droit </t>
  </si>
  <si>
    <t xml:space="preserve">mouvements des bras/mains  et sursaut                                                                frappe l'air avec sa main- cri à la fin</t>
  </si>
  <si>
    <t xml:space="preserve">CMG intégré: stéréotypies et myoclonies corps entier. Puis mouvements des bras                                                      frappe dans l'air avec sa main   et cri incompréhensible </t>
  </si>
  <si>
    <t xml:space="preserve">vidéo 2: clonie à 3min: stéréotypies du bras droit puis des bras , clonie du corps entier et lève le coude:  se défend d'une attaque.                                                 Stéréotypies distales  de la main</t>
  </si>
  <si>
    <t xml:space="preserve"> 2h25:30     bouge les jambes.                                                                4h10:30                                                                  4h:16:31 mvts pieds                                                        4h:22:01 avant 4h:22:30                                                  6h51:31 mvts pieds                                                       7h: chuchote myoclonique / saisi quelque  chose  et écrit ? moto ? jusqu'à 7h31                                                                                                                                                                                                                                                                7h59 attrape quelque chose en l'air </t>
  </si>
  <si>
    <t xml:space="preserve">bon timing </t>
  </si>
  <si>
    <t>eremad60</t>
  </si>
  <si>
    <t xml:space="preserve"> stéréotypies avec sa main droite sous l'oreiller                     1:00:57 : appuie avec sa main gauche sur le lit.                 1:01:57: se redresse puis se recouche,                                   2h53:57 CLONIE TOUT LE CORPS                                                  2h54:27 parle : neutre : onomatopé: "hum"                      5h33:58 parle : incompréhensible                                 5h34:58 : events orofaciaux: chuchote.                                5h35: mouvements de la main droite accompagné de paroles: "pourquoi ... incompréhensible"                     parle et sursaute                                                                           5h36: mouvements des pieds: stéréotypies                           5h37: parle                                                                           5h38 : lève la jambe et les bras (se défend? )                           5h40:28:mouvement du bras en disant " viens par là"                                                                                         5h43:58 myoclonnie corps entier et chuchote                         5h51:58 se redresse/ sursaut  'hé' doucement                 5h55: se redresse une autre fois</t>
  </si>
  <si>
    <t xml:space="preserve">TCSP? EPILEPSIE</t>
  </si>
  <si>
    <t xml:space="preserve">2h:54 : mouvements jambes                                                                3h02: myoclonies tout le corps                                              3h10:35 mouvements jambes et pieds : stéréotypies                                                                                  3h12 myoclonir tout le corps                                                        3h16: rotation de la tête et mouvements jambes                       3h19: events orofaciaux: chuchote?                            3h21: balancements corps entier stéréotypies                      3h:24: mouvements de la bouche: chuchote ?                                                                              </t>
  </si>
  <si>
    <t>SEM</t>
  </si>
  <si>
    <t xml:space="preserve">56sec: mvts jambe </t>
  </si>
  <si>
    <t>=COUNTIF(I2:I104,"NON")</t>
  </si>
  <si>
    <t xml:space="preserve"> vidéo 00: bouge la tête : mvt elementaire                               vidéo 001: mvts élémentaires                                     vidéo 002: rigole et clonie des jambes                            vidéo003: coup de poing                                        vidéo004: MYOCLONIE epaule droite et jambes                vidéo005: myoclonie                   vidéo006: grimace et clonie épaule gauche </t>
  </si>
  <si>
    <t xml:space="preserve">video5 N1 / -de 3s</t>
  </si>
  <si>
    <t>aout-1944</t>
  </si>
  <si>
    <t xml:space="preserve">03:12:30 mouvements de la tête                       3:14:00 : mouvements de la main  droite                      3:16:00: frappe dans l'air                                                 3:19 bouge les mains   3:20:30 mvt main droite vers le bas               3:48:30 mvt tout le corps (éveil)                           6:24:31 mvt main droite comme écriture ? dure 3 sec                                                                                                                       6:23:31 rit en se frottant l'oeil droit  (N1)                                          6:35:01 parle incompréhensible                                                 6:37:01 : mvt jambes et main droite                                      6:38:31: parle et tapote avec sa main droite 2 fois     8:00:31 mvt corps entier (drap cache tout)                              8:05:31 TCSP                </t>
  </si>
  <si>
    <t xml:space="preserve">4:15:30: chuchote                                                                 5:39:30: jusqu'à 5:40 mvt des mains indeter                           05:42:30 : mvt indeter de la main                                                 05:44:00: chuchote                                                  05:44:00: bouge ses lèves                                      05:44:52   parle incompréhensible                               05:46:30: sourit                                                       05:47:00: bouge la tête et les mains et rigole et parle à 5:47:30   (long TCSP)                                                    05:50:00 ouvre la bouche, mvt bras et jambe gauche                                                                             7:16:40 mouvement lent des bras (bras gauche surtout)                                                                           7:19:54  mouvement indeter lent des bras (bras gauche surtout) et des jambes.                                 un coup de point à 7h20:33                                                7:30:54: gratte/écrit avec sa main droite fin à 7:31:38                                                                          7:32:17: lève les bras à la tête et puis se tourne sur son coté gauche                                                                                                                                                                                                                                                               </t>
  </si>
  <si>
    <t xml:space="preserve">vidéo1: sursaute et pousse les mains au ciel en criant.                                                                              Vidéo 2: joue du piano  en ouvrant et fermant la bouche  et en levant ses jambes.                                                                        vidéo 3: parle : mvt main droite, puis parle"eh!" et  fait le bruit d'un bisou  et après il lève la tête se relève un peu  avec grimace et la tourne vers la gauche                                                                                    vidéo 4: lève la main droite au ciel et lève sa jambe gauche et dit "pourquoi  moi "                                    </t>
  </si>
  <si>
    <t xml:space="preserve">3:27:31 mouvements des jambes  (caché)                                                                                                                                     5:12:31 : bouge le bras droit et heurte le lit et bouge le pied droit  et il frappe une 2eme fois avec sa main droite la barrière du lit puis bouge la tête                                       5:25:01: mouvements des doigts de la main gauche                                        5:32:31    mouvements corps entier en se tournant plus sur son coté droite et se frotte la tête                                                                                   7:15:32: mouvements des jambes (pas très visibles)                      </t>
  </si>
  <si>
    <t>OK</t>
  </si>
  <si>
    <t xml:space="preserve">06:28:01: mvts jambes et mains qui tremblent avec mvt tete et grogne                                                                                 6:31:31: mouvement de la main G, des jambes et de la tête</t>
  </si>
  <si>
    <t xml:space="preserve">éliminé : éveil </t>
  </si>
  <si>
    <t>TCSP-EREMAD</t>
  </si>
  <si>
    <t xml:space="preserve">2:26:30 mouvement main : s'essuit la bouche puis bouge les lèvres                                                            6:19:01 bouge les jambes et se frotte l'oeil droit avec la main droite                                                                   6:22:01: se touhe la bouche avec la main droite et bouge les jambes</t>
  </si>
  <si>
    <t>EAI-CASPR2</t>
  </si>
  <si>
    <t xml:space="preserve">1:59:30 mouvement mains et tête, bouge son bras droit et le pose sur le bas du ventre et ouvre les yeux                           2:02:12: grimace puis pleure jusqu'à 2:03                                    2:03:40: mouvements indéterminés des mains : écrit? rictus, bouge la jambe gauche, mouvement de la tête , mvt brusque bras et jambes puis crie 2 fois parole indéterminée. fin à 2:04:20                                                 2:05:00: gémit et mouvement brusque tout le corps et la tête aussi                                                                            2:05:38: sursaute et bouge le bras gauche                                   2:06:00 bouge les jambes brusquement 2 fois et la 3eme fois mouvement plus visible avec les bras (violent) puis croise les mains (arousal)                                                             2:07:00 : parle en disant " w rahmet mimti laaziza  wrahmet mimti la nrawah walah allah yarhamha." avec mouevemnt de la main droite  et bras gauche en essayant de se lever (15sec)                                                                                                                                             2:10:27: grimace : ouvre la bouche et ferme les yeux en tapant doucement avec sa main gauche (3sec)                       2:10:48 Parle:incompréhensible jusqu'à 2h11:00                              2:11:32: mvts indeterminés des mains etouvre les yeux en bougeant la tête  et grogne.                                               2:13:30: bouge la tête 2fois avec mvt des mains indeter    (arousal)                                                                                            2:16:30: bouge sa tête et tapote avec sa main gauche et bouge son bras        (arousal)                                                        6:55:51: hausse le sourcil, main gauche, chuchote et ouvre la bouche pour montrer ses dents.                                       6:57:31 : lève son sourcil gauche                                                       6:58:23: mastique puis sursaut et frappe avec son bras droite  fin 6:58:42                                                                        7:00:23 chante et fait une grimace                                       7:01:02: TCSP violent: frappe avec son bras droit                      10:04:44: bouge la tête balance ses bras et bouge les jambes                                                                        10:06:14 : bouge la main droite et tourne la tête, ouvre les yeux pour fixer un point en haut à gauche                                    </t>
  </si>
  <si>
    <t xml:space="preserve">AMS depuis 2022</t>
  </si>
  <si>
    <t xml:space="preserve">TCSP longs et brusques </t>
  </si>
  <si>
    <t xml:space="preserve">4:23:31 bouge les mains et les jambes puis lève la main gauche jusqu'à 4:24:23 puis à 4:24:31 mvt brusque des jambes  (se débat avec une grimace négative) tourne la tête et gémit et bouge les mains fin 4:25:27                                                    4:26:40 mvts brusques esquive avec la tête en fermant les yeux plus fort  puis mouvement des jambes et elle suraute puis à 4:27:21 ouvre les yeux et fixe un point en haut à droite, acquiesce et parle                      4:33:17: tourne la tête et bouge un peu ses jambes puis chuchote. Mvt jambe gauche sursaute et fait un bruit en chuchotant et en souriant. rigole.                                                     4:35:44 sursaute en gémissant  puis chuchote                                                                        4:37:05 cri 2 fois                                                         4:39:18 parle et pleure (18sec) puis bouge les jambes et tourne la tête.                                  4:40:31: grimace négative, mouvement de la tête, des jambes et des mains comme por ouvrir un parapluie (sous les draps)                            4:42:31: parle incompréhensible                                   4:43:22: chuchote avec grimace et se débat avec le drap. puis lève la jambe gauche brusquement   et sursaute                                4:44:22 coup de poing main droite dans le drap                                                                                      4:45:35: lève jambe droite (3sec)                                                        4:48:48 : mvt violent avec les jambes et les mains (se défend)                                                  4:49:38 se défend                                                 4:50:16 : se débat (mvt brusque des jambes) et crie 2 fois en tournant la tête. chuchote puis crie, coup de poing main droite en esseyant de se relever. relève les jambes et joint ses mains sous le draps, grimace négative (fin 4:52:13)                                    4:53:31 mvt brusques des mains et des jambes                                                                                 4:55:43: se bat : coup de poing main droite et bouge les jambes brusquement                         4:56:45: crie et pleure                                             4:58:16 tourne la tête et parle incompréhensible                                                      5:01:56: mvt brusque des jambes et sursaute en tournant la tête                                5:03:20: sursaut puis dit "eh" négatif (entre le pleure et le cri)                                                  5:16:03: chuchote                                                          5:18:44  susaute (mvt brusques jambes et fixe un point en haut à gauche                                        7:37:39: mvt main droite puis sursaut global avec mvt brusque des jambes                         7:40:55 sursaut puis essaye de se relever et son coeur s'accélère  (son ECG s'accélère)                                              7:42:37: susaute et bouge les mains puis lève la jambe droite puis mvt brusque des jambes. Ouvre les yeux et lève la main droite                                                                           7:45:32: lève le bras droit en pleurat, met sa main gauche sur son ventre et lève puis crispe ses jambes (son ECG s'accélère)                            7:46:31 (1seul TCSP avec le précédent) sursaute et tremble, puis croise ses bras, lève la jambe gauche et grimace négative                7:49:37: sursaute et mvt brusque des jambes puis lève jambe gauche                              7:52:08 sursaute en bougeant les mains                 7:58:01 cri et lève les bras pour se défendre 7:59:19: grimace                                                   8:01:31: mvts lents et indeter main gauche puis main droite. Cri puis lève la JD. sursaute puis bouge les jambes brusquement et l'index de la main gauche                  8:05:01: pointe qq chose du doit main gauche et cri en sursautant  puis 10sec après chuchote + mvt main droite                                                 </t>
  </si>
  <si>
    <t>28/04:2023</t>
  </si>
  <si>
    <t xml:space="preserve">vidéo1: crie                   vidéo2: mvt la main   (très court)                                                                      </t>
  </si>
  <si>
    <t xml:space="preserve">vidéo1 et 2: myoclonie corps entier</t>
  </si>
  <si>
    <t>myoclonies</t>
  </si>
  <si>
    <t xml:space="preserve">vidéo1: lève le bras gauche vers le ciel                               vidéo2: gémit                                                                       vidéo3: gémit en bougeant la main droie et tout le corps lentement et petite amplitude (éliminée : arousal)                                                                                    vidéo4: mvt du tronc et épaule droite  (2s)                       </t>
  </si>
  <si>
    <t xml:space="preserve">vidéo 3 éliminée : Arousal non spé </t>
  </si>
  <si>
    <t xml:space="preserve">vidéo3: mouvement main droite et tout le corps vers l'avant (en étant sur son coté droit)</t>
  </si>
  <si>
    <t xml:space="preserve">éliminée : Arousal non spé </t>
  </si>
  <si>
    <t xml:space="preserve">vidéo1: mouvement indéterminé de la main droite (comme s'il tournait qq chose)                                                      vidéo 3: stéréotypies mvt des jambes rapides                                          </t>
  </si>
  <si>
    <t xml:space="preserve">Video 3 mvts restreints</t>
  </si>
  <si>
    <t>Narco</t>
  </si>
  <si>
    <t xml:space="preserve">vidéo1: sourire                                                                vidéo2: secoue (stéréotypies)  (très court)                                                         vidéo3: lève ses jambes et secoue son corps en souriant                                                                        vidéo4: stéréotypies cachées par le drap</t>
  </si>
  <si>
    <t xml:space="preserve">video 1 éliminée: Arousal respiratoire </t>
  </si>
  <si>
    <t xml:space="preserve">vidéo1: parle en levant le coude                                           vidéo 2, 3,4 et 5  non car mvt très bref                                                                                             vidéo 5: parle et mvt de la main qui tient un fil               </t>
  </si>
  <si>
    <t xml:space="preserve">vidéo 2, 3,4 et 5  éliminée car mvt très bref  </t>
  </si>
  <si>
    <t xml:space="preserve">5:37:42: mvt des mains                             5h42:20 mouvements du bassin et des jambes                                                                          5:43:23: mvt mains +grimace en refermant les yeux                                                                          9:17:02 mvt très restreints mains et jambes                  9:18:32 mvt très restreints mains et des jambes                                                                             9:20:32 mvt de la tête, mains, jambes</t>
  </si>
  <si>
    <t xml:space="preserve">03:36:10: bouge les lèvres                                            3:37:4: lève l'épaule gauche à plusieurs reprises puis tremble un peu                                                       3:39:15: se balance de plus en plus fort </t>
  </si>
  <si>
    <t xml:space="preserve">ZOOM sur visage à 1:12:3  </t>
  </si>
  <si>
    <t xml:space="preserve">01:12: 3 bruit bizarre de la bouche en levant la main gauche                                                          01:20:33: mvt très restreints myocloniques répétés des mains et des jambes, Souffle à 1:20:57                            01:38:08 : lève la tête , bouge la main gauche et les jambes                     </t>
  </si>
  <si>
    <t xml:space="preserve">5:51:34 : mvt pieds et jambes puis se balance 3 foiset bouge le bras gauche et se rebalance en bougeant le bras gauche. Sursaute.                                                                       5:57:12: se balance légèrement plusieurs fois                                                 6:24:05: se balance plusieurs fois avec une amplitude restreinte puis donne un coup de pied </t>
  </si>
  <si>
    <t xml:space="preserve">TCSP éliminé car très restreint </t>
  </si>
  <si>
    <t xml:space="preserve">pointes-ondes (épilepsie)</t>
  </si>
  <si>
    <t xml:space="preserve">5:41:06:sursaute puis se balance, donn un coup au lit brutalement en se tournant vers la droite.                                       05:42:38: mvt répété de la main droite en se penchant vers la droite puis appuie de sa main gauche sur son bras droit et bouge son bras droit (la séquence se répète)                                                                               5:50:00baisse son bras droit et le tourne en se balançant une fois sur la droite                                        5:56:50:  mvt des jambes comme un sautillement.                  7:52:07grimace en levant les lèvres vers le nez.                                     8:01:00baisse son bras gauche en bougeant sa maindroite et sa jambe gauche</t>
  </si>
  <si>
    <t xml:space="preserve">4:00:44: mvt du bras droit                                         4:1:44: mvt brusque du bras droit et des doigts avec un mvt du bras gauche pour arrêter le mvt de la main droite                                                                                            4:3:33 sursaut corps entier, mvt brusque main droite puis mvt de l'index droit                                                   4:4:18 mvt fins des doigts de la main droite                                 4:7:40: mvt brusque main gauche puis droite et balacement vers la gauche avec les jambes                  5:28:40: mvt fins de doigts main droite puis se touche le visage avec le pouce et refait des mvts fins                      5:29:17: mvt des doigts de la main droite et mvt brusque de tout le corps                                                       5:35:12 mvt main droite puis gauche pas très visible et  pas reconnaissable                                              5:37:06 mvt fin de la main droite : tourne sa main                   5:38:06: mvt des deux jambes et de la main droite                5:47:10:  vocalisation : héhé ? rire ?                                         5: 48:39: mvt bras droit puis sursaut tout le corps . Mvt pouce main droite  et continueavec des mvts fins de ses doigts de la main droite                                   5:50:15: mvt fins des doigts main droite                                       5:51:05: mvt des doigts main droite et décale sa main               5:54:31: mvt brusque de la main droite                             5:58:07: mvt jambe gauche , mvt bref épaue gauche (3s)                                                                                                   6:00:43: mvt bras droit puis main droite (doigts)                        6:04:50: rire? + mvt balancement axiaux tronc et bras. Puis mt pied droit                                                            7:32:10: mvt main droite tapote 2x puis mvt brusque  bras droit                                                                                       7:36:14: mvts fins répétitifs des doigts main droite (comme si elle palpait qq chose) et mvt bras gauche                      du coude                                                                                                      7:39:11: vocalisation breve "mm" accompagnée d'un mvt des doigts main droite                                                               7:40:20: mvt bras gauche                                                          7: 49:16: rire avec mvt bras gauche et pieds                                                    7:49:53: mvts rotation de la main droite  puis mvt plus brusque du bras droit et des jambes                                                                                                                                                             </t>
  </si>
  <si>
    <t>PF133</t>
  </si>
  <si>
    <t xml:space="preserve">02:23:40: mvt répétitif des deux jambes            5:21:31: mvt très restreints de tout le corps puis mvt axial main gauche  ensuite vers 5:21:56 mvt brusque des jambes et de la main gauche</t>
  </si>
  <si>
    <t xml:space="preserve">04:35:00:  sursaut corps entier puis crie fort "Au secours, c'est le même(x2) "  puis incompréhensible puis "arrete pas, arrete non!"                      4:40:20: clonie corps entier                                         4:42:39: mvt jambe                                                                       4:46:00 COUP DE POINg avec sa main droite , puis 2 jambes et mvt tout le corp et cri : "oh ... t'es malade, " tu peux pas attendre connasse ... 2 coups de poing "...tu peux la coller ? "                                                     4:49:35: mvt répétitifs des pieds               </t>
  </si>
  <si>
    <t xml:space="preserve">1:28:56: coup de poing droit sous le drap et mvt jambes                                                                                 1:38:39: mvt brusque de la main gauche : soulève  et bouge la tête                                                 1:44:37: coup de poing main droite brusque sous le drap                                                                           1:46:33: mvt de la tête et des bras                                         1:47:31: mvt  lent  restreint de la tête et de tout le corps puis sursaut brusque                                            4:2:31 : mvt main gauche 2 fois (amplitude restreinte)                                                                                4: 4: 1: mvt doigts main gauche et  aussi de la main droite sous le drap puis mvt de main gauche (attrape de drap)                                                                 4:12:32: mvt main gauche                                                          4:19:20: mvt doigts de la main gauche : pouce puis mvt du bras et apres index                                       4:21: 53: mvt main gauche puis sursaut corps entier                                                                                                          4:22:31: mvt doigts main gauche: index puis majeur                                                                                          4:24:31: mvt tout le corps:mvt mains et  lève les jambes                                                                              4:58:49: mvt brusque des 2 bras                                               5:02:01: mvt main gauche lève son bras et le lache                                                                                                    5:05:24: mvt main gauche lent  de la poignée puis plus rapide.                                                                                   </t>
  </si>
  <si>
    <t xml:space="preserve">1:25:47: somniloquie (arrousal)                                      5:11:01 mvt complexe: attrape qq chose puis mvt des jambes et mvt du bras droit                         </t>
  </si>
  <si>
    <t xml:space="preserve">4:18:14: crie fort avec un mvt de la main droite                                                                       5:52:30: parle incompréhensible (3s)   (arousal)             </t>
  </si>
  <si>
    <t xml:space="preserve">EN ATTENTE</t>
  </si>
  <si>
    <t>mouvements</t>
  </si>
  <si>
    <t xml:space="preserve">distribution topographique</t>
  </si>
  <si>
    <t>vocalisation/langage</t>
  </si>
  <si>
    <t xml:space="preserve">manifestations émotionnelles </t>
  </si>
  <si>
    <t xml:space="preserve">manifestations végétatives</t>
  </si>
  <si>
    <t xml:space="preserve">type </t>
  </si>
  <si>
    <t>intensité</t>
  </si>
  <si>
    <t>Amplitude</t>
  </si>
  <si>
    <t>signification</t>
  </si>
  <si>
    <t>localisation</t>
  </si>
  <si>
    <t>type</t>
  </si>
  <si>
    <t xml:space="preserve">latéralité </t>
  </si>
  <si>
    <t>valence</t>
  </si>
  <si>
    <t xml:space="preserve">prosodie </t>
  </si>
  <si>
    <t>grimace</t>
  </si>
  <si>
    <t>rire</t>
  </si>
  <si>
    <t>pleurs</t>
  </si>
  <si>
    <t xml:space="preserve">modifications respiratoires</t>
  </si>
  <si>
    <t xml:space="preserve">sueurs (dermogramme)</t>
  </si>
  <si>
    <t xml:space="preserve">tachycardie </t>
  </si>
  <si>
    <t xml:space="preserve">Evenements élémentaires myocloniques (secousse,sursaut) </t>
  </si>
  <si>
    <t xml:space="preserve">Mouvements violents </t>
  </si>
  <si>
    <t xml:space="preserve">Mouvements Scéniques </t>
  </si>
  <si>
    <t xml:space="preserve">brusques /rapides</t>
  </si>
  <si>
    <t>lents</t>
  </si>
  <si>
    <t>répétitifs</t>
  </si>
  <si>
    <t>ample</t>
  </si>
  <si>
    <t>restreint</t>
  </si>
  <si>
    <t>indéterminée</t>
  </si>
  <si>
    <t xml:space="preserve">reconnaissable </t>
  </si>
  <si>
    <t>bras</t>
  </si>
  <si>
    <t>main</t>
  </si>
  <si>
    <t>jambe</t>
  </si>
  <si>
    <t>pied</t>
  </si>
  <si>
    <t>tronc</t>
  </si>
  <si>
    <t>face/tête</t>
  </si>
  <si>
    <t>BOUCHE</t>
  </si>
  <si>
    <t>axial</t>
  </si>
  <si>
    <t>sagittal</t>
  </si>
  <si>
    <t>coronal</t>
  </si>
  <si>
    <t>unilatéraux</t>
  </si>
  <si>
    <t>BILAT(symetriques)</t>
  </si>
  <si>
    <t>vocalisation</t>
  </si>
  <si>
    <t>compréhensible</t>
  </si>
  <si>
    <t>incompréhensible</t>
  </si>
  <si>
    <t>negative</t>
  </si>
  <si>
    <t>NEUTRE</t>
  </si>
  <si>
    <t>chante</t>
  </si>
  <si>
    <t>chuchote</t>
  </si>
  <si>
    <t>gémit</t>
  </si>
  <si>
    <t>cri</t>
  </si>
  <si>
    <t>grogner</t>
  </si>
  <si>
    <t xml:space="preserve">ton autoritaire</t>
  </si>
  <si>
    <t>soupire/souffle</t>
  </si>
  <si>
    <t xml:space="preserve">positive (sourire)</t>
  </si>
  <si>
    <t xml:space="preserve">negative (fronce sourcil)</t>
  </si>
  <si>
    <t>indeterminée</t>
  </si>
  <si>
    <t xml:space="preserve">Étudié avec Darryl (oui/non)</t>
  </si>
  <si>
    <t>identifiant</t>
  </si>
  <si>
    <t>Diagnostic</t>
  </si>
  <si>
    <t xml:space="preserve">Durée TCSP</t>
  </si>
  <si>
    <t>extrait/entier</t>
  </si>
  <si>
    <t>debut_RBD(s)</t>
  </si>
  <si>
    <t>fin_RBD(s)</t>
  </si>
  <si>
    <t xml:space="preserve">event respiratoire</t>
  </si>
  <si>
    <t xml:space="preserve">Nombre d'épisodes RDB </t>
  </si>
  <si>
    <t xml:space="preserve">simples </t>
  </si>
  <si>
    <t xml:space="preserve">Majeurs (saccade de l'ensemble du corps)</t>
  </si>
  <si>
    <t>stéréotypies</t>
  </si>
  <si>
    <t>mvt_elem_total</t>
  </si>
  <si>
    <t xml:space="preserve">coup de poing/pied</t>
  </si>
  <si>
    <t xml:space="preserve"> se redresse/sauter du lit </t>
  </si>
  <si>
    <t>fuite</t>
  </si>
  <si>
    <t>mvt_violent_total</t>
  </si>
  <si>
    <t>combat</t>
  </si>
  <si>
    <t xml:space="preserve">manipulation d'objet/autre</t>
  </si>
  <si>
    <t>jurons</t>
  </si>
  <si>
    <t>onomatopés</t>
  </si>
  <si>
    <t xml:space="preserve">phrases claires </t>
  </si>
  <si>
    <t>X</t>
  </si>
  <si>
    <t>non</t>
  </si>
  <si>
    <t>PARK</t>
  </si>
  <si>
    <t xml:space="preserve">video 1: parle en Arabe                                                            frappe et donne 2 coups de poing / Attrape quelque chose et  la jette                                               reparle (incompréhensible) grimace negative en parlant arabe                                                                                 cri "ah" et grogne"Rmmm"     crache             </t>
  </si>
  <si>
    <t>1min</t>
  </si>
  <si>
    <t>extrait</t>
  </si>
  <si>
    <t xml:space="preserve">apnée obstructive pendant le TCSP</t>
  </si>
  <si>
    <t xml:space="preserve"> vidéo 2:  rigole x2 et dit "euh eh"</t>
  </si>
  <si>
    <t xml:space="preserve">27s </t>
  </si>
  <si>
    <t xml:space="preserve">vidéo 1: parle d'un ton ferme (incompréhensibe) coup de pieds et frappe avec ses mains (défense ou attaque?)     </t>
  </si>
  <si>
    <t>25s</t>
  </si>
  <si>
    <t xml:space="preserve">negative </t>
  </si>
  <si>
    <t xml:space="preserve">video 2 clonie puis coup avec la jambe et parle (incompréhensible)                                                          coup avec la main                             </t>
  </si>
  <si>
    <t>56s</t>
  </si>
  <si>
    <t xml:space="preserve">video 3 mvt elementaire  de main gauche et coup de pied </t>
  </si>
  <si>
    <t xml:space="preserve">16s </t>
  </si>
  <si>
    <t xml:space="preserve">33s </t>
  </si>
  <si>
    <t>entier</t>
  </si>
  <si>
    <t xml:space="preserve">ronflements </t>
  </si>
  <si>
    <t xml:space="preserve">vidéo 1: clonie au niveau de la main-donne des coup avec la main- mouvements des jambes   puis souffle </t>
  </si>
  <si>
    <t xml:space="preserve">vidéo2 :                                                                      mouvements pieds et gémit "AH" en donnant un coup de coude </t>
  </si>
  <si>
    <t xml:space="preserve">17s </t>
  </si>
  <si>
    <t xml:space="preserve">video 001: mvt tete , rire et épaule gauche</t>
  </si>
  <si>
    <t>5s</t>
  </si>
  <si>
    <t xml:space="preserve"> vidéo 002: rigole et clonie  et des jambes                </t>
  </si>
  <si>
    <t>47s</t>
  </si>
  <si>
    <t xml:space="preserve"> vidéo003: coup de poing, chuchote et bouge des mains et desjambes   </t>
  </si>
  <si>
    <t>18s</t>
  </si>
  <si>
    <t xml:space="preserve">vidéo004: MYOCLONIE epaule droite et jambes    </t>
  </si>
  <si>
    <t>4s</t>
  </si>
  <si>
    <t xml:space="preserve">vidéo006: grimace et clonie épaule gauche </t>
  </si>
  <si>
    <t>14s</t>
  </si>
  <si>
    <t>oui</t>
  </si>
  <si>
    <t xml:space="preserve">EAI </t>
  </si>
  <si>
    <t xml:space="preserve">03:05:45 Sursaut                                                                                                                                                          </t>
  </si>
  <si>
    <t>3s</t>
  </si>
  <si>
    <t xml:space="preserve">04:21:41 fronce sourcil  </t>
  </si>
  <si>
    <t>2s</t>
  </si>
  <si>
    <t xml:space="preserve">04:23:09 stereotypiesde la bouche? Grimace indeter</t>
  </si>
  <si>
    <t xml:space="preserve"> vidéo1: mouvements des jambes                                                    ferme les yeux plus fort et fait une grimace DE LA BOUCHE x2  en levant les doigts et l'épaule droite                                                                                                                                      </t>
  </si>
  <si>
    <t>2min</t>
  </si>
  <si>
    <t xml:space="preserve">désat vers la fin du TCSP</t>
  </si>
  <si>
    <t xml:space="preserve">vidéo 2: à 00:19  mouvements cloniques (jambes et bras) et referme les yeux</t>
  </si>
  <si>
    <t xml:space="preserve">vidéo 3  00:16 stereotypies distales (pieds)(pédale?) </t>
  </si>
  <si>
    <t>23s</t>
  </si>
  <si>
    <t xml:space="preserve">vidéo 4: clonie de tout le corps puis interjection? HAUSSE LES SOURCILS ET IL A PEUR</t>
  </si>
  <si>
    <t>37s</t>
  </si>
  <si>
    <t xml:space="preserve">mouvements/contractions bruques de tout le  avec mvt de la bouche en soufflant</t>
  </si>
  <si>
    <t>20s</t>
  </si>
  <si>
    <t xml:space="preserve">arousal non spécifique pdt TCSP</t>
  </si>
  <si>
    <t xml:space="preserve">Vidéo 1: mouvements des bras recroquevillés- chuchote et  coup de poing au lit   </t>
  </si>
  <si>
    <t xml:space="preserve">vidéo2: "mmhumum" et 2 coups de poings dans l'air  en parlant 'incompréhensible'</t>
  </si>
  <si>
    <t>21s</t>
  </si>
  <si>
    <t xml:space="preserve">chuchote avec un sourire en bougeant ses jambes et les bras</t>
  </si>
  <si>
    <t>9s</t>
  </si>
  <si>
    <t xml:space="preserve">vidéo1: myoclonie corps entier</t>
  </si>
  <si>
    <t xml:space="preserve">N2  mais on pense que c'est SP</t>
  </si>
  <si>
    <t xml:space="preserve">vidéo 002:                                                                                parle en se redressant sur son  coté droit" tu vas ranger ton fusi, toi?... wow , jte suis ah, tu peux..tu peux peut-être juste me reprocher de te tutoyer, moi je suis désolé hein. Tu ranges ce fusi sinon je monte sur le toit, t'as compris? "(avec un ton ferme)  et il monte sur la barrière du lit et tombe. </t>
  </si>
  <si>
    <t>28s</t>
  </si>
  <si>
    <t xml:space="preserve">mouvement restreint de la jambe droite et parle incompréhensible </t>
  </si>
  <si>
    <t>8s</t>
  </si>
  <si>
    <t>11s</t>
  </si>
  <si>
    <t xml:space="preserve">video 000: parle/ chuchote en levant la tête et en bougeant les mains et la jambe droite  "Il a eu raison hein! "</t>
  </si>
  <si>
    <t>15s</t>
  </si>
  <si>
    <t xml:space="preserve">vidéo001:                                                                             "héhé" en sursautantant et en se levant </t>
  </si>
  <si>
    <t>10s</t>
  </si>
  <si>
    <t xml:space="preserve">eveil derriere </t>
  </si>
  <si>
    <t xml:space="preserve">01:19:19 clonie pieds  puis mains et tête - puis crie                                                                      </t>
  </si>
  <si>
    <t xml:space="preserve">01:20:20 mvt des mains et du corps entier </t>
  </si>
  <si>
    <t>30s</t>
  </si>
  <si>
    <t xml:space="preserve">à 01:23:00 stéréotypies des jambes                                                             pédale  </t>
  </si>
  <si>
    <t xml:space="preserve">01:27:00 mvt brusques des jambes. Il les lèvent vers le haut et refait plus brutalement en bougeant les mains , la tête avec et souffle </t>
  </si>
  <si>
    <t xml:space="preserve">01:29:37 MVT BOUCHE mvt des jambes et des mains( manipule les fils)  Fin à 1:30:27</t>
  </si>
  <si>
    <t>50s</t>
  </si>
  <si>
    <t xml:space="preserve">01:31:38 mvt des mains, manipule les fils et sursaut de l'épaule gauche 2 fois (mvt des doigts)</t>
  </si>
  <si>
    <t xml:space="preserve">01:33:19 mvt simple: baisse la main droite </t>
  </si>
  <si>
    <t xml:space="preserve">01:34:30 mvt des doigts main droite puis mvt de la main </t>
  </si>
  <si>
    <t xml:space="preserve">03:39:08 chuchote jusqu'à 03:39:22 puis mvt main puis jambe et mvt main vers le haut comme s'il attrapait quelque chose avec sa main droite </t>
  </si>
  <si>
    <t xml:space="preserve">1min 13s</t>
  </si>
  <si>
    <t xml:space="preserve">03:48:21 mvt brusque de bras gauche , tête , main plus unilateral </t>
  </si>
  <si>
    <t xml:space="preserve">03:50:22 mvt elementaire mains (doigts) et  jambe gauche </t>
  </si>
  <si>
    <t>35s</t>
  </si>
  <si>
    <t xml:space="preserve">03:54:01  mvt bras et main droite</t>
  </si>
  <si>
    <t xml:space="preserve"> 03:57:31   Mvt mains (doigts) mouvements du bras droit et Les jambes , lève et baisse le bras droit fin à 3h58:54</t>
  </si>
  <si>
    <t xml:space="preserve">1min 23s</t>
  </si>
  <si>
    <t xml:space="preserve">04:00:00 :mvt de la bouche  mvt myoclonies jambe et main droite  </t>
  </si>
  <si>
    <t xml:space="preserve">1min 38s</t>
  </si>
  <si>
    <t xml:space="preserve">04:02:10  myoclonies mains et jambes et corps entier</t>
  </si>
  <si>
    <t xml:space="preserve">04:03:39 mvt doigts de la main droite puis saccade corps entier et tête</t>
  </si>
  <si>
    <t xml:space="preserve">04:07:31 mvt myocloniques des mains</t>
  </si>
  <si>
    <t xml:space="preserve">04:08:47 mvt des mains (doigts) et  mache / mvt de la bouche </t>
  </si>
  <si>
    <t>26s</t>
  </si>
  <si>
    <t xml:space="preserve">04:09:38 mvt myocloniques des mains</t>
  </si>
  <si>
    <t xml:space="preserve">05:42:39 :   myoclonies puis bouge les jambes et donne un coup de coude avec ses mains croisées (5h43:20)</t>
  </si>
  <si>
    <t xml:space="preserve">1min 19s</t>
  </si>
  <si>
    <t xml:space="preserve">05:43:50   souffle se retourne 2 fois de côté et garde les jambes levées </t>
  </si>
  <si>
    <t xml:space="preserve">05:47:00 myoclonies des mains puis jambes </t>
  </si>
  <si>
    <t xml:space="preserve">2min 30s </t>
  </si>
  <si>
    <t xml:space="preserve">05:54:00 mvt elementaires mains et jambes</t>
  </si>
  <si>
    <t xml:space="preserve">05:55:27 mvt elementaire lève le bras  puis clonie </t>
  </si>
  <si>
    <t xml:space="preserve">05:56:04 mache de la bouche  jusqu'à 6h:00  , mvt scénique lève les jambes, bcp de myoclonies et mvt de la main droite (écrit? ) </t>
  </si>
  <si>
    <t xml:space="preserve">3min 55s</t>
  </si>
  <si>
    <t xml:space="preserve">06:02:46 : mvt de la bouche puis mvts mains fin à 6h04:17 </t>
  </si>
  <si>
    <t>31s</t>
  </si>
  <si>
    <t xml:space="preserve">06:09:42 mvt BRUTAL de la main gauche jusqu'à 6:10:21 ? Coup de poing ?  Continue avec mvt de la main droite (écrit ?) et mvt élémentaire main gauche fin à 6h11:16 </t>
  </si>
  <si>
    <t>1min34s</t>
  </si>
  <si>
    <t xml:space="preserve">02:18:00 mvt elem tronc et tête puis mvt bouche</t>
  </si>
  <si>
    <t xml:space="preserve">02:20:00 stereotypies tête et pieds </t>
  </si>
  <si>
    <t xml:space="preserve">02:21:01 stéréotypies de la tête et des pieds                          -mouvements des jambes et parle (incompréhensible)                                                                     retourne la tête et chuchote.         fin à 2:22:04                                                                                                                                                                                                                                                                                                                                                                                                                                                               </t>
  </si>
  <si>
    <t>1min03s</t>
  </si>
  <si>
    <t xml:space="preserve">02:22:17 sursaute et donne des coups dans les draps  avec ses pieds et ses mains (se défend?)                        parle  d'un ton ferme (incompréhensible) fin 2:23:18</t>
  </si>
  <si>
    <t>1min01s</t>
  </si>
  <si>
    <t xml:space="preserve">02:24:30 sourit et parle (incompréhensible) de façon plus calme en espagnol   </t>
  </si>
  <si>
    <t xml:space="preserve">02:25:30 parle en mastiquant  donne des coups et chuchote   </t>
  </si>
  <si>
    <t xml:space="preserve">02:26:00  reparle calmement                                                                      rigole en se tapant les mains. Mouvements du pied droit                                                                               stéréotypies mains et relève les jambe en essayant d'attraper quelque chose        </t>
  </si>
  <si>
    <t xml:space="preserve">02:32:00 "cri : à droite à droite, juste devant toi, tout droit là"                                                                                chuchote en attrappant quelque chose  fini 2:33:53</t>
  </si>
  <si>
    <t>1min53s</t>
  </si>
  <si>
    <t xml:space="preserve">02:37:00 mouvements pieds , se relève et tourne sa main dans l'air et parle (incompréhensible) sourit</t>
  </si>
  <si>
    <t xml:space="preserve">04:07:00 frappe la barrière du lit  </t>
  </si>
  <si>
    <t xml:space="preserve">05:58:15 on dirait qu'il tape dans un ballon avec son pied et puis dit en souriant "Ah! ah merde!" video 005</t>
  </si>
  <si>
    <t xml:space="preserve">06:04:15 rigole beaucoup puis dit 'mira'. Video 006</t>
  </si>
  <si>
    <t xml:space="preserve">06:08:50 donne des coups de poings dans l'air                                                      </t>
  </si>
  <si>
    <t xml:space="preserve">06:12:38 rigole beaucoup en parlant en espagnol fin 13:50   fin à 6:14:46</t>
  </si>
  <si>
    <t>2min08</t>
  </si>
  <si>
    <t xml:space="preserve">06:17:00 coups de pieds et coup dans l'air avec la main  (drap)  </t>
  </si>
  <si>
    <t>TILE</t>
  </si>
  <si>
    <t xml:space="preserve">08:22:16 "je te parle"  d'un ton autoritaire</t>
  </si>
  <si>
    <t xml:space="preserve">12s </t>
  </si>
  <si>
    <t xml:space="preserve">01:00:34 mvt elementaires mains et jambe gauche </t>
  </si>
  <si>
    <t xml:space="preserve">13s </t>
  </si>
  <si>
    <t xml:space="preserve">01:02:41 mvt elementaire jambe et pied gauche </t>
  </si>
  <si>
    <t xml:space="preserve">04:41:01 : mvt bref de la tete </t>
  </si>
  <si>
    <t xml:space="preserve">04:45:19 mouvements brefs et lents de la tête (ouvre les yeux) et du pied.                                                                                                                                                               </t>
  </si>
  <si>
    <t xml:space="preserve">04:47:05 mvt du pied et de la jambe gauche +main gauche</t>
  </si>
  <si>
    <t xml:space="preserve">04:50:48 chuchote puis mvt de la bouche  puis mvt main et jambe droite</t>
  </si>
  <si>
    <t>36s</t>
  </si>
  <si>
    <t xml:space="preserve">06:06:21 mvt elementaire jambe gauche</t>
  </si>
  <si>
    <t>6s</t>
  </si>
  <si>
    <t xml:space="preserve">06:57:00 sourit puis mouvements du braset de la jambe gauche    </t>
  </si>
  <si>
    <t xml:space="preserve">30s </t>
  </si>
  <si>
    <t xml:space="preserve">parle à 06:57:52 en mettant sa main  en l'air  (et attrape un objet )  puis s'étire                                                                                                   "mais arrete!non arrete arrete arrete  Non c'est bon" </t>
  </si>
  <si>
    <t xml:space="preserve">06:59:12 sourit et saccade tout le corps </t>
  </si>
  <si>
    <t xml:space="preserve">4s </t>
  </si>
  <si>
    <t xml:space="preserve">07:01:31 dégluti  puis pause puis claque des doigts  </t>
  </si>
  <si>
    <t>7s</t>
  </si>
  <si>
    <t xml:space="preserve">08:45:37 sourire 8:46:06 mouvements jambe droite,bras et tête et bouche                                     </t>
  </si>
  <si>
    <t xml:space="preserve">24s </t>
  </si>
  <si>
    <t xml:space="preserve">video 1:mvt de la bouche et mvt elem jambe D, main et bras puis sursaut de tout le corps et mvt fins des doigts</t>
  </si>
  <si>
    <t>43s</t>
  </si>
  <si>
    <t xml:space="preserve">vidéo 2: sourit en tapant des mains sur le drap, mvt bouche , manipule le doudou et met son doigt dans le nez                                                        </t>
  </si>
  <si>
    <t xml:space="preserve">vidéo 3: lève l'index brusquement en l'air comme un pistolet puis chuchote: mvt de la bouche ! puis se couvre le visage avec ses deux bras  </t>
  </si>
  <si>
    <t xml:space="preserve">vidéo 4 : mvt de la bouche, sourit et chuchote en se balançant 2fois (vole)à doite et à gauche en souriant </t>
  </si>
  <si>
    <t xml:space="preserve">video1  : 05:56:35                                                                                                       rigole mais on voit pas son visage et bouge la jambe gauche et la tête                                                                                                      </t>
  </si>
  <si>
    <t xml:space="preserve">apnée obstructive pdt le TCSP</t>
  </si>
  <si>
    <t xml:space="preserve">vidéo 2 mouvements élémentaires : tête et jambes</t>
  </si>
  <si>
    <t xml:space="preserve">vidéo 1 : rigole beaucoup et bouge les jambes, les pieds et la tête  plus mouvements du bras droit    </t>
  </si>
  <si>
    <t>57s</t>
  </si>
  <si>
    <t xml:space="preserve">desat pdt TCSP</t>
  </si>
  <si>
    <t xml:space="preserve"> vidéo 2: sursaute en parlant (incompéhensible)</t>
  </si>
  <si>
    <t xml:space="preserve">vidéo 3 : mvts élaborés indeterminés</t>
  </si>
  <si>
    <t xml:space="preserve">desat pdt TCSP + hypopnée</t>
  </si>
  <si>
    <t xml:space="preserve">vidéo4: mvts élaborés indeterminés</t>
  </si>
  <si>
    <t xml:space="preserve">vidéo5: mvts élaborés indeterminés en souriant avec onomatopée</t>
  </si>
  <si>
    <t>27s</t>
  </si>
  <si>
    <t xml:space="preserve">vidéo 6 :rigole en levant le bras vers le haut puis en cachant sa bouche </t>
  </si>
  <si>
    <t>16s</t>
  </si>
  <si>
    <t xml:space="preserve">zoom sur visage</t>
  </si>
  <si>
    <t xml:space="preserve">vidéo 7 : "hahah , oh mon dieu!" avec mouvements orofaciaux   Elle tapote sur sa gorge </t>
  </si>
  <si>
    <t xml:space="preserve">vidéo 8 : sourit souffle dit ouais ,  et mouvements scéniques indéterminés des doigts et de la bouche</t>
  </si>
  <si>
    <t xml:space="preserve">03:11:37 saccade corps entier </t>
  </si>
  <si>
    <t xml:space="preserve">03:18:22 sursaut/clonie et bouge la jambe droite  3h:18:51 coup de pied et micromouvements                                                                                                                                      </t>
  </si>
  <si>
    <t>2min9s</t>
  </si>
  <si>
    <t xml:space="preserve">03:29:06 saccade de tout le corps répétée 2 fois</t>
  </si>
  <si>
    <t>24s</t>
  </si>
  <si>
    <t xml:space="preserve">07:49:20 mvt axiaux les jambes puis7h:50:38 lève ses 2 jambes et les baisse après    </t>
  </si>
  <si>
    <t xml:space="preserve">1min 34s</t>
  </si>
  <si>
    <t xml:space="preserve">désat pdt TCSP</t>
  </si>
  <si>
    <t xml:space="preserve">07:52:05 mvt des jambes elementaire, puis du tronc, lève la  jambe droite  et la repose en meme tps que mvt doigt de la main gauche</t>
  </si>
  <si>
    <t>58s</t>
  </si>
  <si>
    <t xml:space="preserve">07:53:32 mvt de la bouche puis des jambes </t>
  </si>
  <si>
    <t xml:space="preserve">07:58:32  stereotypies jambes et mvt mains et tronc </t>
  </si>
  <si>
    <t xml:space="preserve">08:00:32 mvt elem des jambes, de la bouche, des mains et du tronc</t>
  </si>
  <si>
    <t xml:space="preserve">08:01:55 lève la jambe et la baisse fin 8:02:02</t>
  </si>
  <si>
    <t xml:space="preserve">puis à 08:02:55 relève les 2 jambes et les baissent fin à 8:03:05</t>
  </si>
  <si>
    <t xml:space="preserve">08:05:20 mvt violent des jambes , des doigts des mains à 8:5:52 stereotypies des jambes et mvt doigts qu'il répète à 8:07:18</t>
  </si>
  <si>
    <t xml:space="preserve">1min 58s</t>
  </si>
  <si>
    <t xml:space="preserve">08:19:35 lève sa jambe G sur la droite et mvt des pieds, balance sa jambe puis la redescends doucement                            </t>
  </si>
  <si>
    <t>40s</t>
  </si>
  <si>
    <t xml:space="preserve">08:23:32 mvt brusques saccade tout le corps</t>
  </si>
  <si>
    <t xml:space="preserve">08:32:21 mvt elem du pied G </t>
  </si>
  <si>
    <t xml:space="preserve">02:24:00    lève le bras et bouge les lèvres en faisant un truc avec son pouce.                                                                                          </t>
  </si>
  <si>
    <t>1min30s</t>
  </si>
  <si>
    <t xml:space="preserve">02:28:30 mvt fin des doigts de la main droite</t>
  </si>
  <si>
    <t xml:space="preserve">désat après TCSP + hypopnée</t>
  </si>
  <si>
    <t xml:space="preserve">03:24:15 attrape des choses  avec grimace negative                                                  </t>
  </si>
  <si>
    <t>46s</t>
  </si>
  <si>
    <t xml:space="preserve">03:25:35 mvts elem des doigts </t>
  </si>
  <si>
    <t xml:space="preserve">03:27:30 grimace  , bouge la tête, le tronc, les bras,les mains et les jambes                                                              </t>
  </si>
  <si>
    <t xml:space="preserve">04:40:50 mvts elem des mains, jambe et tête + fronce les sourcils?</t>
  </si>
  <si>
    <t>1min40s</t>
  </si>
  <si>
    <t>x</t>
  </si>
  <si>
    <t xml:space="preserve">04:45:30 mvt elementaire de la main, jambe et pied droit puis brusque de la main droite et heurte la barrière du lit  en fronçant les sourcils puis à 4:46:31 puis clonies  et tape sagittal+ sourire 4: 46:51</t>
  </si>
  <si>
    <t>1min43s</t>
  </si>
  <si>
    <t xml:space="preserve">04:49:00 mvt coronal du tronc, des bras, des mains et des jambes</t>
  </si>
  <si>
    <t xml:space="preserve">04:50:12 mvt proximal des membres sup et inf </t>
  </si>
  <si>
    <t xml:space="preserve">04:53:21 attrape le drap,stereotypies des mains, de la jambe, des pieds et de la tête jusqu'à 4:55:00                                                                 </t>
  </si>
  <si>
    <t>1min39s</t>
  </si>
  <si>
    <t xml:space="preserve">06:04:45 stereotypies des mains </t>
  </si>
  <si>
    <t>45s</t>
  </si>
  <si>
    <t xml:space="preserve">06:15:30 baisse le bras gauche et mvt bref de la jambe gauche</t>
  </si>
  <si>
    <t xml:space="preserve"> 06:16:48             sourire  et mvts main droite  et jambes      6h:17:07    rigole jusqu'à 6:17:30</t>
  </si>
  <si>
    <t>48s</t>
  </si>
  <si>
    <t xml:space="preserve">06:18:00 stereotyies, mains (doigts)tronc, tête ? Écrit ?  À 6h20:30 baisse la bras  reprend les mvt subtils des jambes et des des mains comme s'il écrivait, lève l'index </t>
  </si>
  <si>
    <t xml:space="preserve">06:22:10 souffle et chuchote + mvts main gauche, tourne la tête, désigne qq chose, parle, souffle </t>
  </si>
  <si>
    <t>55s</t>
  </si>
  <si>
    <t xml:space="preserve"> 06:23:30 stereotypies mains  6h24 écrit (mvt de la main)   6h24:30 stéréotypies (mains)                                       6h:25:30                grimace negative 6:26:00  stereotypies jambes et mvt de tête</t>
  </si>
  <si>
    <t>3min</t>
  </si>
  <si>
    <t xml:space="preserve">06:27:34 stereotypies des mains, de la tête jusqu'à 6:29:30</t>
  </si>
  <si>
    <t>54s</t>
  </si>
  <si>
    <t xml:space="preserve">désat et hypopnée pdt TCSP</t>
  </si>
  <si>
    <t xml:space="preserve">07:44:00 jusqu'à 7:44:17 stereotypies du corps entier mains, jambes tête </t>
  </si>
  <si>
    <t xml:space="preserve"> 07:45:09        coup dans l'air                                                 7h45:31   stéréotypies des mains en l'air      fin à 7:45:50                                                                             </t>
  </si>
  <si>
    <t>41s</t>
  </si>
  <si>
    <t xml:space="preserve">07:46:31  sourit et attrape des choses  et des mvts scéniques avec les mains fin à 7:47:31 stereotypies des jambes et des mains           </t>
  </si>
  <si>
    <t xml:space="preserve">TCSP depression</t>
  </si>
  <si>
    <t xml:space="preserve">mvts elementaire du bras droit.  Sourit en même temps que des mvts elem du pied</t>
  </si>
  <si>
    <t xml:space="preserve">N1 + arousa non spé</t>
  </si>
  <si>
    <t xml:space="preserve">vidéo1: grimace  MYOCLONIE jambe et mains puis  chuchote                                                                                                                                                                                                                                                                                                                           </t>
  </si>
  <si>
    <t xml:space="preserve">vidéo 2: coup de poing latéral dans la barrière du lit en chuchotant  (00:00:15)</t>
  </si>
  <si>
    <t xml:space="preserve">vidéo3: clonie corps entier "ah"  avec grimace(00:00:15)</t>
  </si>
  <si>
    <t xml:space="preserve">hypopnée avant TCSP et arousal vers la fin du TCSP</t>
  </si>
  <si>
    <t xml:space="preserve">vidéo 4: mouvement bras gauche et chuchote "je ne pouvais pas.."</t>
  </si>
  <si>
    <t xml:space="preserve">hypopnée obs vers la fin du TCSP</t>
  </si>
  <si>
    <t xml:space="preserve">vidéo 5: clonies de la jambe et du pied , souffle, lève les bras pour toucher quelque chose ,  lève le pouce </t>
  </si>
  <si>
    <t xml:space="preserve">apnée centrale pdt TCSP</t>
  </si>
  <si>
    <t xml:space="preserve">vidéo 6:  chuchote puis myoclonie + parle incompréhensible en gémissant</t>
  </si>
  <si>
    <t>52s</t>
  </si>
  <si>
    <t xml:space="preserve">video 7: clonie corps entier + 'ah' +chuchote et souffle</t>
  </si>
  <si>
    <t xml:space="preserve">video 8: clonie tout le corps et lève le bras en chuchotant, mvt bouche</t>
  </si>
  <si>
    <t>garder</t>
  </si>
  <si>
    <t xml:space="preserve">couper qd arousal</t>
  </si>
  <si>
    <t xml:space="preserve">vidéo 9: chuchote et grimce negative  avec mvt de la bouche  et parle 'oh…AH' clonie mains jambes tête+ rigole   </t>
  </si>
  <si>
    <t xml:space="preserve">vidéo 10: sursaut (se protège?) et cri "oh"  et mastique</t>
  </si>
  <si>
    <t>1min6s</t>
  </si>
  <si>
    <t xml:space="preserve">vidéo 11: souffle et bouge les jambes et les pieds sous les draps  stereotypies ouis bras et tête aussi  et mvt bouche : mache</t>
  </si>
  <si>
    <t>1min15s</t>
  </si>
  <si>
    <t xml:space="preserve">hypopnée obstructive +désat pdt TCSP</t>
  </si>
  <si>
    <t xml:space="preserve">video 1: coup de poings dans la barrière du lit                                                      </t>
  </si>
  <si>
    <t xml:space="preserve">vidéo 2: parle à haute voix (incompréhensible) </t>
  </si>
  <si>
    <t xml:space="preserve">vidéo 3: myoclonies de la tête et des mains puis coup de poing et mouvements de bras répété  </t>
  </si>
  <si>
    <t xml:space="preserve">parle (incompréhensible) avec grimace negative et mouvements elementaires des bras </t>
  </si>
  <si>
    <t xml:space="preserve">parle (incompréhensible) et mouvements de la main gauche, (attrape quelque chose)</t>
  </si>
  <si>
    <t>38s</t>
  </si>
  <si>
    <t xml:space="preserve">N1 </t>
  </si>
  <si>
    <t xml:space="preserve">Sursaute et Cri (incompréhensible) puis"fonce,fonce ?"- mouvements hyperkinétiques (hausse des sourcils)</t>
  </si>
  <si>
    <t xml:space="preserve">désat au même temps que TCSP</t>
  </si>
  <si>
    <t xml:space="preserve">video1: mouvements bras -  Parle "arrete!" d'un ton neutre en bougeant le bras  et sourit -chuchote   mvt de la bouche mâche et souffle                                                          </t>
  </si>
  <si>
    <t xml:space="preserve">vidéo 2: Sursaute: clonie de tout le corps et chuchote</t>
  </si>
  <si>
    <t xml:space="preserve">vidéo 1: mouvements jambe droite et main  puis sourit x2 et  rigole beaucoup - bouge son bras droit  qui est coincé dans la barrière du lit et sa jambe et pied droits. Souffle "ah!" et lève ses sourcils x2</t>
  </si>
  <si>
    <t>2min27s</t>
  </si>
  <si>
    <t xml:space="preserve">vidéo2: 00:17:30 souffle, myoclonies des pieds, des jambes ,de la main droite et de la tête  puis parle en rigolant (1:15) lève ses sourcils</t>
  </si>
  <si>
    <t>1min27s</t>
  </si>
  <si>
    <t xml:space="preserve">1 A LA FOIS ELEM ET SCENIQUE/VIOLENT</t>
  </si>
  <si>
    <t xml:space="preserve"> mouvements rapides bras droit puis  Coup de coude au lit et se retourne du  coté droit </t>
  </si>
  <si>
    <t xml:space="preserve">WAKE + hypopnée obstructive</t>
  </si>
  <si>
    <t xml:space="preserve">video 1: mouvements des bras/mains  et sursaut                                                                frappe l'air avec sa main- cri à la fin</t>
  </si>
  <si>
    <t xml:space="preserve">vidéo2: mvts mains, rire ? </t>
  </si>
  <si>
    <t xml:space="preserve">vidéo 2: stéréotypies du bras droit puis des bras , clonie du corps entier et lève le coude:  se défend d'une attaque.  Stéréotypies distales  de la main</t>
  </si>
  <si>
    <t>4min52s</t>
  </si>
  <si>
    <t xml:space="preserve">apnée obstructive + désat pdt TCSP+arousal non spé</t>
  </si>
  <si>
    <t xml:space="preserve">02:07:31 stereotypies de la main droite</t>
  </si>
  <si>
    <t xml:space="preserve">02:14:31 mvt des mains, bras </t>
  </si>
  <si>
    <t xml:space="preserve">04:10:22 mvts des pieds puis mvts fins des mains et des pieds                                                                   </t>
  </si>
  <si>
    <t>44s</t>
  </si>
  <si>
    <t xml:space="preserve">04:12:31 mvt des doigts de la main (mvt scénique) , de la tête, pieds</t>
  </si>
  <si>
    <t xml:space="preserve">04:16:31 mvt simple du pied G</t>
  </si>
  <si>
    <t xml:space="preserve">04:19:08 stereotypies des jambes et des pieds</t>
  </si>
  <si>
    <t>32s</t>
  </si>
  <si>
    <t xml:space="preserve">hypopnée obstructive pdt TCSP</t>
  </si>
  <si>
    <t xml:space="preserve">04:20:31 stereotypies des pieds et des jambes puis se balance mvt tronc et tête </t>
  </si>
  <si>
    <t xml:space="preserve">2min </t>
  </si>
  <si>
    <t xml:space="preserve">arousal non spécifique + désat pdt TCSP</t>
  </si>
  <si>
    <t xml:space="preserve">06:50:30 stereotypies des peidset de la main d (doigts) mvt élaborés lève la main droite et chuchotee à 6:52:10</t>
  </si>
  <si>
    <t xml:space="preserve">désat +hypopnées obstructive pdt TCSP</t>
  </si>
  <si>
    <t xml:space="preserve">06:59:10 mvt doigts puis s'éveille </t>
  </si>
  <si>
    <t xml:space="preserve">apnée centrale et désat pdt TCSP</t>
  </si>
  <si>
    <t xml:space="preserve">07:00:25 chuchote mvts mains sagittal et souffle attrape quelque  chose  ? mvt scénique moto ? puis croise les mains et mvt axial des jambes et des pieds                                                                                                                                                                                                                                               </t>
  </si>
  <si>
    <t xml:space="preserve">apnée obs +désat pdt TCSP</t>
  </si>
  <si>
    <t xml:space="preserve">07:03:44 souffle et mvt des mains et des jambes</t>
  </si>
  <si>
    <t xml:space="preserve">désat avant TCSP</t>
  </si>
  <si>
    <t xml:space="preserve">07:08:00 mvt main et se balance plusieurs fois puis mvt pied à la fin mvt de la main, du bras </t>
  </si>
  <si>
    <t>3min30s</t>
  </si>
  <si>
    <t xml:space="preserve">arousal non spé, hypopnée et désat pdt TCSP</t>
  </si>
  <si>
    <t xml:space="preserve">07:49:00 mvt bras,mains(doigts), tronc, jambes, pieds, chuchote  puis à 7:49:40 met sa main à plat </t>
  </si>
  <si>
    <t xml:space="preserve">apnée obstructive, désat, apnée centrale</t>
  </si>
  <si>
    <t xml:space="preserve">07:59:00 myoclonies des mains, se balance légèrement qq fois et attrape quelque chose en l'air ? </t>
  </si>
  <si>
    <t xml:space="preserve">TCSP eremad60</t>
  </si>
  <si>
    <t xml:space="preserve">03:30:30 saccade corps entier puis mvts du bras et de la main gauche puis mvt élaboré scénique, touche le lit et tâte les draps puis se redresse complètement (se réveille) 3:34:02 (froncement de sourcil) mvts buccaux </t>
  </si>
  <si>
    <t xml:space="preserve">05:24:30 sursaut de tout le corps mvt des bras simples</t>
  </si>
  <si>
    <t xml:space="preserve">05:26:12 saccade de tout le corps, puis parle en disant "pourquoi? Non! " mvt tête, jambes, pieds, bras </t>
  </si>
  <si>
    <t xml:space="preserve">05:27:35 parle comme pleurait en disant: "appelle le chien là-bas, Tu comprends rien " avec une gimace  negative mvt de la main D </t>
  </si>
  <si>
    <t xml:space="preserve">08:02:00 mvt corps entier saccade : tête, pieds, jambes, main gauche</t>
  </si>
  <si>
    <t xml:space="preserve">08:04:54 fin à 8:11:08 : stereotypies des mains, des pieds , de la tête et chuchote. À 8:6:15  parle. À 8:7:35 dit "pourquoi mec?" avec mvt de la main , "pourquoi .. Incompréhensible"?  À 8:08:chuchote en bougeant la main et dit: " tu sais jte connais et incompréhensible" à8:10:00 ( éveil ? se gratte le visage puis se relève un peu en sagittal et chuchote 8:10:52: mvt scénique en fixant qq part les yeux ouverts)</t>
  </si>
  <si>
    <t>7min2s</t>
  </si>
  <si>
    <t xml:space="preserve">08:12:05  Relève la tête puis mvt main(doigts) et pieds à 8:12:38 :geste  du bras et de la main  en disant " viens par là" puis reparle incompréhensibe et souffle à la fin mvt de la bouche et fin à 8:13:10                                                                                   </t>
  </si>
  <si>
    <t>1min5sec</t>
  </si>
  <si>
    <t xml:space="preserve">08:14:14 chuchote et mvt main droite et doigts main gauche 8:15 rigole. 8:15:30 saccade puis 8:16:07 chuchote: fin à 8:17:00</t>
  </si>
  <si>
    <t>2min42</t>
  </si>
  <si>
    <t xml:space="preserve">08:17:43 mvt de la bouche jusqu'à 8:18:00</t>
  </si>
  <si>
    <t xml:space="preserve">08:18:31 mvt restreints bras et tronc,tete, manipule les droits avec la main gauche fini à 8:19:31</t>
  </si>
  <si>
    <t>1min1s</t>
  </si>
  <si>
    <t xml:space="preserve"> 08:24:20 se relève en sursaut en disant "hé! Hé" avec les bras en avant : mvt scénique (tête, mains, bras, tronc) sagittal </t>
  </si>
  <si>
    <t xml:space="preserve">08:28:09 se redresse et tourne la tete à gauche : mvt mains, bras, jambes,tronc, tête </t>
  </si>
  <si>
    <t xml:space="preserve">01:59:30 mouvement mains et tête, bouge son bras droit et le pose sur le bas du ventre et ouvre les yeux                           </t>
  </si>
  <si>
    <t xml:space="preserve">éveil ? OUI</t>
  </si>
  <si>
    <t xml:space="preserve">04:52:27 mvt pied + mvt épaule + mvt de la main D répétitif                                                                                                                                                                                                                                                                                       </t>
  </si>
  <si>
    <t xml:space="preserve">04:59:08 mvt des membres inf, tronc, membres sup, trblms mains droites, machonne, mvt main D, bassin restreint, myoclonies épaule D répétée fin à 5:1:41</t>
  </si>
  <si>
    <t>2min37s</t>
  </si>
  <si>
    <t xml:space="preserve">05:05:31 Mvt du pied léger puis se balance à 5:6:01 se balance puis 5:6:30 mvt des pieds </t>
  </si>
  <si>
    <t xml:space="preserve">désat et hypopnée obstructive pdt TCSP</t>
  </si>
  <si>
    <t xml:space="preserve">05:09:20 mouvements jambes et pieds : stéréotypies et coup de pied 5:10:12</t>
  </si>
  <si>
    <t xml:space="preserve">05:10:50 myoclonie tout le corps          </t>
  </si>
  <si>
    <t xml:space="preserve">05:22:45 mouvements de la bouche</t>
  </si>
  <si>
    <t xml:space="preserve">DEBUT CLASSIFICATION THESE</t>
  </si>
  <si>
    <t xml:space="preserve">03:15:40 mvt brusque de la main sous le drap puis attrape le drap avec main droite et frappe dans l'air? Jette qq chose 2fois fin à 3:16:42</t>
  </si>
  <si>
    <t>1min2s</t>
  </si>
  <si>
    <t xml:space="preserve">hypopnée mixte et désat pdt TCSP</t>
  </si>
  <si>
    <t xml:space="preserve">03:19:00 bouge les mains </t>
  </si>
  <si>
    <t xml:space="preserve">06:23:31 parle incompréhensible et rit puis lève le bras pour se gratter l'oeil et souffle</t>
  </si>
  <si>
    <t xml:space="preserve">06:24:23 mvt de tete  mvt complexe main droite  </t>
  </si>
  <si>
    <t xml:space="preserve">06:26:37 mvt élaboré des mains et de la tete, de la jambe G puis continue mvt des doigts   </t>
  </si>
  <si>
    <t xml:space="preserve">06:34:20 mvt de la main droite puis parle incompréhensible  jusq'à 6:35:29    </t>
  </si>
  <si>
    <t>1min9s</t>
  </si>
  <si>
    <t xml:space="preserve">Hypopnée et désat pdt TCSP </t>
  </si>
  <si>
    <t xml:space="preserve">06:37:06 : mvt scenique bras/main puis lève les jambes,pieds, tronc! À 6:37:48  lève le bras ? Montre qq chose ?  Fin à 6:38:00</t>
  </si>
  <si>
    <t xml:space="preserve">arousal cortical + désat+hypopnée obstructive</t>
  </si>
  <si>
    <t xml:space="preserve">06:38:31 parle et tapote avec sa main droite 2 fois </t>
  </si>
  <si>
    <t xml:space="preserve">06:46:27 mvt fins des doigts </t>
  </si>
  <si>
    <t>hypopnée</t>
  </si>
  <si>
    <t xml:space="preserve">04:15:30 mache: mvt de la bouche et myoclonies de la main D</t>
  </si>
  <si>
    <t>29s</t>
  </si>
  <si>
    <t xml:space="preserve">04:22:05 mvt de la bouche : mache mvt bref de la maindroite très bref</t>
  </si>
  <si>
    <t xml:space="preserve">05:34:13 mvt du bras, mainG et tronc et jambe (unilat) </t>
  </si>
  <si>
    <t xml:space="preserve">05:39:38 jusqu'à 5:40:24s mvt des mains indeter</t>
  </si>
  <si>
    <t>1min3s</t>
  </si>
  <si>
    <t xml:space="preserve">05:42:35 : mvt indeter de la main  G           </t>
  </si>
  <si>
    <t>39s</t>
  </si>
  <si>
    <t xml:space="preserve">05:44:41  mvt main gauche et parle incompréhensible puis chuchote  + tete              </t>
  </si>
  <si>
    <t>22s</t>
  </si>
  <si>
    <t xml:space="preserve">AMELINE PAS DACCORD QU'il PARLE ( a mis gémit)</t>
  </si>
  <si>
    <t xml:space="preserve">05:46:45 sourit  05:47:00: bouge la tête Le bras gauche  et bouge  les jambes puis sourit et parle à 5:47:30   (long TCSP)  et rigole       FIN 5:48:30                                                    </t>
  </si>
  <si>
    <t>1min45s</t>
  </si>
  <si>
    <t xml:space="preserve">05:49:22 machonne, mvt fins des doigts de la main gauche </t>
  </si>
  <si>
    <t xml:space="preserve">07:16:40 mouvement lent des bras (bras gauche surtout)  main droite indeter                                  </t>
  </si>
  <si>
    <t xml:space="preserve">                                                                                                                                                                                                                      7:19:05  mouvement indeter lent des bras (bras gauche surtout) et des jambes.                                 un coup de poing  latéral  à 7h20:23 puis 1 autre vers l'avant à 7:20:30     fin 7:22:48                                                                                                                                                                                                                                                                                                                                                               </t>
  </si>
  <si>
    <t>3min40</t>
  </si>
  <si>
    <t xml:space="preserve">07:23:27 myoclonie membre sup Gauche puis 2 bras et la tete</t>
  </si>
  <si>
    <t xml:space="preserve">07:30:54 gratte/écrit avec sa main droite fin à 7:31:38    mvt de tete , myoclonies jambes           </t>
  </si>
  <si>
    <t xml:space="preserve">vidéo1: sursaute et pousse les mains au ciel en criant.  Avec froncement de sourcils                                                                                                                                                                          </t>
  </si>
  <si>
    <t xml:space="preserve">Vidéo 2: joue du piano en ouvrant et fermant la bouche et en levant ses jambes </t>
  </si>
  <si>
    <t xml:space="preserve">vidéo 3: parle : mvt main droite, puis parle"eh!" et  fait un bruit de la bouche  et après il lève la tête et se relève un peu avec grimace negative ? et la tourne vers la gauche </t>
  </si>
  <si>
    <t xml:space="preserve">hypopnée pdt TCSP et desat</t>
  </si>
  <si>
    <t xml:space="preserve">vidéo 4: lève la main droite au ciel et attrappe quelque chose  lève sa jambe gauche et dit "pourquoi moi"                                    </t>
  </si>
  <si>
    <t xml:space="preserve">05:12:31 : bouge le bras droit et heurte le lit et bouge le pied droit  et il frappe une 2eme fois avec sa main droite la barrière du lit puis bouge la tête                             </t>
  </si>
  <si>
    <t xml:space="preserve">hypopnée pdt TCSP</t>
  </si>
  <si>
    <t>?????</t>
  </si>
  <si>
    <t xml:space="preserve">02:26:50 mvt corps entier (jambes, mains, tête se retourne à gauche ) mouvement main gauche  : lève son bras et s'essuit la bouche puis bouge les lèvres(souffle)                                                            </t>
  </si>
  <si>
    <t xml:space="preserve">02:00:12 mvt fin de main G, puis 2 M machonne, myocloniedes bras</t>
  </si>
  <si>
    <t xml:space="preserve">02:02:12 grimace puis pleure jusqu'à 2:03          2:03:40: mouvements indéterminés des mains : écrit? rictus, bouge la jambe gauche, mouvement de la tête , puis mvt brusque bras et jambes puis crie 2 fois parole indéterminée. fin à 2:04:23                                           2:05:00: gémit et mouvement brusque tout le corps et la tête aussi 2:6:34  2:05:38: sursaute et bouge le bras gauche suite du TCSP à 2:06:00 bouge les jambes brusquement 2 fois et la 3eme fois mouvement plus visible avec les bras (violent) puis croise les mains fin à 2:6:17s</t>
  </si>
  <si>
    <t>4min2s</t>
  </si>
  <si>
    <t xml:space="preserve">02:07:00 : chuchote en bougeant la tête à G et D puis parle en disant " w rahmet mimti laaziza  wrahmet mimti la nrawah walah allah yarhamha." avec mouvemnt de la main droite  et bras gauche en essayant de se lever (15sec)</t>
  </si>
  <si>
    <t xml:space="preserve">02:08:15 mvt des doigts des mains, tete et machonne</t>
  </si>
  <si>
    <t xml:space="preserve">02:10:27 grimace : ouvre la bouche et ferme les yeux en tapant doucement avec sa main gauche (3sec) suite du TCSP chuchote et 2:10:48 Parle:incompréhensible jusqu'à 2h11:00 HAUSSE LES SOURCILS PLSRS FOIS                              </t>
  </si>
  <si>
    <t xml:space="preserve">02:11:32 mvts indeterminés des mains et ouvre les yeux en bougeant la tête  et parle incomprehensible grogne.                                               </t>
  </si>
  <si>
    <t xml:space="preserve">06:57:31 hausse le sourcil et mvt simple bras et main </t>
  </si>
  <si>
    <t xml:space="preserve">06:58:23 mastique puis sursaut et frappe avec son bras droite  fin 6:58:44 gémit, mvt tete vers G</t>
  </si>
  <si>
    <t xml:space="preserve">07:00:23 chante et fait une grimace negative  7:01:02: TCSP violent: frappe avec son bras droit  et mastique en tournant la tete puis chuchote incompréhensible           fin 7:2:23                                                                       </t>
  </si>
  <si>
    <t>2min05s</t>
  </si>
  <si>
    <t xml:space="preserve">désat avant et après TCSP</t>
  </si>
  <si>
    <t xml:space="preserve">07:02:43  mvt des mains, hausse les sourcils, puis onomatopée puis tete </t>
  </si>
  <si>
    <t xml:space="preserve">07:04:31 froncement de sourcils, mvt main D et mvt main G en battement , ouverture et mvts buccaux. Puis s'éveille</t>
  </si>
  <si>
    <t xml:space="preserve">arousal à la fin du TCSP</t>
  </si>
  <si>
    <t xml:space="preserve">07:07:01 doigts de main G, fronce sourcils, mvts pied et tete, myoclonie bras D et s'éveille</t>
  </si>
  <si>
    <t xml:space="preserve">07:09:06 machonne, chuchote, froncement de sourcils, mvts doigts main G, léche qq chose ? </t>
  </si>
  <si>
    <t xml:space="preserve">07:11:48 gémit, ouvre les yeux, parle incompréhensible, mvt des 2 mains, myoclonie tete, attrape les draps</t>
  </si>
  <si>
    <t xml:space="preserve">ok garder</t>
  </si>
  <si>
    <t xml:space="preserve">TCSP PAS DE VEILLE </t>
  </si>
  <si>
    <t xml:space="preserve">10:06:14 : bouge la main droite et tourne la tête, avant qu'il n'ouvre les yeux pour fixer un point en haut à gauche-  10h0625</t>
  </si>
  <si>
    <t xml:space="preserve">éveil ????</t>
  </si>
  <si>
    <t xml:space="preserve">04:23:31 bouge les mains et les jambes puis lève la main gauche jusqu'à 4:24:23 puis à 4:24:31 mvt brusque des jambes  (se débat avec une grimace negative) tourne la tête et gémit ? PLEURE ? et bouge les mains fin 4:25:30</t>
  </si>
  <si>
    <t>2min39s</t>
  </si>
  <si>
    <t xml:space="preserve">04:27:00 mvts brusques elle suraute </t>
  </si>
  <si>
    <t xml:space="preserve">04:33:17 tourne la tête et bouge un peu ses jambes puis chuchote. Mvt jambe gauche sursaute et fait un bruit en chuchotant et en souriant. rigole.  Fin 4:34:21                                             </t>
  </si>
  <si>
    <t xml:space="preserve">1min 12s </t>
  </si>
  <si>
    <t xml:space="preserve">hypopnée en même temps puis desat lors du rire  </t>
  </si>
  <si>
    <t xml:space="preserve">04:35:44 sursaute en gémissant  puis chuchote                                                                        </t>
  </si>
  <si>
    <t xml:space="preserve">48s </t>
  </si>
  <si>
    <t xml:space="preserve">04:37:05 cri 2 fois                                                         </t>
  </si>
  <si>
    <t xml:space="preserve">désat' pdt TCSP</t>
  </si>
  <si>
    <t xml:space="preserve">04:39:18 parle et pleure (18sec)                            </t>
  </si>
  <si>
    <t xml:space="preserve">04:40:31 grimace negative, mouvement de la tête, des jambes et des mains coup de poing (sous les draps)     et de la bouche 4:42:31: parle incompréhensible  fin tcsp à 4:43:00                  </t>
  </si>
  <si>
    <t>2min30s</t>
  </si>
  <si>
    <t xml:space="preserve">04:43:22 chuchote avec grimace et se débat avec le drap. puis lève la jambe gauche brusquement et sursaute; 4:44:22 coup de poing main droite dans le drap fin 4:44:30</t>
  </si>
  <si>
    <t xml:space="preserve">1min 8s</t>
  </si>
  <si>
    <t xml:space="preserve">désat en meme temps que début et pdt TCSP et hypopnée pdt TCSP</t>
  </si>
  <si>
    <t xml:space="preserve">04:45:35 lève jambe droite (3sec)                 </t>
  </si>
  <si>
    <t xml:space="preserve">04:48:48 : mvt violent avec les jambes et les mains (se défend)  avec vocalisation "hein hein"   puis coup de pied             </t>
  </si>
  <si>
    <t xml:space="preserve">désat avant et pdt TCSP</t>
  </si>
  <si>
    <t xml:space="preserve">04:50:16 : se débat (mvt brusque des jambes) et crie 2 fois en tournant la tête. chuchote puis crie, coup de poing main droite en esseyant de se relever. relève les jambes et joint ses mains sous le draps, grimace negative (fin 4:52:16)                                    </t>
  </si>
  <si>
    <t xml:space="preserve">04:56:45 crie et pleure                 fin 4:57:18                          </t>
  </si>
  <si>
    <t>34s</t>
  </si>
  <si>
    <t xml:space="preserve">désat en meme temps que début TCSP</t>
  </si>
  <si>
    <t xml:space="preserve">04:58:16 tourne la tête et parle incompréhensible                                                      </t>
  </si>
  <si>
    <t xml:space="preserve">05:01:56 mvt brusquedes jambes , parle incompréhensible, grimace negative, sursaute en tournant la tête  </t>
  </si>
  <si>
    <t xml:space="preserve">05:03:20 sursaut mvt main, jambes  puis dit "eh" négatif (entre le pleure et le cri)     (comme si elle se défend avec ses mains)                                          </t>
  </si>
  <si>
    <t xml:space="preserve">05:16:03 chuchote  avec mvt très restreints et simples de la main et des jambes                                                       </t>
  </si>
  <si>
    <t xml:space="preserve">07:37:39 mvt main droite puis sursaut global avec mvt brusque des jambes                   </t>
  </si>
  <si>
    <t>19s</t>
  </si>
  <si>
    <t xml:space="preserve">07:40:55 sursaut , griamce negative,puis essaye de se relever et son coeur s'accélère  (son ECG s'accélère)                                              </t>
  </si>
  <si>
    <t xml:space="preserve">07:42:37 susaute et bouge les mains puis lève la jambe droite puis mvt brusque des jambes. Ouvre les yeux et lève la main droite. Chuchote et grimace negative                                                                         </t>
  </si>
  <si>
    <t xml:space="preserve">07:45:32 lève le bras droit en pleurant, met sa main gauche sur son ventre et lève puis crispe ses jambes (son ECG s'accélère)    7:46:31 (1seul TCSP avec le précédent) sursaute et tremble, puis croise ses bras, lève la jambe gauche et grimace negative                        </t>
  </si>
  <si>
    <t xml:space="preserve">2min 11</t>
  </si>
  <si>
    <t xml:space="preserve">Pleins de désat et hypopnées pdt et avant TCSP</t>
  </si>
  <si>
    <t xml:space="preserve"> 07:49:37 sursaute et mvt brusque des jambes puis lève jambe gauche                            </t>
  </si>
  <si>
    <t xml:space="preserve">  07:52:01 sursaute en bougeant les mains                                                </t>
  </si>
  <si>
    <t xml:space="preserve">07:58:01 cri et chcuchote puis  lève les bras pour se défendre 7:59:19: grimace                                                    </t>
  </si>
  <si>
    <t xml:space="preserve">désat, hypopnée, apnée obstructive pdt TCSP</t>
  </si>
  <si>
    <t xml:space="preserve"> 08:01:31 mvts lents  complexes et indeter main gauche puis main droite. Cri puis lève la JD. sursaute puis bouge les jambes brusquement et l'index de la main gauche                  </t>
  </si>
  <si>
    <t xml:space="preserve">08:05:01 pointe qq chose du doigt main gauche et cri en sursautant  puis 10sec après chuchote + mvt main droite                </t>
  </si>
  <si>
    <t xml:space="preserve">vidéo1: crie   puis fronce les sourcils                                                  </t>
  </si>
  <si>
    <t xml:space="preserve">vidéo1: lève le bras gauche vers le ciel                                              </t>
  </si>
  <si>
    <t xml:space="preserve">vidéo2: gémit et mvt tete                                                  </t>
  </si>
  <si>
    <t xml:space="preserve">garder </t>
  </si>
  <si>
    <t xml:space="preserve">pas arousal </t>
  </si>
  <si>
    <t xml:space="preserve">vidéo3: gémit en bougeant la main droite et tout le corps lentement et petite amplitude    </t>
  </si>
  <si>
    <t xml:space="preserve">arousal non spécifique</t>
  </si>
  <si>
    <t xml:space="preserve">vidéo1: mouvement indéterminé de la main droite (comme s'il tournait qq chose)                                                                                      </t>
  </si>
  <si>
    <t xml:space="preserve">Arousal respiratoire (garder) </t>
  </si>
  <si>
    <t xml:space="preserve">vidéo2: secoue TOUT SON CORPS EN SOULEVANT ET BAISSANT SON BASSIN(stéréotypies)                                                                                                                        </t>
  </si>
  <si>
    <t xml:space="preserve">vidéo3: lève ses jambes et secoue son corps en souriant</t>
  </si>
  <si>
    <t xml:space="preserve">vidéo4: stéréotypies cachées par le drap</t>
  </si>
  <si>
    <t xml:space="preserve">vidéo1: parle : "je parle … ça ne sert à rien "en levant le coude (mvt très lent)          </t>
  </si>
  <si>
    <t xml:space="preserve">vidéo 5: parle et mvt de la main qui tient un fil </t>
  </si>
  <si>
    <t xml:space="preserve">05:37:42 mvt des mains stéréotypies mais manip d'objet de plus en plus complexe (tremble un peu)</t>
  </si>
  <si>
    <t>1min18s</t>
  </si>
  <si>
    <t xml:space="preserve">05:41:17 mouvements du bassin et des jambes. Mvt de la main droite et lève la jambe droite                                                                         </t>
  </si>
  <si>
    <t xml:space="preserve">hypopnée à la fin du TCSP</t>
  </si>
  <si>
    <t xml:space="preserve">05:43:23 mvt mains +grimace en refermant les yeux souffle et gémit                                                                          </t>
  </si>
  <si>
    <t xml:space="preserve">09:17:02 mvt très restreints mains et jambes                 </t>
  </si>
  <si>
    <t>49s</t>
  </si>
  <si>
    <t xml:space="preserve">09:18:32 mvt très restreints mains et des jambes                                                                             </t>
  </si>
  <si>
    <t xml:space="preserve">1min </t>
  </si>
  <si>
    <t xml:space="preserve">09:20:32 mvt de la tête, mains, jambes</t>
  </si>
  <si>
    <t>PAF</t>
  </si>
  <si>
    <t xml:space="preserve">03:36:06 bouge les lèvres    </t>
  </si>
  <si>
    <t xml:space="preserve">03:39:15 se balance de plus en plus fort </t>
  </si>
  <si>
    <t xml:space="preserve">01:12:03 : mvt de la tête, bruit bizarre de la bouche en levant la main gauche                                                                        </t>
  </si>
  <si>
    <t xml:space="preserve">01:20:33 mvt très restreints myocloniques répétés des mains et des jambes. Souffle à 1:20:57                       </t>
  </si>
  <si>
    <t xml:space="preserve">01:38:08 : lève la tête , bouge la main gauche (doigts) et les jambes      </t>
  </si>
  <si>
    <t xml:space="preserve">05:51:01 : mvt pieds et jambes puis se balance 3 foiset bouge La main gauche et se rebalance en bougeant le bras gauche.  Sursaute.                                                                       </t>
  </si>
  <si>
    <t xml:space="preserve">3min 38s</t>
  </si>
  <si>
    <t xml:space="preserve">06:24:05 se balance plusieurs fois avec une amplitude restreinte puis donne un coup de pied à 6:24:49</t>
  </si>
  <si>
    <t xml:space="preserve">TCSP pointes-ondes </t>
  </si>
  <si>
    <t xml:space="preserve">05:41:06 sursaute puis se balance, donne un coup au lit brutalement en se tournant vers la droite.                                       </t>
  </si>
  <si>
    <t xml:space="preserve">05:42:38 mvt répété de la main droite en se penchant vers la droite puis appuie de sa main gauche sur son bras droit et bouge son bras droit (la séquence se répète)  jusqu'à 5:44:49  ( à 5:44:12: sursaut)                                                                          </t>
  </si>
  <si>
    <t>2min11s</t>
  </si>
  <si>
    <t xml:space="preserve">05:50:00 baisse son bras droit, souffle et le tourne en se balançant une fois sur la droite                                        </t>
  </si>
  <si>
    <t xml:space="preserve">05:56:50 mvt des jambes comme un sautillement.                  </t>
  </si>
  <si>
    <t xml:space="preserve">04:00:44 Mvt bras et main: tourne son poignet droit ( mvt des doigts)                                                                                                                                                                           </t>
  </si>
  <si>
    <t xml:space="preserve">04:01:44 Mvt scénique : mvt brusque du bras droit et des doigts avec un mvt du bras gauche pour arrêter le mvt de la main droite                                                                                            </t>
  </si>
  <si>
    <t xml:space="preserve">04:03:32 sursaut corps entier, mvt brusque main droite puis mvt de l'index droit (goigts) </t>
  </si>
  <si>
    <t xml:space="preserve">04:04:17 mvt fins des doigts de la main droite et mvt pied gauche        </t>
  </si>
  <si>
    <t xml:space="preserve">04:07:35 mvt brusque main gauche puis droite et balacement vers la gauche avec les jambes       </t>
  </si>
  <si>
    <t xml:space="preserve">05:28:40 mvt fins de doigts main droite puis se touche le visage avec le pouce fins (mvt scéniques)</t>
  </si>
  <si>
    <t xml:space="preserve">05:29:17 mvt des doigts de la main droite et mvt brusque de tout le corps</t>
  </si>
  <si>
    <t xml:space="preserve">05:35:12 mvt main droite puis gauche pas très visible et  pas reconnaissable</t>
  </si>
  <si>
    <t xml:space="preserve">05:37:06 mvt fin de la main droite : tourne sa main</t>
  </si>
  <si>
    <t xml:space="preserve">05:38:06 mvt des deux jambes et de la main droite</t>
  </si>
  <si>
    <t xml:space="preserve">05:47:10  vocalisation : héhé ? rire ?</t>
  </si>
  <si>
    <t xml:space="preserve">05:48:35 mvt bras droit puis sursaut tout le corps . Mvt pouce main droite  et continueavec des mvts fins de ses doigts de la main droite                                   </t>
  </si>
  <si>
    <t xml:space="preserve">05:50:15 mvt fins des doigts main droite suite du même TCSP 5:51:05: mvt des doigts main droite et décale sa main     5:51:45 mvt brusque de la main                   </t>
  </si>
  <si>
    <t>1min32s</t>
  </si>
  <si>
    <t xml:space="preserve">05:54:31 mvt brusque de la main droite                           </t>
  </si>
  <si>
    <t xml:space="preserve">06:04:50  gémit+ mvt balancement axiaux tronc et bras. Puis mt pied droit</t>
  </si>
  <si>
    <t xml:space="preserve">07:32:10 mvt main droite tapote 2x puis mvt brusque  bras droit</t>
  </si>
  <si>
    <t xml:space="preserve">07:36:14 mvts fins répétitifs des doigts main droite (comme si elle palpait qq chose) et mvt bras gauche</t>
  </si>
  <si>
    <t xml:space="preserve">07:39:11 vocalisation breve "mm" accompagnée d'un mvt des doigts main droite                                                                                         </t>
  </si>
  <si>
    <t xml:space="preserve">07:40:20 mvt bras gauche                                                       </t>
  </si>
  <si>
    <t xml:space="preserve">07:49:16 rire avec mvt bras gauche et pieds                                                    </t>
  </si>
  <si>
    <t xml:space="preserve">07:49:53 mvts rotation de la main droite  puis mvt plus brusque du bras droit et des jambes </t>
  </si>
  <si>
    <t xml:space="preserve">02:23:40 mvt répétitif des deux jambes </t>
  </si>
  <si>
    <t xml:space="preserve">05:21:31 mvt très restreints de tout le corps puis mvt axial main gauche  ensuite vers 5:21:56 mvt brusque des jambes et de la main gauche</t>
  </si>
  <si>
    <t xml:space="preserve">04:35:00  sursaut corps entier puis crie fort "Au secours, c'est le même(x2) "  puis incompréhensible puis "arrete pas, arrete non!"                                    </t>
  </si>
  <si>
    <t xml:space="preserve">04:40:20 clonie corps entier : il se balance                                  </t>
  </si>
  <si>
    <t xml:space="preserve">04:42:39 mvt jambe                                                         </t>
  </si>
  <si>
    <t xml:space="preserve">04:46:00 COUP DE POINg avec sa main droite , puis 2 jambes et s'accroche au lit avec sa main droite et mvt tout le corps et cri : "oh ... t'es malade, " tu peux pas attendre connasse ... 2 coups de poing "...tu peux la coller ? "                                                    </t>
  </si>
  <si>
    <t xml:space="preserve"> 04:49:35 mvt répétitifs des pieds </t>
  </si>
  <si>
    <t xml:space="preserve">01:28:56 coup de poing droit sous le drap et mvt jambes                                                                                 </t>
  </si>
  <si>
    <t xml:space="preserve">01:38:39 mvt brusque de la main gauche : soulève  et bouge la tête   </t>
  </si>
  <si>
    <t xml:space="preserve"> 01:44:37 mvt brusque de la main droite sous le drap, mvtbde la tete  puis de la jambe       </t>
  </si>
  <si>
    <t xml:space="preserve">01:46:33 mvt de la tête et des bras        </t>
  </si>
  <si>
    <t xml:space="preserve">01:47:31 mvt  lent  restreint de la tête et de tout le corps puis sursaut brusque              </t>
  </si>
  <si>
    <t xml:space="preserve">04:02:31 : mvt main gauche 2 fois (amplitude restreinte)   et main droite mais sous le drap</t>
  </si>
  <si>
    <t xml:space="preserve">04:04:01 mvt doigts main gauche et  aussi de la main droite sous le drap puis mvt de main gauche (attrape de drap)                         </t>
  </si>
  <si>
    <t xml:space="preserve">1min 12s</t>
  </si>
  <si>
    <t xml:space="preserve">04:12:32 mvt de la main gauche  (comme s'il écrivait)                                                                                                                 </t>
  </si>
  <si>
    <t xml:space="preserve">42s </t>
  </si>
  <si>
    <t xml:space="preserve"> 04:19:20 mvt doigts de la main gauche : pouce puis mvt du bras et apres index                   </t>
  </si>
  <si>
    <t xml:space="preserve">04:21:10 mvt main simple</t>
  </si>
  <si>
    <t xml:space="preserve">04:21:53 mvt main gauche puis sursaut corps entier                      </t>
  </si>
  <si>
    <t xml:space="preserve"> 04:22:31 mvt doigts main gauche: index puis majeur                                                                                          </t>
  </si>
  <si>
    <t xml:space="preserve">04:24:31 mvt tout le corps:mvt mains et  lève les jambes</t>
  </si>
  <si>
    <t xml:space="preserve">04:45:17 : mvt simple de la main gauche</t>
  </si>
  <si>
    <t xml:space="preserve">04:58:49 mvt brusque des 2 bras     </t>
  </si>
  <si>
    <t xml:space="preserve">05:02:01 mvt main gauche lève son bras et le lache                                                                                               </t>
  </si>
  <si>
    <t xml:space="preserve">05:05:24 mvt main gauche lent  du poignet puis plus rapide</t>
  </si>
  <si>
    <t xml:space="preserve">01:25:47 somniloquie (arousal)                                                       </t>
  </si>
  <si>
    <t xml:space="preserve">arousal spécifique, desat et hypopnée pdt TCSP</t>
  </si>
  <si>
    <t xml:space="preserve">05:11:01 mvt complexe: attrape qq chose puis mvt des jambes et mvt du bras droit  en se mettant sur le coté   (Arousal)    </t>
  </si>
  <si>
    <t xml:space="preserve">arousal spécifique</t>
  </si>
  <si>
    <t xml:space="preserve">04:18:14 crie fort avec un mvt axial de la tête la main droite                                                                            </t>
  </si>
  <si>
    <t xml:space="preserve">05:52:30 parle incompréhensible          </t>
  </si>
  <si>
    <t xml:space="preserve">arousal cortical</t>
  </si>
  <si>
    <t xml:space="preserve">00:48:00 mvts élémentaires jambes et main droite</t>
  </si>
  <si>
    <t xml:space="preserve">apnée obstructive avant et pdt TCSP + desat </t>
  </si>
  <si>
    <t xml:space="preserve">05:25:29 mvt sagittal et axial de la main gauche en tremblant avec des vocalises</t>
  </si>
  <si>
    <t xml:space="preserve">hypopnée obstructive et désat</t>
  </si>
  <si>
    <t xml:space="preserve">00:18:14 mvt elementaires des bras, des mains, et de la tete plan axial sagittal + vocalise</t>
  </si>
  <si>
    <t xml:space="preserve">apnée obstructive et arousal cortical </t>
  </si>
  <si>
    <t xml:space="preserve">03:56:52 mvt des jambes et des pieds en coronal  le reste en axial puis se balance</t>
  </si>
  <si>
    <t xml:space="preserve">04:39:05 mvt membres inférieurs et pieds axial et coronal </t>
  </si>
  <si>
    <t xml:space="preserve">03:03:36 : somniloquie : dit "peut-être"</t>
  </si>
  <si>
    <t xml:space="preserve">03:04:50 mvt sagittal Dela jambe et du pied D et axial de la main D (doigts)</t>
  </si>
  <si>
    <t xml:space="preserve">03:05:38 parle incompréhensible et mvt de la main G (doigts) et du pied D fin à 3:6:16</t>
  </si>
  <si>
    <t xml:space="preserve">03:09:09 mvt main, jambe, bras gauche puis parle et fait un mvt scenique des mains en bougeant les pieds </t>
  </si>
  <si>
    <t xml:space="preserve">1min5s </t>
  </si>
  <si>
    <t xml:space="preserve">04:27:36 sursaut puis mvt de la main G en disant "hé"</t>
  </si>
  <si>
    <t xml:space="preserve">7s </t>
  </si>
  <si>
    <t xml:space="preserve">04:32:50 mvt scénique (manipule qq chose puis joue avec le fil) et met sa main sous sa jambe à 4:33:27 dit "parle plus fort que j'entende, s'il vous plait"en bougeant la tête et le tronc</t>
  </si>
  <si>
    <t>51s</t>
  </si>
  <si>
    <t xml:space="preserve">04:35:10 mvt scénique bras, mains(doigtset tête: lève le bras vers le visage en tenant qq chose puis mvt tout le corps (jambes, pieds, mains, bras, tronc et bouche fin à 4:36:30</t>
  </si>
  <si>
    <t>1min20s</t>
  </si>
  <si>
    <t xml:space="preserve">04:39:16 gémit en bougeant son bras gauche (axial)</t>
  </si>
  <si>
    <t xml:space="preserve">06:08:45 bruit puis souffle pdt 5s puis mvt bras D sursaut</t>
  </si>
  <si>
    <t xml:space="preserve">commencer à 6:10:57 à 6:11:38</t>
  </si>
  <si>
    <t xml:space="preserve">arousal spécifique + hypopnée obs</t>
  </si>
  <si>
    <t xml:space="preserve">6:11:57 jusqu'à 6:13:00 autre TCSP </t>
  </si>
  <si>
    <t xml:space="preserve">1min 03s</t>
  </si>
  <si>
    <t xml:space="preserve">06:14:22 stereotypies de la main G puis rigole fin à 6:14:47</t>
  </si>
  <si>
    <t xml:space="preserve">06:17:00 mvt scénique du bras et de la main gauche en l'air puis manipule les fils, se gratte le visage </t>
  </si>
  <si>
    <t xml:space="preserve">arousal respiratoire + hypopnée obs</t>
  </si>
  <si>
    <t xml:space="preserve">06:21:12 mvt elem de la main G en coronal puis tete et tronc se redresse légèrement et commence à chuchoter puis parle " avec le nom? " en montrant qq chose du doigt (scénique)</t>
  </si>
  <si>
    <t xml:space="preserve">06:25:48 fin à 6:26:29 mvt elementaire main, bras, jambes, pieds bilat et tete. Chuchote puis sourit</t>
  </si>
  <si>
    <t xml:space="preserve">arousal respiratoire+hypopnée obs+désat</t>
  </si>
  <si>
    <t xml:space="preserve">06:26:34 fin à 6:26:58 mvt elementaire main, bras, jambes, pieds bilat et tete. Chuchote puis sourit</t>
  </si>
  <si>
    <t xml:space="preserve">06:34:19 mvt elem des jambes, des pieds, des mains (doigts pour main G) se redresse un peu la tete </t>
  </si>
  <si>
    <t xml:space="preserve">06:35:12 parle incompréhensible puis gémit </t>
  </si>
  <si>
    <t xml:space="preserve">06:36:30 parle incompréhensible en bougeant sa main D</t>
  </si>
  <si>
    <t xml:space="preserve">06:37:52 souffle et rire ? "c'est toi ou quoi?"</t>
  </si>
  <si>
    <t xml:space="preserve">06:48:00 mvt fins des doigts main G et bras G puis main D </t>
  </si>
  <si>
    <t xml:space="preserve">06:50:04  lève la main sagittal et mvt des jambes </t>
  </si>
  <si>
    <t xml:space="preserve">06:50:34 mvt scénique bras gauche puis se redresse un peu (tete , tronc et bras ) puis souffle avec une grimace negative</t>
  </si>
  <si>
    <t xml:space="preserve">01:27:30 mvt des mains scéniques </t>
  </si>
  <si>
    <t xml:space="preserve">01:30:30 fin à1:30:39 chuchote et mvt desmains simples axial</t>
  </si>
  <si>
    <t xml:space="preserve">01:32:06 jusqu'à 1:32:11 chuchote </t>
  </si>
  <si>
    <t xml:space="preserve">01:34:05 mvt doigts main G puis gémit et mvt indeter des bras/mains (combat/fuite? ) puis balance la tete à D et à G en axial et mvt des 2 mains , des jambes et pieds et mvt de la bouche fin à 1:36:05</t>
  </si>
  <si>
    <t xml:space="preserve">01:40:37 mvt de la bouche puis de la tête en coronal </t>
  </si>
  <si>
    <t xml:space="preserve">arousal respiratoire +hypopnée obs</t>
  </si>
  <si>
    <t xml:space="preserve">01:41:41 mvt du bras et main droite puis à 1:42:00 mvt tronc et MS , MD tête</t>
  </si>
  <si>
    <t xml:space="preserve">01:46:05 mvt de la bouche </t>
  </si>
  <si>
    <t xml:space="preserve">14s </t>
  </si>
  <si>
    <t xml:space="preserve">01:57:32 mvt de la bouche </t>
  </si>
  <si>
    <t xml:space="preserve">03:52:09 mvt de la jambe G et du tronc </t>
  </si>
  <si>
    <t xml:space="preserve">03:53:01 mvts fins de la main droite, petit coup de coude bras G, se balance un peu vers avant-arriere et puis se réveille fin à 3:53:20</t>
  </si>
  <si>
    <t xml:space="preserve">arousal ? Pas compté ds timing  </t>
  </si>
  <si>
    <t xml:space="preserve">05:15:41 mvt de la tête coronal puis mvt des bras et du tronc (se balance) à 5:16:22 mvt des jambes et pieds jusuq'à 5:16:30</t>
  </si>
  <si>
    <t xml:space="preserve">05:20:05 mvt des pieds puis mvt de la tete, du bras D puis  pieds. Fin à 5:20:53 Continue avec des mvts de la main D (balance à D/G) et des pieds puis rotation de la main D, mvt des jambes puis se réveille fin à 5:22:21</t>
  </si>
  <si>
    <t>2min16s</t>
  </si>
  <si>
    <t xml:space="preserve">2 arousal non spécifique</t>
  </si>
  <si>
    <t xml:space="preserve">05:33:22  mvt brusque des jambes et des pieds</t>
  </si>
  <si>
    <t xml:space="preserve">05:38:40 mvt de la tete et des mains, bras et bouche(soupir/chuchote ?) (axial) avec grimace négative (ferme les yeux + fort)</t>
  </si>
  <si>
    <t xml:space="preserve">05:41:31 mvt répété des mains croisées balancement vers l'avant/arrière(sagittal et coronal)</t>
  </si>
  <si>
    <t xml:space="preserve">08:00:37 mvt main droite et tete sous le drap, main gauche et pieds aussi , mvt bras D axial fin à 8:01:34</t>
  </si>
  <si>
    <t xml:space="preserve">08:03:18 mvt violent de la main droite (sagital, axial, coronal)(coup de poing et bras d , des jambes, pieds, tête, en parlant incompréhensible  continue avec 3 coup de poing dans le lit </t>
  </si>
  <si>
    <t xml:space="preserve">08:06:41 mvt de la main D, des jambes et de la tête, puis mvt brusque de la main D (coup de poing) puis jmvts violent, se redresse un peu et bouge les jambes en coronal fin du mvt à 8:8:1</t>
  </si>
  <si>
    <t xml:space="preserve">1min40s  </t>
  </si>
  <si>
    <t xml:space="preserve">08:08:44 gémit avec mvt main G, puis mvt main D et jambes et bras D sous le drap, mvt main G pui coup de poing main D jusqu'à 8:11:22 se réveille(arousal)</t>
  </si>
  <si>
    <t>2min38s</t>
  </si>
  <si>
    <t xml:space="preserve">hypopnée obstructive</t>
  </si>
  <si>
    <t>enlever</t>
  </si>
  <si>
    <t xml:space="preserve">05:14:07 mvt tête jambes, pieds, tronc axial </t>
  </si>
  <si>
    <t xml:space="preserve">arousal </t>
  </si>
  <si>
    <t xml:space="preserve">05:15:11 mvt de la tête, jambes, tronc pieds, (se balance)  </t>
  </si>
  <si>
    <t xml:space="preserve">5s </t>
  </si>
  <si>
    <t xml:space="preserve">05:25:28 mvt de la tête, des jambes et du bras D</t>
  </si>
  <si>
    <t xml:space="preserve">arousal repiratoire</t>
  </si>
  <si>
    <t xml:space="preserve">05:33:45 mvt brusque de tout le corps (sursaut) jambes, bras, tronc puis continue avec mvt tete et jambes</t>
  </si>
  <si>
    <t xml:space="preserve">désat+un peu d'apnée obs</t>
  </si>
  <si>
    <t xml:space="preserve">07:11:54 mvt des pieds axial puis bras G </t>
  </si>
  <si>
    <t xml:space="preserve">Hypopnée Obstructive</t>
  </si>
  <si>
    <t xml:space="preserve">04:46:14 mvts très réduits des mains, jambes et des pieds</t>
  </si>
  <si>
    <t xml:space="preserve">04:47:25 mvt des pieds et des bras mains, (se balance légèrement)</t>
  </si>
  <si>
    <t xml:space="preserve">03:32:23 mvt réduits corps entier (balancement léger)</t>
  </si>
  <si>
    <t>W?</t>
  </si>
  <si>
    <t xml:space="preserve">03:36:30 myoclonies de la jambe G, de la tête et du brasG</t>
  </si>
  <si>
    <t xml:space="preserve">03:39:00 sursaut jambes, tronc,bras en saggital  puis mvt de la tete , épaule et jambe G </t>
  </si>
  <si>
    <t xml:space="preserve">06:04:22 léger balancement des jambes et du tronc puis mvt jambes et des pieds</t>
  </si>
  <si>
    <t xml:space="preserve">06:06:37 mvt des jambes et des pieds  fin à 6:7:10</t>
  </si>
  <si>
    <t xml:space="preserve">06:08:34 mvt des jambes et des pieds fin à 6:8:45</t>
  </si>
  <si>
    <t xml:space="preserve">06:12:00 stéréotypies pied D jusqu'à 6:13:30 puis début d'un autre mvt : mvt jambes, pieds, maingauche puis tape avec main droit et bras droit coup de pied et mvt   tronc et tete, vocalise negative  fuite et combat  (fin à 6:14:22)</t>
  </si>
  <si>
    <t xml:space="preserve">2min 22 s</t>
  </si>
  <si>
    <t xml:space="preserve">06:15:17 stereotypies des pieds et après léger mvt jambeDjusqu'à 6:16</t>
  </si>
  <si>
    <t xml:space="preserve">06:20:10 mvt de la main G </t>
  </si>
  <si>
    <t xml:space="preserve">07:57:22 mvt jambes, pieds et tronc balancement léger</t>
  </si>
  <si>
    <t xml:space="preserve">07:58:36 mvt des jambes et des pieds (balancement) fin à 7:17</t>
  </si>
  <si>
    <t xml:space="preserve">08:10:00 MVT BASSIN ET JAMBES, pieds</t>
  </si>
  <si>
    <t>RH146</t>
  </si>
  <si>
    <t xml:space="preserve">01:37:46 mvt de la main G puis mvt majeur jambes, pieds, bras, tronc et tête</t>
  </si>
  <si>
    <t xml:space="preserve">04:09:10 mvt tronc et jambes balancement léger</t>
  </si>
  <si>
    <t xml:space="preserve">04:12:00 mvt fins des doigts de la main G fin à 4:12:27</t>
  </si>
  <si>
    <t xml:space="preserve">04:12:58 balancement avant/arriere, mvt des doigts mainG. Bouge la tete asume. Puis lève le bras, jette quelque chose en l'air en levant le bras et rebaisse le bras. Fin à 4:13:39</t>
  </si>
  <si>
    <t xml:space="preserve">04:14:12 saccade de tout le corps, mvt de la main G puis mvt de fuite avec le coude et mvt plus élaborés des jambes et des pieds en se balançant, coup de pieds ? </t>
  </si>
  <si>
    <t xml:space="preserve">04:16:46 mvt doigts main G puis mvt jambes, bras et main D puis à 4:17:17 mvt tete et épaules en faisant du bruit avec la bouche (bisous?) fin à 4:17:27</t>
  </si>
  <si>
    <t xml:space="preserve">04:19:20: mvt doigt main G, pouce </t>
  </si>
  <si>
    <t xml:space="preserve">04:22:00 myoclonies puis sursaut</t>
  </si>
  <si>
    <t xml:space="preserve">04:24:04 mvt main G  élbalorés (manipqq chose) puis des pieds, épauleD et tronc</t>
  </si>
  <si>
    <t xml:space="preserve">07:08:00 mvt tronc et jambes </t>
  </si>
  <si>
    <t xml:space="preserve">07:09:00 mvt tronc et jambes, pieds plus axial et sagittal</t>
  </si>
  <si>
    <t xml:space="preserve">07:13:30 mvt de tete </t>
  </si>
  <si>
    <t xml:space="preserve">6s </t>
  </si>
  <si>
    <t xml:space="preserve">07:16:42 vocalise (chuchote)et mvt bras/coudeD</t>
  </si>
  <si>
    <t xml:space="preserve">07:31:30 mvt de balancement tronc et jambe très léger et bouge le coude D fin à 7:31:39</t>
  </si>
  <si>
    <t>CS147</t>
  </si>
  <si>
    <t xml:space="preserve">04:29:04 mvt des jambes et du tronc jusqu'à 4:29:7</t>
  </si>
  <si>
    <t xml:space="preserve">04:29:38 mvt des jambes et des pieds lève et baisse)</t>
  </si>
  <si>
    <t xml:space="preserve">04:39:09 mvt des jambes, pieds et tronc</t>
  </si>
  <si>
    <t xml:space="preserve">arousal respiratoire</t>
  </si>
  <si>
    <t xml:space="preserve">06:05:06 myovlonies des jambes, pieds et tronc</t>
  </si>
  <si>
    <t xml:space="preserve">06:09:42 mvt jambe D, tete et tonc, puis jambe G</t>
  </si>
  <si>
    <t xml:space="preserve">06:13:35 mvt de la jambe G et du tronc 2 fois</t>
  </si>
  <si>
    <t xml:space="preserve">06:19:54 mvt jambe D et G, tete fin à 6:20:23</t>
  </si>
  <si>
    <t>RJP148</t>
  </si>
  <si>
    <t xml:space="preserve">02:23:40 mvt des bras et mains puis sursaut bras, mains et tete</t>
  </si>
  <si>
    <t xml:space="preserve">02:24:46 mvt e la tete puis des bras et main D puis main G  qu'il lève. Mvt index main G fin à 2:25:05</t>
  </si>
  <si>
    <t xml:space="preserve">arousal cortical et hypopnée obstructive avant et après </t>
  </si>
  <si>
    <t xml:space="preserve">02:27:07 mvt du bras D et main puis tete et jambes stereotypies (vocalise après ouronflement?)</t>
  </si>
  <si>
    <t xml:space="preserve">02:30:45 mvt pieds, jambes, tete, puis sursaut d'un coup brasG, main G fin à 2:30:57 puis reprend à 2:31:14 mvt bras droit axial  puis vocalise gémit  Et mvt bras et jambes avec tete puis mvt élaboré main et bras G fin à 2:33</t>
  </si>
  <si>
    <t>2min15s</t>
  </si>
  <si>
    <t xml:space="preserve">02:33:36 mt elem jambes et bras, tete, tronc axial et coronal puis à 2:34:7 lève le bras G (sagital) et parle "je ne sais pas" confus   fin à 2:34:16</t>
  </si>
  <si>
    <t xml:space="preserve">arousal cortical, desat, hypopnée au début</t>
  </si>
  <si>
    <t xml:space="preserve">02:35:53 mvt des jambes, des pieds, bras G et tete puis mvt de la main D fin à 2:37:00</t>
  </si>
  <si>
    <t>1min7s</t>
  </si>
  <si>
    <t xml:space="preserve">2:37:36 debut et fin 2:37:58 et reprise 2:38:20 fin à 2:38:37</t>
  </si>
  <si>
    <t xml:space="preserve">02:37:36 mvt de la tete, vocalise , mvt main D, chuchote en bougeant la tete et les jambes. </t>
  </si>
  <si>
    <t xml:space="preserve">hypopnée, desat, arousal cortical</t>
  </si>
  <si>
    <t xml:space="preserve">02:38:20 TCSP long: parle incompréhensible, lève le bras D pour attraper qq chose, violent puis élaboré , relève les jambes fin à 2:38:37</t>
  </si>
  <si>
    <t xml:space="preserve">02:40:34 mvt simple du  coude D 2x tous les plans ET UN PEU LES JAMBESNET LA TETE  puis à 2:41: mvt des mains et vocalisation breve </t>
  </si>
  <si>
    <t xml:space="preserve">02:41:39 : mvt bras G et tete, ouvre les yeux et parle: "je t'attends" surpris puis se redresse légèrement le tronc et la tete , mvt bras G dit"allez allez, allons" et rigole en levant les jambes et mvt mains. Fin à 2:43:00 </t>
  </si>
  <si>
    <t xml:space="preserve">arousal cortical </t>
  </si>
  <si>
    <t xml:space="preserve">02:44:32 mvt axial bras G, tete et stereotypies des jambes puis mvt des 2 bras en sagittal /coronal. Reprise mvt bras G  vers 2:45:22 et coup brusque du genou </t>
  </si>
  <si>
    <t xml:space="preserve">hypopnée obstructive et saturation </t>
  </si>
  <si>
    <t xml:space="preserve">02:46:53 mvt du bras  et de la main G manip de qq chose axial  puis mvt jambes stereotypies axiales, puis gémit et frappe dans l'air 2 fois avec sa main et bras D fin à 2:47:37</t>
  </si>
  <si>
    <t xml:space="preserve">apnée obstructive</t>
  </si>
  <si>
    <t xml:space="preserve">2:51:00 fin 2:54:30</t>
  </si>
  <si>
    <t xml:space="preserve">02:51:00 mvt jambes puis s'énerve un peu ? Frustration avec une vocalisation , souffle ? Lvt 2 fois des bras léger coup à D et à G; Début du TCSP très violent , sur tous les plans et tout le corps  fuite, bouche ouverte , souffle bcp  puis dit " et rebelotte" en faisant le geste de la main et après chuchote. Fin à 2::53:00 puis il rebaisse les bras et stereotypies des pieds jusqu'à 2:54:30</t>
  </si>
  <si>
    <t xml:space="preserve">hypopnée obstructive, arousal cortical </t>
  </si>
  <si>
    <t xml:space="preserve">02:56:50 mvt bras et jambes fuite et peur mvt de la tete et chuchote incompréhensible et tremble. Fin à 2:57:10</t>
  </si>
  <si>
    <t xml:space="preserve">EXCEPTIONNEL !!! </t>
  </si>
  <si>
    <t xml:space="preserve">02:57:40 Rigole fort/ Fou rire et dit" En plus … il est dégonflé le mec" " en mem temps que des mvt de jambes, pieds, bras, tete dans tous les plans en pointant de son index main G reprend en disant "j'ai failli pleurer. J'étais là, tu as entendu la .."souffle" Jvais pas la retirer " 2:58:14 fin </t>
  </si>
  <si>
    <t xml:space="preserve">34s </t>
  </si>
  <si>
    <t>desat</t>
  </si>
  <si>
    <t xml:space="preserve">fin 3:3:32</t>
  </si>
  <si>
    <t xml:space="preserve">03:03:12 mvt jambes, bras et main G (simples) puis  se redresse un peu confus. Ouvre les yeux Chuchote avec mvt bras G, ouvre les yeux fin 3:3:32</t>
  </si>
  <si>
    <t xml:space="preserve">W ???? </t>
  </si>
  <si>
    <t xml:space="preserve">05:25:18 mvt de la jambe G très lent soulève en axial, sagital coronal sur le coté avec un tremblement du bras D accompagné d'un mvt de tronc et tete , repète mvt de la jambe fin à 5:26:40 </t>
  </si>
  <si>
    <t>1min22s</t>
  </si>
  <si>
    <t xml:space="preserve">arousal cortical ,desat, hypopnée</t>
  </si>
  <si>
    <t xml:space="preserve">05:32:15 jusqu'à 5:32:20 mvt du coude G avec tremblement répété plusieurs fois en avant/arrière</t>
  </si>
  <si>
    <t xml:space="preserve">05:34:06 jusqu'à 5:34:24</t>
  </si>
  <si>
    <t xml:space="preserve">05:34:54 mvt des doigts main D et bras D, tremblement bras G, mvt jambes et puis mvt brutal des jambes finà 5:35:37 reprise à 5:36:3 mvt brusque: coup de pieds fin à 5:36:06</t>
  </si>
  <si>
    <t>1min12s</t>
  </si>
  <si>
    <t xml:space="preserve">05:37:06 mvt de fuite, se recroqueville ,jambes, et bras REFAIT DES MVT DE PIEDS à 5:37:48</t>
  </si>
  <si>
    <t xml:space="preserve">désat+ arousal</t>
  </si>
  <si>
    <t xml:space="preserve"> 05:39:21 mvt des jambes et du brasD, tronc, tete, mvt bras  et pieds légers jusqu'à 5:39:19 puis reprend à 5:40:31 TREMBLE du bras puis jambe fin à 5:40:43 puis bouge le bras D et le pied rebouge à 5:41:04 et après à 5:41:31 bras D et pieds stereotypies fin à 5:42:00</t>
  </si>
  <si>
    <t xml:space="preserve">2min 30s</t>
  </si>
  <si>
    <t xml:space="preserve">05:42:16 mvt bras D, tete, pieds </t>
  </si>
  <si>
    <t xml:space="preserve">yeux ouverts !!!! </t>
  </si>
  <si>
    <t xml:space="preserve">05:44:08 mvt ample du bras D puis mvt pieds e après mvt des bras et balancement ? Fuite soupire:souffle ? Jusqu'à 5:45</t>
  </si>
  <si>
    <t xml:space="preserve">05:45:50 mvt piedsstereotypies puis bras G et D , G coup puis tire ? 5:46:4 reprend à 5:46:19 mvt bras D jusqu'à 5:46:27  puis tape de son bras G  à 5:46:36 à 5:46:40 à 5:47:4 mvt du bassin , bras et jambes (simples) fin à 5:47:16 à 5:47:44 mvt bras et stereotypies jambes fin à 5:47:53</t>
  </si>
  <si>
    <t>2min3s</t>
  </si>
  <si>
    <t xml:space="preserve">arousal cortical et hypopnée</t>
  </si>
  <si>
    <t xml:space="preserve">05:48:16 Mvt bras 2 et jambes stereotypies et mvt bouche : fin à 5:48: 53</t>
  </si>
  <si>
    <t xml:space="preserve">05:50:00 TCSP violent frappe/attrape qq chose avec les bras dans l'air et mvt tronc, jambes et tete aussi fin à 5:50:16 puis un nouveau TCSP violent où il frappe en tremblant fin à 5:50:53</t>
  </si>
  <si>
    <t>53s</t>
  </si>
  <si>
    <t xml:space="preserve">05:52:22 mvt bras et jambes fin à 5:52:30</t>
  </si>
  <si>
    <t xml:space="preserve">05:53:57 mvt bras et mains, tete et tronc fin à 5:54:12 puis reprise à 5:54:34 secousse tout le corps mains, jambes , pieds, tronc tete , mvt desdoigts fin à5:54:46  puis reprise mvt 5:55:03 fin à 5:55:35 puis TCSP long : à 5:56:00 lève le bras D et jambe G et vocalise en se retournant sur le coté (tete et tronc) fin à 5:56:28</t>
  </si>
  <si>
    <t xml:space="preserve">hypopnée, desat</t>
  </si>
  <si>
    <t xml:space="preserve">06:00:48 mvt bras D puis se tourne sur le coté et lève le bras en l'air en bougeant la tete (tronc ET JAMBES aussi) fin à 6:01:15</t>
  </si>
  <si>
    <t xml:space="preserve">arousal cortical et desat </t>
  </si>
  <si>
    <t xml:space="preserve">06:39:44 lève les jambes, mvt coronal des mains et des bras en tremblant fin à 6:39:58 puis rebouge les jambes à 6:40:24, à6:40:31: mvt jambes, tete et bouche fin à 6:40:43 à 6:41:06 mvt fin des doigts main G manip objet ?  Fin à 4:43:12 en soufflant  grimace negative ?? </t>
  </si>
  <si>
    <t xml:space="preserve">desat, apnée obstructive, arousal cortical </t>
  </si>
  <si>
    <t xml:space="preserve">07:28:04 mvt des jambes et des pieds coronal et axial et mvt des doigts main D  et bras G fin à 7:28:27</t>
  </si>
  <si>
    <t xml:space="preserve">hypopnée obstructive, desat et arousal cortical </t>
  </si>
  <si>
    <t xml:space="preserve">neutre !!!! Pas negatif</t>
  </si>
  <si>
    <t xml:space="preserve">07:39:35 mvt bras et main D puis jambes et pied G  brutalement 7: 39:54</t>
  </si>
  <si>
    <t xml:space="preserve">07:42:03 mvt jambe Gpuis  bras D fin à 7:42:17</t>
  </si>
  <si>
    <t xml:space="preserve">desat et apnée obstructive</t>
  </si>
  <si>
    <t xml:space="preserve">07:42:57 mvt brusque de la main/bras D puis jambes puis bras G brutal puis encore des bras brutalement fin à 7:43:51</t>
  </si>
  <si>
    <t xml:space="preserve">Desat, hypopnée obs</t>
  </si>
  <si>
    <t xml:space="preserve">07:45:07 stereotypies jambes et pieds, mvt bras D puis stereotypies bras D fin à 7:45:54 reprise TCSP sursaut mvt tronc et tete fin à 7:46:16</t>
  </si>
  <si>
    <t xml:space="preserve">hypopnée, desat </t>
  </si>
  <si>
    <t xml:space="preserve">07:45:30 mvt jambes et bras très léger. grimace negative ferme les yeux plus fort fin à 7:46:18</t>
  </si>
  <si>
    <t xml:space="preserve">07:48:19 mvt brusque bras frappe dans l'air ? Tete, tronc, jambes, bras fin à 7:49:23 </t>
  </si>
  <si>
    <t xml:space="preserve">hypopnée </t>
  </si>
  <si>
    <t xml:space="preserve">08:00:01 mvt des jambes puis mvt scénique indique qq chose avec index main G puis mvt des mains tremblent un peu attrape le drap  et fin à 8:2:17 </t>
  </si>
  <si>
    <t xml:space="preserve">apnée mixte, desat , apnée obstructive</t>
  </si>
  <si>
    <t xml:space="preserve">enlever </t>
  </si>
  <si>
    <t xml:space="preserve">08:04:28 TCSP? Yeux ouverts mvt des mains et des jambes ? </t>
  </si>
  <si>
    <t>VJ149</t>
  </si>
  <si>
    <t xml:space="preserve">03:47:13 secousse corps  entier : mvt des doigts main G,tronc, jambes et bras  fin à 3:47:18</t>
  </si>
  <si>
    <t xml:space="preserve">03:48:33 avec somniloquie mvt main, tete,tronc, jambes et parle : "heureusement que je ne pas tombée"  fin à 3:48:59 puis mvt de la main D simple et Jmabe D   4s  fin à 3:49:28</t>
  </si>
  <si>
    <t xml:space="preserve">arousal respiratoire et hypopnée obs pas compté ds tcsp</t>
  </si>
  <si>
    <t xml:space="preserve">03:56:08 sursaut coude, epaule bras D tronc,jambe D</t>
  </si>
  <si>
    <t xml:space="preserve">03:57:39 racle la gorge et mvt main D puis 3:57:42 mvt main G et jambe D et tronc puis main G et tete fin à 3:58:05</t>
  </si>
  <si>
    <t xml:space="preserve">04:01:36 mvt fin des doigts de main et bras G fin à 4:2:01</t>
  </si>
  <si>
    <t xml:space="preserve">04:19:04 sursaut corps entier et chuchote </t>
  </si>
  <si>
    <t xml:space="preserve">06:10:39 mvt des bras , des mains et de la tete manipulation objet fin à 6:10:57</t>
  </si>
  <si>
    <t xml:space="preserve">06:16:27 MVT JAMBES et tronc</t>
  </si>
  <si>
    <t xml:space="preserve">06:21:57 sursaut(bras, tete, tronc) et souffle fin à 6:22:3</t>
  </si>
  <si>
    <t xml:space="preserve">06:23:42 se redresse et dit " jtapprends pourquoi ouais" puis incompréhensible et tape 2 fois  fin à 6:23:50</t>
  </si>
  <si>
    <t>MP150</t>
  </si>
  <si>
    <t xml:space="preserve">03:19:00 mvt doigts main G fin à 3:19:43 mvt mains , epaules et bras </t>
  </si>
  <si>
    <t xml:space="preserve">03:20:16 mvt main et bras G jusqu'à 3:20:24</t>
  </si>
  <si>
    <t xml:space="preserve">03:24:14 mvt bras G et doigts ainsi que main D et un peu du tronc</t>
  </si>
  <si>
    <t xml:space="preserve">03:25:00 mvt des jambes puis tete et  bras / mains puis main D manip objet fin à 3:26:10</t>
  </si>
  <si>
    <t xml:space="preserve">1min10s </t>
  </si>
  <si>
    <t xml:space="preserve">03:30:33 mvt bras G et un peu main D puis tete </t>
  </si>
  <si>
    <t xml:space="preserve">05:05:33 mvt restreint tout le corps, tete, bras, jambes, tronc axial fin à 5::5:47 puis reprise à 5:6:15 FIN à 5:7:27 </t>
  </si>
  <si>
    <t xml:space="preserve">05:12:00: parle "tu vas arreter …" mvt tete, mvt doigt main D "tu veux combien quatre? " fin à 5:12:27 puis mvt de l 'épaule D 5:12:56 </t>
  </si>
  <si>
    <t xml:space="preserve">05:13:30 Lève bras G se redresse complètement et parle " il est quelle heure? " un peu scénique  fin à 3:14:20 </t>
  </si>
  <si>
    <t xml:space="preserve">05:24:00 mvt jambe D haut-bas et main/bras G axial et coronal</t>
  </si>
  <si>
    <t xml:space="preserve">05:25:07mvt tete et bras G axial et sagittal puis bras et main D mvt très lent mvt bras main G répété et chuchote, mvt jambe D. se balance un peu.  À 5:27:35 mvt manip objet avec main D hoche la tete à 5:28:56 fin à 5:29:29 puis parle à 5:30:11et fini à5:31:25? REPRENDS à 5:31:50 parle et mvt bras D  puis rigole fort en parlant incompréhensible fin à 5:34:16</t>
  </si>
  <si>
    <t xml:space="preserve">9min 7s</t>
  </si>
  <si>
    <t xml:space="preserve">05:40:35 mvt simples mains et jambes puis lève le bras G fin à 5:40:59 puis mvt tete et doigts et après manip de fils 5:41:49 mvt de nouveau à 5:42:8  mains,bras, jambes, fin à 5:42:19 de nouveau manip fils et mvt epaule puis chuchote fin à 5:43:37 </t>
  </si>
  <si>
    <t>3min7s</t>
  </si>
  <si>
    <t xml:space="preserve">07:16:38 mvt main G puis main droite mvt élaboré des doigts, manip objet ? Et chuchote fin à 7:16:57 à 7:17:9 mvt tronc puis à 7:17:21 mvt très violent combat fin à 7:17:40</t>
  </si>
  <si>
    <t xml:space="preserve">07:23:02 mvt bras, tronc, TETE jambes légèrement. Frappe la barrière  sans faire exprès. Il gémit fin à 7:23:24</t>
  </si>
  <si>
    <t xml:space="preserve">07:24:01 stereotypies mains et bras mvt tronc tete et jambes aussi fin à 7:24:27 continue les mvt stereotypies manip objet fin à 7:25:37</t>
  </si>
  <si>
    <t>1min36s</t>
  </si>
  <si>
    <t xml:space="preserve">07:26:33 mvt bras et mains, un peu du tronc et de a tete. Mvt scenique avec tremblement fin à 7:26:54</t>
  </si>
  <si>
    <t xml:space="preserve">07:27:46 crie "ouuu" positif/neg??  En se recroquevillant fin à 7:27:51</t>
  </si>
  <si>
    <t xml:space="preserve">07:28:24 mvt bras et mains et un peu tronc puis mvt tronc , jambes fin à 7:29:19 mvt elaborés des mains, manip objet, se retourne sur le coté fin à 7:30:54  </t>
  </si>
  <si>
    <t xml:space="preserve">07:31:37 mvt elaborés des mains scéniques, mvt des jambes et du tronc, un peu de la tete. Mvt fin des doigts , se retourne un peu sur le coté   fin à 7:33 :29</t>
  </si>
  <si>
    <t xml:space="preserve">07:35:06  mvt élaborés jambes, mains, bras, tronc, mvt scénique, gémit et parle incompréhensible fin à 7:38: puisreprend en levant les jambes et mvts très amples  fin à 7:39: 25 puis mvt scénique de la main D et fin à 7:40:17</t>
  </si>
  <si>
    <t>5min9s</t>
  </si>
  <si>
    <t xml:space="preserve">07:46:54 mvt elem baisse son bras D et lvt main G</t>
  </si>
  <si>
    <t xml:space="preserve">07:51:34 mvt elem jambes bras tronc puis stereotypies bras et mains fin à 7:53:00</t>
  </si>
  <si>
    <t>2min26s</t>
  </si>
  <si>
    <t xml:space="preserve">desat et hypopnée</t>
  </si>
  <si>
    <t xml:space="preserve">07:55:35 mvt brusque des bras main, tronc jambes fin à 7:55:46</t>
  </si>
  <si>
    <t>TM151</t>
  </si>
  <si>
    <t xml:space="preserve">07:15:35 sourire puis mvt du coude D très faible fin à 7:15:41</t>
  </si>
  <si>
    <t xml:space="preserve">07:16:22 sourirede nouveau fin à 26</t>
  </si>
  <si>
    <t xml:space="preserve">07:17:26 mvt hyper brutal des bras  (D essentiellement) puis steroetypies bras D. Il donne des coups de poing soft dans la barrière avec bras G. à 7: 18:06 sourit et mvt des pieds. Puis rire à 7:18:33 reprise des mvts des jambes et du bras G  7:19:17 parle incompréhensible puis mvt bras G vers 48    7:19:57 fin </t>
  </si>
  <si>
    <t>2min31s</t>
  </si>
  <si>
    <t xml:space="preserve">arousal non spécifique </t>
  </si>
  <si>
    <t xml:space="preserve">negative/positive/negative </t>
  </si>
  <si>
    <t>mixte</t>
  </si>
  <si>
    <t xml:space="preserve">07:20:27 mvt du bras G  axial puis rire fin à 7:20:49 </t>
  </si>
  <si>
    <t xml:space="preserve">07:23:07 rire  et mvt majeurs des pieds/jambes brusques, mvt bras G et se tourne sur lecoté gauche un peu , donc mvt tronc et tete aussi fin à 7:23:43</t>
  </si>
  <si>
    <t xml:space="preserve">07:24:34 sourit légèrement puis sursaut violent avec grimace négative, mvt jmbes, frappe la barrière avec le poing,  puis sourire et tourne la tete fin à 7:25:56</t>
  </si>
  <si>
    <t xml:space="preserve">hypopnée obstructive </t>
  </si>
  <si>
    <t xml:space="preserve">positive/negative/positive </t>
  </si>
  <si>
    <t xml:space="preserve">07:26:32 souffle pendant la desat et bouge sa main G et D sous le drap fin à 44</t>
  </si>
  <si>
    <t>désat</t>
  </si>
  <si>
    <t xml:space="preserve">07:28:04 sursaut tout le corps (jambes, tete , bras D sous le drap et bras G un peu)et grimace négative, ferme les yeux plus fort. Fin à 7:28:18</t>
  </si>
  <si>
    <t xml:space="preserve">07:31:22 mvt de la tete, lève les sourcils et les baisse à plsrs reprises , mvt des jambes et de la bouche, sursaut bras D sous le drap et bras D fin à 7:31:31 </t>
  </si>
  <si>
    <t xml:space="preserve">07:32:26 gémit  jusuq'à 30 mvt des jambes, un peu du bras G puis mvt stereotypiques du bras D sous le drap et un peu bras G fin à 7:33:21</t>
  </si>
  <si>
    <t xml:space="preserve">apnée obstructive </t>
  </si>
  <si>
    <t xml:space="preserve">07:35:00  machonne mvt léger jambes et bras/main G et sourit </t>
  </si>
  <si>
    <t xml:space="preserve">07:36:45 sourire et parle incompréhensible fin à 50 puis resourit et mvt de main D sous le drap et épaule , bras/main gauche et mvt des jambes en souriant. Fin à 7:37:25</t>
  </si>
  <si>
    <t xml:space="preserve">07:38:02 froncement de sourcils et mvt  bras G axial jusqu'à 7:38:13 </t>
  </si>
  <si>
    <t xml:space="preserve">07:38:45 mvt des bras violent D sous le drap (coup de poing?) puis coup de pied et mvt violent fin à 7:39:03 reprise à 7:39:10 rire et mvt jambes fin à 7:39:42 puis gémit? Ronfle ? Vocalise ? Fin à 7:39:59</t>
  </si>
  <si>
    <t>1min14s</t>
  </si>
  <si>
    <t xml:space="preserve">apnée obstructive et desat </t>
  </si>
  <si>
    <t>negative/positive</t>
  </si>
  <si>
    <t xml:space="preserve">07:40:34 mvt violent des jambes, tronc, bras, tete, fuite fin à 7:40:41 Puis 7:41:07 ouvre la bouche vocalise "oh"? Fin à 7:41:13</t>
  </si>
  <si>
    <t xml:space="preserve">7:42:38 court 3/4s</t>
  </si>
  <si>
    <t xml:space="preserve">07:47:35 mvt bras G haut/bas  et pieds, gémit? Grogne et mvt tete fin à 41</t>
  </si>
  <si>
    <t xml:space="preserve">08:50:51 mvt de la tete, bras G et jambes, tronc, fuite? Vocalise grogne/gémit fin à 8:51:00</t>
  </si>
  <si>
    <t xml:space="preserve">08:54:46 fin à 8:54:55 mvt brusque jambes, bras,mains en souriant </t>
  </si>
  <si>
    <t xml:space="preserve">08:56:31 mvt mainG utilisation d'object (télécommande?) puis touche la barrière fin à 8:56:39</t>
  </si>
  <si>
    <t xml:space="preserve">08:57:00 mvt de la tete, mvt des jmabes et puis mvt de main G puis mvt de la bouche: fin à 8:57:46</t>
  </si>
  <si>
    <t xml:space="preserve">09:01:52 rire fin à9:1:56</t>
  </si>
  <si>
    <t>BA152</t>
  </si>
  <si>
    <t xml:space="preserve">01:48:46 : gémit et mvt de la tete, des jambes et pieds puis ferme les yeux plus fort (grimace negative) fin à 1:49:24. Continue à gémir 1:49:48 parle incompréhensible en relevant la tete. Gémit de nouveau à 1:50:15 fin à 1:50:20 puis réveil</t>
  </si>
  <si>
    <t xml:space="preserve">ZOOM SUR VISAGE</t>
  </si>
  <si>
    <t xml:space="preserve">01:51:32 gémit et mvt jambe gauche et tronc fin à 1:51:36</t>
  </si>
  <si>
    <t xml:space="preserve">01:55:31 mvt des jambes et pieds puis sursaut tout le corps et tete, puis soulève le tronc et le bassin? Fin à 1:55:56 </t>
  </si>
  <si>
    <t xml:space="preserve">01:57:20 mvt de la tête et de l'épaule D en gémissant puis souffle jusqu'à 1:57:46</t>
  </si>
  <si>
    <t xml:space="preserve">01:58:31 mvt violent des pieds/jambes en gémissant puis Regémit. Mvt jambe et tête 1:59:30</t>
  </si>
  <si>
    <t xml:space="preserve">02:01:44 souffle (pas d'event respi) et puis bruit onomatopée fin à 2:1:54 Reprise du soufflement puis mvt de l'épaule D, des jambes, du tronc (sursaut) fin à 2:3:21 avec mvt des mains brusque </t>
  </si>
  <si>
    <t>1min37s</t>
  </si>
  <si>
    <t xml:space="preserve">02:03:55 mvt de la bouche </t>
  </si>
  <si>
    <t xml:space="preserve">02:05:09 mvt restreints des jambes, épaule D puis brusquement un coup des mains SOUS DRAP  et tout le corps et gémit fin à 2:5:31</t>
  </si>
  <si>
    <t xml:space="preserve">02:06:31 gémit puis coup brusque de la main G puis D mais aussi SOUS DRAP et plus tard coupde pied fin à 2:7:12</t>
  </si>
  <si>
    <t xml:space="preserve">event 7:10:31 ?? </t>
  </si>
  <si>
    <t xml:space="preserve">02:08:59 sursaut bras D ++  et vocalise négative mvt des jambes léger 1 coup de poing sous le drap légèrement fin 2:9:26</t>
  </si>
  <si>
    <t>PJL153</t>
  </si>
  <si>
    <t xml:space="preserve">03:46:31 mvt des pieds axial, coronal et coup de pied puis mvt du bras et de la main droite. Continue avec des mvts simples des jambes puis redonne un coup de piedG redonne un coup de pied G plus haut et mvt bras fin à 3:50:00</t>
  </si>
  <si>
    <t xml:space="preserve">3min 31</t>
  </si>
  <si>
    <t xml:space="preserve">03:52:08 mvt de la jambeG sous le drap fin à 3:52:12</t>
  </si>
  <si>
    <t xml:space="preserve">qualité pourrie</t>
  </si>
  <si>
    <t xml:space="preserve">03:59:34 mvt jambes pieds et bras D  reprise à 4:00 mvt scénique, manip d'objet et mvt doigts ? Fin à 4:00:42</t>
  </si>
  <si>
    <t>1min8s</t>
  </si>
  <si>
    <t xml:space="preserve">04:09:31  mvt de la main D puis lève la jambe G. Mvt scénique de la main G mvt coup des jambes et du tronc ? Se balance fort ? Fin à 4:10:05 </t>
  </si>
  <si>
    <t xml:space="preserve">hypopnée, désat, arousal respi</t>
  </si>
  <si>
    <t xml:space="preserve">04:25:01 mvt de bras G et légèrement du pied D fin à 4:25:21</t>
  </si>
  <si>
    <t xml:space="preserve">04:28:06 fin à 4:28:24 mvt du bras/main D manip d'objet touche la barrière</t>
  </si>
  <si>
    <t xml:space="preserve">04:30:31 mvt des jambes, tronc, main/bras D fin à 4:31:17</t>
  </si>
  <si>
    <t>TCSP!!!</t>
  </si>
  <si>
    <t xml:space="preserve">WAKE ??</t>
  </si>
  <si>
    <t xml:space="preserve">04:36:00 mvt violent se balance et attrape la machine à coté et la secouefin à 4:36:27</t>
  </si>
  <si>
    <t>HG167</t>
  </si>
  <si>
    <t xml:space="preserve">03:05:42 mvt des jambes et parle "c'est longtemps ,non " fin à 3:42:47</t>
  </si>
  <si>
    <t>arousal</t>
  </si>
  <si>
    <t xml:space="preserve">07:23:22  baisse jambe G puis mvt jambe D (droite/gauche) fin à 7:23:27 </t>
  </si>
  <si>
    <t xml:space="preserve">07:24:40 mvt scénique, bouge la tete à D et à G (fronce les sourcils?) avec les pieds puis les bras/mains fin à 7:24:52 et repirse à 7:25:18 mvt violent (sursaut) Fin à 7:25:30 </t>
  </si>
  <si>
    <t xml:space="preserve">désaturation et arousal </t>
  </si>
  <si>
    <t xml:space="preserve">07:27:23 rire  et mvt des jambes Puis mvt de la bouche et de la langue lèche fin à 7:27:42</t>
  </si>
  <si>
    <t xml:space="preserve">07:28:12 parle en souriant avec les dents : "est ce qu'il y' a …. Mais non " en bougeant sa jambe D fin à 7:28:21</t>
  </si>
  <si>
    <t xml:space="preserve">07:29:37 souffle , mvt jambe D et main G et mvt de la tete et de la bouche fin à 7:28:44</t>
  </si>
  <si>
    <t xml:space="preserve">07:31:21 mvt scénique: mvt de la main D et du majeur puis mvt jambe droite et reprends un mvt scénique des doigts fin à 7:31:41</t>
  </si>
  <si>
    <t>TLM168</t>
  </si>
  <si>
    <t xml:space="preserve">00:11:30 mvt des bras et des mains fin à 00:11:37</t>
  </si>
  <si>
    <t xml:space="preserve">02:26:01 mvt de la main G et sourire fin à 2:6:11</t>
  </si>
  <si>
    <t xml:space="preserve">02:36:33 mvt des jambes/pieds jusqu'à 2:36:38 jambe Droite essentiellement </t>
  </si>
  <si>
    <t xml:space="preserve">04:57:56 mvt de la tete, bras, jambes, main  fin à 4:58:6</t>
  </si>
  <si>
    <t xml:space="preserve">06:22:49 grimace negative: fronce les sourcils et mvt jambe G un peu de la D et des mains sous le drap fin à 6:22:52</t>
  </si>
  <si>
    <t xml:space="preserve">06:23:22 sourire et léger rire mvt jambes surtout D fin à 6:23:31</t>
  </si>
  <si>
    <t xml:space="preserve">06:28:50 tcsp restreint bras/mains, tete et jambes</t>
  </si>
  <si>
    <t xml:space="preserve">06:33:09 mvt des jambes surtout JD , des bras sous le drap et de la tête fin à 6:33:13</t>
  </si>
  <si>
    <t>CA169</t>
  </si>
  <si>
    <t xml:space="preserve">03:07:09 mvt brusque du bras G un peu scénique? fin à 3:7:23 </t>
  </si>
  <si>
    <t xml:space="preserve">03:08:02 mvt du bras G axial, coronal et sagittal fin à 3:8:26</t>
  </si>
  <si>
    <t xml:space="preserve">03:09:05 mvt du brs G axial, coronal, sagittal fin à 3:9:14 </t>
  </si>
  <si>
    <t xml:space="preserve">03:13:54 mvt scénique du bras G (tremble ?) fin à 3:14:03</t>
  </si>
  <si>
    <t xml:space="preserve">05:55:50 marmonne en étant sur le dos, en bougeant très peu les mains. Fin à55 Puis reprise à 5:56:12  somniloquie: "ah je ...??" reprends à parler de manière incomprehensible fin à 5:56:43 et fini à 48 </t>
  </si>
  <si>
    <t>58min</t>
  </si>
  <si>
    <t xml:space="preserve">apnée obstructive et désat </t>
  </si>
  <si>
    <t xml:space="preserve">05:57:18 somniloquie incompréhensible. "J'ai peur ?"  Bouge un peu les mains (doigts) fin à 5:57:43 (zoom sur le visage) mvt de bouche / chuchote ? À 5:58:54 puis parle et lève bras gauche fin à 5:59:57</t>
  </si>
  <si>
    <t xml:space="preserve">06:01:13 chuchote + mvt main d et bras et main G puis mvt scénique du bras, gémit, mvt main axial, mvt de la tete ,parle en gémissant puis mvt main D axial fin à 6:2:28</t>
  </si>
  <si>
    <t xml:space="preserve">06:03:24 mvt de la main G  et bras aussi puis parle incompréhensible fin à 6:3:31 </t>
  </si>
  <si>
    <t xml:space="preserve">06:04:03 mvt de la bouche, chuchote ? Lève les sourcils et mvt des mains puis attrape les draps fin à 6:4:46</t>
  </si>
  <si>
    <t xml:space="preserve">06:07:03 somniloquie  mvt des mains et de la tete gémit ? Fin à 6:7:44 </t>
  </si>
  <si>
    <t xml:space="preserve">06:08:26 mvt main droite axial et mvt de la bouche fin à 6:8:37</t>
  </si>
  <si>
    <t xml:space="preserve">06:09:08 mvt axial et coroal, sagittal de la main G et d et vocalise fi à 6:9:23</t>
  </si>
  <si>
    <t xml:space="preserve">06:11:16 mvt de la main gauche et droite (axial et coronal) fin à 38</t>
  </si>
  <si>
    <t xml:space="preserve">06:14:17  "AH!" (x3) et parle incompréhensible "ah jcomprends rien?" fin à 6:14:49</t>
  </si>
  <si>
    <t xml:space="preserve">désat et apnée obstructive</t>
  </si>
  <si>
    <t xml:space="preserve">06:21:05 chuchote et mvt de la tete fin à 6:21:15</t>
  </si>
  <si>
    <t xml:space="preserve">06:22:22 froncement de sourcils </t>
  </si>
  <si>
    <t xml:space="preserve">09:55:45  mvt du coude droit fin à 9:55:48</t>
  </si>
  <si>
    <t xml:space="preserve">10:00:56 mvt balancement corps entier et vocalise incompréhensible </t>
  </si>
  <si>
    <t>MFJ160</t>
  </si>
  <si>
    <t>EAI</t>
  </si>
  <si>
    <t xml:space="preserve">01:47:20 tourne la tête, bouge les bras et les jambes cornal et axial puis parle incompréhensible</t>
  </si>
  <si>
    <t xml:space="preserve">desat +arousal respiratoire</t>
  </si>
  <si>
    <t>GD170</t>
  </si>
  <si>
    <t xml:space="preserve">02:49:08 mvts des bras peu visibles à cause des draps (tout le corps sous le drap y compris la tete)  fin à 2:49:47 avec vocalise </t>
  </si>
  <si>
    <t xml:space="preserve">04:19:16 mvt des bras fin à 4:19:19 sous les draps pas visible</t>
  </si>
  <si>
    <t xml:space="preserve">04:22:24 mvt des bras puis refai ce meme mvt fin à 4:22:35</t>
  </si>
  <si>
    <t xml:space="preserve">04:27:57 mvt des bras et un peu des pieds puis mvt brusque tete, tronc, bras G et chuchote manipulation du drap mvt scenique ? Fin à 4:28:23</t>
  </si>
  <si>
    <t>GARDER</t>
  </si>
  <si>
    <t xml:space="preserve">04:31:08 mvt de la main G puis mvt des jambes, pieds et bras G, tronc et tete, mvt fin des doigts  jusqu'à 4:31:44</t>
  </si>
  <si>
    <t xml:space="preserve">04:32:44 mvt main et bras G élaboré mvt fins des doigts, mvt du bras D aussi et des jambes  fin à 4:33:41</t>
  </si>
  <si>
    <t xml:space="preserve">a mettre</t>
  </si>
  <si>
    <t xml:space="preserve">04:35:15 mvt des bras G mvt jusqu'à 4:35:33  </t>
  </si>
  <si>
    <t xml:space="preserve">desat </t>
  </si>
  <si>
    <t xml:space="preserve">04:38:40 mvt jambe D puis mvt bras et main G et parle incompréhensible  jusqu'à 4:39:03 </t>
  </si>
  <si>
    <t>BA171</t>
  </si>
  <si>
    <t xml:space="preserve">03:26:07 mvt de la main D jusqu'à 3:26:10 reprise à 3:26:26 mvt de la meme main mais mvt fin des doigts jusqu'à 3:26:42</t>
  </si>
  <si>
    <t xml:space="preserve">03:27:47 mvt de la main G et main D mvts fins des doigts  fin à 58</t>
  </si>
  <si>
    <t xml:space="preserve">03:34:09 mvt élémentaire des pieds, des mains, des bras et du coude G jusqu'à 3:4:19 </t>
  </si>
  <si>
    <t xml:space="preserve">03:38:19 mvt élémentaire de la main D Fin à 3:38:36 </t>
  </si>
  <si>
    <t xml:space="preserve">apnée mixte</t>
  </si>
  <si>
    <t xml:space="preserve">03:39:38 mvt jambe G puis se balance légèrement, mvt bras G et main G aussi fini à 3:40:13 avec un mvt de la main D mvt fin des doigts</t>
  </si>
  <si>
    <t xml:space="preserve">apnée centrale</t>
  </si>
  <si>
    <t xml:space="preserve">03:41:26 mvt fin des doigts main D, mvt jambe G, bras G fin à 3:41:56 puis reprise à 03:42:11 mvt de la main D scénique attrape qq chose  fin à 3:42:42</t>
  </si>
  <si>
    <t>1min16s</t>
  </si>
  <si>
    <t xml:space="preserve">06:03:34 à 06:04:5: mvt des pieds puis mvt de la main D, brasD et tete </t>
  </si>
  <si>
    <t xml:space="preserve">06:05:11 mvt des pieds et du tronc et bouche fin à 6:5:36 </t>
  </si>
  <si>
    <t>SJP172</t>
  </si>
  <si>
    <t xml:space="preserve">02:34:44 mvt brusque et brutal des jambes et des pieds, des bras et des mains jusqu'à 2:35:03</t>
  </si>
  <si>
    <t xml:space="preserve">02:43:23 mvt de fuite mvt des jambes, pieds, bras, mains fin à 2:43:34</t>
  </si>
  <si>
    <t xml:space="preserve">02:46:42 jusqu'à 2:46:46 mvt des jambes et pieds, mains, bras légèrement</t>
  </si>
  <si>
    <t xml:space="preserve">02:48:33 fin à 2:48:37 mvt brusque des jambes, pieds, mains et bras </t>
  </si>
  <si>
    <t xml:space="preserve">03:41:23 jusqu'à 03:41:32 mvt brusque des jambes, pieds, bras, mains, tronc, tete  </t>
  </si>
  <si>
    <t xml:space="preserve">désat + arousal non spé</t>
  </si>
  <si>
    <t xml:space="preserve">03:42:51 mvt brusques des jambes, pieds, tronc, bras, mains légèrement fin à 03:42:59</t>
  </si>
  <si>
    <t xml:space="preserve">03:44:08 à 03:44:17 mvt de la main G tremblement puis mvt simples de la main/bras G et D et jambes 03:46:26  à 3:46:52 mvt brusque de tout le corps puis des jmabes et pieds à 03:49;29 mvt brusque de la main/poing  fin à 3:50:10 continue les mvts des jambes, des mains et des bras fin à 3:52:59 puis continue : fin à 3:56:40 </t>
  </si>
  <si>
    <t>12min36s</t>
  </si>
  <si>
    <t xml:space="preserve">04:02:47 mvt brusque de la main et bras G fin à 4:2:50 continue mvt des pieds, jambes, mains et fin à 4:5:55</t>
  </si>
  <si>
    <t xml:space="preserve">04:07:57 mvt main G et bras G, jambes et pieds fin à 4:8:38 </t>
  </si>
  <si>
    <t xml:space="preserve">04:09:57 mvt fins de doigts mains puis pieds et jambes fin à 4:10:38 TREMBLE UN PEU </t>
  </si>
  <si>
    <t xml:space="preserve">apnée centrale </t>
  </si>
  <si>
    <t xml:space="preserve">07:29:19 mvt des bra set des mains les lève et les pose sur son torse fin à 7:29:25</t>
  </si>
  <si>
    <t xml:space="preserve">07:33:40 baisse la main D puis rebaisse la meme main et le bras D bouge un peu main G  FIN A 7:33:57</t>
  </si>
  <si>
    <t xml:space="preserve">07:38:43 mvt TETE ET JAMBE G puis brusque/violent main/bras D fin à 7:38:55</t>
  </si>
  <si>
    <t xml:space="preserve">07:48:24 saccade de tout le corps  fin à 28</t>
  </si>
  <si>
    <t xml:space="preserve">decouper </t>
  </si>
  <si>
    <t>SB178</t>
  </si>
  <si>
    <t xml:space="preserve">03:38:49 mvt bras D et main D puis mvt bras G aussi jambes aussi fin à 3:38:57 </t>
  </si>
  <si>
    <t xml:space="preserve">03:48:45 mvt des genoux G et D et jambes puis du bras et de la main D doigts fin à 3:48:58</t>
  </si>
  <si>
    <t xml:space="preserve">désat et arousal avant </t>
  </si>
  <si>
    <t xml:space="preserve">08:24:10 Mvt jambes, main et bras D et tronc fin à 8:24:27</t>
  </si>
  <si>
    <t xml:space="preserve">08:33:41 tourne la tete de DàG fin à 8:33:45: </t>
  </si>
  <si>
    <t>JB173</t>
  </si>
  <si>
    <t xml:space="preserve">EAI anti LGI-1</t>
  </si>
  <si>
    <t xml:space="preserve">04:13:44 mvt elementaire des jambes position sur coté D fin à 4:13:58</t>
  </si>
  <si>
    <t xml:space="preserve">04:15:41 mvt elementaire des jambes position sur coté D  fin à 4:15:44</t>
  </si>
  <si>
    <t xml:space="preserve">05:57:49 mvt elementaires des jambes position sur le dos fin à 5:58:11</t>
  </si>
  <si>
    <t xml:space="preserve">06:21:36 mvt elementaires des pieds et des jambes (balance à D et G) alors qu'ils sont levés et sous le drap</t>
  </si>
  <si>
    <t xml:space="preserve">NV LOCIEL ATT TIMING </t>
  </si>
  <si>
    <t>AS180</t>
  </si>
  <si>
    <t xml:space="preserve">02:30:10 mvt des pieds de la tete et des bras/mains avec vocalisation: onomatopée "Oh!? AH" de surprise puis mvt bras D et JD puis à 2:32:11 grimace négative et sursaut/coup sous les draps. Mvt de bouche en U à 2:32:48 mvt de tete continus 2:33:46 vocalise "hé" et parle incompréhensible fin à 2:33:59</t>
  </si>
  <si>
    <t>3min49s</t>
  </si>
  <si>
    <t xml:space="preserve">02:34:27 pleure jusqu'à 2:34:43</t>
  </si>
  <si>
    <t xml:space="preserve">02:35:02 mvt de tete, mvt main D et bouche puis grimace negative montre ses dents et mvt main D axial stereotypies main G et grimace negative une autre fois à 2:36:04 fin à 2:36:07 reprise à 02:36:20, mvt elementaire des mains sous le drap, 2:36:50 grimace negative puis léger rire et regrimace negative  fin à 2:37:10</t>
  </si>
  <si>
    <t>02min8s</t>
  </si>
  <si>
    <t xml:space="preserve">02:37:37 machonne fin 2:38:03</t>
  </si>
  <si>
    <t xml:space="preserve">02:39:31 cri oh 3x 2:39:45</t>
  </si>
  <si>
    <t xml:space="preserve">02:40:19 mvt elementaire de la tete avec une onomatopée légère, mvt jambe droite et bouche. Tourne la tete et mvt de la main G et du bras G fin 2:40:47</t>
  </si>
  <si>
    <t xml:space="preserve">02:41:42 mvt dela tete et des jambes D et main, bras D, machonne, mvt bruque de la tete fin 2:42:33</t>
  </si>
  <si>
    <t xml:space="preserve">02:43:14 machonne Fin 2:43:27</t>
  </si>
  <si>
    <t>neute</t>
  </si>
  <si>
    <t xml:space="preserve">02:46:01 machonne Fin à 2:46:23 mvt des mains et un peu des jambes</t>
  </si>
  <si>
    <t xml:space="preserve">02:50:50 balance la tete a d et G Fin 2:51:15</t>
  </si>
  <si>
    <t xml:space="preserve">02:53:50 mvt tete, mvt de tete axial et mvt jambe D 2:54:33</t>
  </si>
  <si>
    <t xml:space="preserve">04:51:10 parle incompréhensible et onomatopé au début mvt des bras, de la tete fin 04:51:54</t>
  </si>
  <si>
    <t xml:space="preserve">04:52:50 Mvt main G, mvt tete, mvt main D sous le drap  Fin 4:54:04</t>
  </si>
  <si>
    <t xml:space="preserve">ancien logiciel</t>
  </si>
  <si>
    <t>BF181</t>
  </si>
  <si>
    <t xml:space="preserve">01:46:00 W? TCSP?</t>
  </si>
  <si>
    <t xml:space="preserve">01:46:38 mvts elem main D puis main Gmvt scenique des mains manipule qq chose avec mvt, bras, machonne fin à 1:47:33</t>
  </si>
  <si>
    <t xml:space="preserve">hypopnée pdt tcsp</t>
  </si>
  <si>
    <t xml:space="preserve">W à 2:6:00? Ouiii</t>
  </si>
  <si>
    <t xml:space="preserve">02:04:30 mvt es pieds elementaires et de la main G de l'index. Mvt de la tete, de la Jambe G, main G mv complexe avec les doigts et mainD sous les draps,pieds fin à 2:6:00</t>
  </si>
  <si>
    <t xml:space="preserve">02:13:33 mvt de main G et D ss le drap puis tete, sursaut corps entier puis reprends les mvts elem avec ses mains Fin à 2:14:27</t>
  </si>
  <si>
    <t xml:space="preserve">02:15:30 mvt main G avec les doigts manipule qq chose et machonne? Mvt avec les levres Fin à 2:16:06</t>
  </si>
  <si>
    <t xml:space="preserve">02:18:38 mvt elem brefdes jambes et de la main G avec les doigts refait ce mvt et machonne fin à 2:20:00</t>
  </si>
  <si>
    <t xml:space="preserve">02:20:30 mvt très elem main G et pieds et tete fin à2:21:27</t>
  </si>
  <si>
    <t xml:space="preserve">02:30:07 machonne et mvt bras G et vocalise? Ensuite ferme les yeux plus fort en bougeant la tete et mvt bras G , manip d'objet avec ses doigts main G mvt jambe D léger  fin à 2:31:33</t>
  </si>
  <si>
    <t>1min26s</t>
  </si>
  <si>
    <t xml:space="preserve">apnée centrale pdt tcsp</t>
  </si>
  <si>
    <t xml:space="preserve">02:32:04 mvt bras D et tete légèrement et puis mvt main G avec les doigts. Machonne. Mvt pied D 2: 33:29 fin </t>
  </si>
  <si>
    <t>1min25s</t>
  </si>
  <si>
    <t xml:space="preserve">02:34:04 mvt jambe D , bras D et Bras,main G machonne et mvt tete et main G fin à 2:34:59</t>
  </si>
  <si>
    <t xml:space="preserve">apnée apès 2:36:20 ? Ou souffle ? </t>
  </si>
  <si>
    <t xml:space="preserve">02:35:34: mvt bras G, jambe,pied D et main G avec les doigts manip d'objet, lève l'épaule. Ensuite mvt main D et souffle ? fin à 2:36:20 </t>
  </si>
  <si>
    <t xml:space="preserve">W?? Si non fin à 44 ou 47 ? </t>
  </si>
  <si>
    <t xml:space="preserve">02:37:56 mvt des bras G visible et simple ainsi que mvt bras D sous le drap. Mvt de la tete fin à 2:38:25 reprise brusque sursaut tout le corps (violent) coup dans l'air souffle  ou chuchote ..fin à 2:38:44 ou 47? </t>
  </si>
  <si>
    <t xml:space="preserve">02:42:00 mvt brutal  tout le corps (sursaut) puis mvt bras , main G. Début mvt scénique avec les doigts de la main G  et sursaut  fin à 2:43:30</t>
  </si>
  <si>
    <t xml:space="preserve">02:44:16 mvt de la tete axial, mvt des mains puis mvt de la bouche et bras G et jambe D puis lève la jambe G brusquement avec le mvt des 2 bras/mains Fin à 2:45:18</t>
  </si>
  <si>
    <t>1min02s</t>
  </si>
  <si>
    <t xml:space="preserve">02:47:00 mvt des bras axial et machonne fin à 2:47:30</t>
  </si>
  <si>
    <t xml:space="preserve">2:50:00 machonne lié à la desat et hypopnée ? </t>
  </si>
  <si>
    <t xml:space="preserve">02:51:09 mvt de la main G coronal puis mvt des mains (doigts main G) fin à 2:51:30</t>
  </si>
  <si>
    <t xml:space="preserve">W ?? Se racle la gorge </t>
  </si>
  <si>
    <t xml:space="preserve">02:52:00 machonne et mvt des mains, bras fin à 2:52:29</t>
  </si>
  <si>
    <t xml:space="preserve">03:01:05 mvt du bras G et main G puis épaule D fin à 3:1:14 </t>
  </si>
  <si>
    <t>09s</t>
  </si>
  <si>
    <t xml:space="preserve">apnée avant TCSP </t>
  </si>
  <si>
    <t xml:space="preserve">03:02:15 relié à l'event respi ? </t>
  </si>
  <si>
    <t xml:space="preserve">s'arreter avant la desat ? </t>
  </si>
  <si>
    <t xml:space="preserve">03:02:32 mvt bras et main  G coronal et des pieds refait les memes mvt à 3:3:59 puis sursaut à 3:5:10 avec grimace négative puis desat et mvt des pieds fin à 3:5:28 à partir de 3:6:18 léger mvt tete et mvt scénique dans l'air main G fin finale à 3:7:00  </t>
  </si>
  <si>
    <t>4min28s</t>
  </si>
  <si>
    <t xml:space="preserve">hypopnée obstructive et désat  puis desat et apnée centrale pdt tcsp</t>
  </si>
  <si>
    <t xml:space="preserve">03:07:41 mvt bras et main G restreints et stereotypiques et des pieds aussi puis mvt brusque de tout le corps fin à 3:9:27 </t>
  </si>
  <si>
    <t>1min46s</t>
  </si>
  <si>
    <t xml:space="preserve">desat et hypopnée pdt tcsp </t>
  </si>
  <si>
    <t xml:space="preserve">Compter le mvt du 3:17:47 avec ? </t>
  </si>
  <si>
    <t xml:space="preserve">03:17:00 sursaut brusque de tout le corps et attrape la barrière du lit fin à 3:17:07</t>
  </si>
  <si>
    <t xml:space="preserve">souffle à la fin jusqu'à 3:20:43</t>
  </si>
  <si>
    <t xml:space="preserve">03:19:23 machonne fin à 3:19:32</t>
  </si>
  <si>
    <t xml:space="preserve">03:21:49 mvt scenique brutal de tt le corps et des bras un bras en l'air  et fin à 3:21:53 reprise des mvts elementaires brains/mains, souffle et machonne jusuq'à 3:23:29</t>
  </si>
  <si>
    <t xml:space="preserve">negative ?</t>
  </si>
  <si>
    <t xml:space="preserve">03:33:07 mvt main et brasG, jambe D, mvt brusque de la main G, bras G, tete et jambes , mvt de tete fin à 3:34:28</t>
  </si>
  <si>
    <t>1min21s</t>
  </si>
  <si>
    <t xml:space="preserve">hypopnée, desat, apnée pdt TCSP</t>
  </si>
  <si>
    <t xml:space="preserve">positive?  Sourire à 3:35:51?</t>
  </si>
  <si>
    <t xml:space="preserve">03:35:10 mvt bras G et jambes,mvt scénique complexe avec utilisation d'objet ?  Fais commeun bisou puis machonne? Sourire ou grimace indeter? Fin à 3:36:41 </t>
  </si>
  <si>
    <t>1min31s</t>
  </si>
  <si>
    <t xml:space="preserve">04:04:07 machonne, mvt mainG, bras et main D fin 4:4:33</t>
  </si>
  <si>
    <t xml:space="preserve">04:12:35 machonne, mvt brusque de la main vers l'avant fin à 4:12:46 </t>
  </si>
  <si>
    <t xml:space="preserve">04:13:53 mvt du bras et mainG sagittal elem, puis mvt index, doigts mainG et  mvt des jambes léger puis reprise des mvt des doigts fin à 4:14:31</t>
  </si>
  <si>
    <t xml:space="preserve">04:15:14 hausse l'épaule D et donne un coup léger brusque sous le draps avec bras/main D puis main G dans l'air fin à 4:15:27</t>
  </si>
  <si>
    <t xml:space="preserve">04:21:09 mvt de la jambe D puis mvt léger de la main D et G sous drap fin à 4:21:58</t>
  </si>
  <si>
    <t xml:space="preserve">Désat pdt TCSP</t>
  </si>
  <si>
    <t xml:space="preserve">04:23:38 mvt des jambes elem et souffle ? Mvt des bras et mains fin à 4:24:7 </t>
  </si>
  <si>
    <t xml:space="preserve">04:25:41 mvt elementaires des bras, des jambes puis mvt brusque de la main D dans l'air fin à 4:27:19</t>
  </si>
  <si>
    <t>1min38s</t>
  </si>
  <si>
    <t xml:space="preserve">Desat </t>
  </si>
  <si>
    <t xml:space="preserve">04:28:01 mvt brutal des bras et tete scenique car attrape aussi la barrière du lit fin à 4:28:29</t>
  </si>
  <si>
    <t xml:space="preserve">04:29:31 mvt elem du brasG et machonne. Mvt brutal du pied D fin 4:30:11 </t>
  </si>
  <si>
    <t xml:space="preserve">4:32:34 ? Event respi ou TCSP car ouvre la bouche ? </t>
  </si>
  <si>
    <t xml:space="preserve">04:32:48 mvt de la tete puis grimace negative ferme les yeux plus fort. Mvt des jambes. Lève le bras D et puis mainG bouge sur la  barrière fin à 4:33:50</t>
  </si>
  <si>
    <t xml:space="preserve">04:34:40 mvt bras et main D aisni que de la jambe G, mvt du doigt (pouce) de la main G sur la barrière fin à 4:36:48</t>
  </si>
  <si>
    <t>2min08s</t>
  </si>
  <si>
    <t xml:space="preserve">apnée, desat pdt TCSP</t>
  </si>
  <si>
    <t xml:space="preserve">04:45:46 mvt des mains, puis des jambes . Lève le bras G puis bras droit. Lève la jambe G. mvt des doigts de la main G, machonne, mvt bras D . Vocalise à 4:49:42: onomatopée 'oh'  fin à 4:50:16 </t>
  </si>
  <si>
    <t>4min30s</t>
  </si>
  <si>
    <t xml:space="preserve">04:52:03 machonne et Mvt main D fin à 4:52:17 </t>
  </si>
  <si>
    <t xml:space="preserve">4:54:00  et 4:54:31 pas pris en compte car hypopnée et event respi</t>
  </si>
  <si>
    <t xml:space="preserve">04:54:24 ?? Mvt bras D et lève la jambe D  fin 4:55:13  ou finir à 4:56:22</t>
  </si>
  <si>
    <t>1min58s</t>
  </si>
  <si>
    <t xml:space="preserve">Souffle ? </t>
  </si>
  <si>
    <t xml:space="preserve">04:56:32 souffle ? Mvt des 2 bras et mains jambe G Fin à 4:58:24</t>
  </si>
  <si>
    <t>1min52s</t>
  </si>
  <si>
    <t xml:space="preserve">05:2:00 mvt de la tete des mains et des pieds stereotypies puis manipulation du drap fin 5:2:31</t>
  </si>
  <si>
    <t>BP185</t>
  </si>
  <si>
    <t xml:space="preserve">00:20:53 mvt des jambes et des pieds  fin à 00:21:32</t>
  </si>
  <si>
    <t xml:space="preserve">02:03:16 mvt des jambes et des pieds fin à 2:3:23</t>
  </si>
  <si>
    <t>07s</t>
  </si>
  <si>
    <t xml:space="preserve">2:10:44 mvt des jambes pdt apnée centrale </t>
  </si>
  <si>
    <t xml:space="preserve">05:30:40 mvt des pieds sous le drap et mvt de la main G fin à 5:31:05</t>
  </si>
  <si>
    <t>1min35s</t>
  </si>
  <si>
    <t>PB186</t>
  </si>
  <si>
    <t>MPI</t>
  </si>
  <si>
    <t xml:space="preserve">02:19:00 grimace negative </t>
  </si>
  <si>
    <t xml:space="preserve">02:27:03 mvt scenique  des bras en l'air avec mvt de la tete  fin à 2:27:11</t>
  </si>
  <si>
    <t>08s</t>
  </si>
  <si>
    <t xml:space="preserve">rire ? </t>
  </si>
  <si>
    <t xml:space="preserve">02:28:56 mvt bras en l'air  + rire fin à 2:29:08</t>
  </si>
  <si>
    <t xml:space="preserve">2:33:39: grimace negative mais desat et </t>
  </si>
  <si>
    <t xml:space="preserve">02:34:32 mvt du bras G </t>
  </si>
  <si>
    <t xml:space="preserve">02:39:26  W ? </t>
  </si>
  <si>
    <t xml:space="preserve">2:41:04: grimace negative pdt event respi et 2:41:44 </t>
  </si>
  <si>
    <t>NCJM193</t>
  </si>
  <si>
    <t xml:space="preserve">03:04:54 mvt elementaire axial très restreint de la  main G et machonne ou chuchote ? 3:6:27 Veille ? </t>
  </si>
  <si>
    <t>1min33s</t>
  </si>
  <si>
    <t>N1??</t>
  </si>
  <si>
    <t xml:space="preserve">chuchote après ? Ou event respi? Fin  3:12:58 avec chuchotement et desat pdt tcsp</t>
  </si>
  <si>
    <t xml:space="preserve">03:11:57 mvt bras D (3s)</t>
  </si>
  <si>
    <t xml:space="preserve">03:13:56 : mvt ample des bras, de la tete, des jambes  et du tronc fin à 3:14:08</t>
  </si>
  <si>
    <t xml:space="preserve">04:36:25 mvt de la main G (des doigts) mainD un peu et de la tete en chuchotant et hausse les sourcils fin à 3:36:30</t>
  </si>
  <si>
    <t>EP194</t>
  </si>
  <si>
    <t xml:space="preserve">22:10:54 chuchote puis mvt bras G et tete et à22:11:04  commence à parler incompréhensible. Mvt de la main D sous le drap   fin à 22:12:16</t>
  </si>
  <si>
    <t xml:space="preserve">rire? </t>
  </si>
  <si>
    <t xml:space="preserve">22:12:45 : chuchote. Mvt bras D et mains (D sous le drap) puis rire à 22:13:15 fin à 22:13:19</t>
  </si>
  <si>
    <t xml:space="preserve">22:13:58 chuchote et mvt de la main D  sous le drap et de la tete 22:14:27</t>
  </si>
  <si>
    <t xml:space="preserve">22:15:17 mvt de la tete et du bras, main G   parle incompréhensible à 22:15:43 fin à 22:16:04 </t>
  </si>
  <si>
    <t xml:space="preserve">23:54:59 hausse les sourcils, parle incompréhensible et mvt de la tete, mvt de la main G, tronc, tout le corps, mvt violent dans les draps et chuchote fin à 00:00:05</t>
  </si>
  <si>
    <t>5min06s</t>
  </si>
  <si>
    <t xml:space="preserve">00:01:09 mvt des doigts main D puis bras et main G  en chuchotant fin à 00:1:45</t>
  </si>
  <si>
    <t xml:space="preserve">desat et hypopnée </t>
  </si>
  <si>
    <t xml:space="preserve">00:05:40  mvt des doigts main D fin à 00:6:19 </t>
  </si>
  <si>
    <t xml:space="preserve">00:07:12 mvt des doigts, mvts corps entier puis manipule les câbles et parle incompréhensible  fin 00:10:35 </t>
  </si>
  <si>
    <t>3min23s</t>
  </si>
  <si>
    <t xml:space="preserve">apnée, desat </t>
  </si>
  <si>
    <t xml:space="preserve">arret après? </t>
  </si>
  <si>
    <t xml:space="preserve">00:12:00 parle fort et mvt violent, attrape la barrière du lit et tire 2 fois, fronce les sourcils fni à 00:12:51 </t>
  </si>
  <si>
    <t xml:space="preserve">Couper avant apnée? Desat mvt tremblement de la main après le timing</t>
  </si>
  <si>
    <t xml:space="preserve"> 01:46:34 mvt du bras G puis main D, tete, épaule D et jambe D vocalise incompréhensible 'ah' fin à 1:48:35</t>
  </si>
  <si>
    <t>2min01s</t>
  </si>
  <si>
    <t xml:space="preserve">apnée mixte pdt TCSP</t>
  </si>
  <si>
    <t xml:space="preserve">sourire? </t>
  </si>
  <si>
    <t xml:space="preserve">01:49:15 sourire ? Et mvt de tete, mvt fin des doigts des 2 mains puis souffle et fin à 1:50:15 </t>
  </si>
  <si>
    <t>1min00s</t>
  </si>
  <si>
    <t xml:space="preserve">01:57:02 mvt des doigts de la main et du bras D, pied D, tete, mvt du coude G  puis continue avec les mvts des doigts main D et  parle incompréhensible  avec mvt tout le corps, mvt jambe et pieds G  onomatopée "hé, oh!" hausse sourcils en mode neutre fin à 2:00:39</t>
  </si>
  <si>
    <t>3min37s</t>
  </si>
  <si>
    <t xml:space="preserve">02:01:31 mvt de la main D avec les doigts puis bras D et coude /bras G  puis jambeG, tete  mvt jambe G mvt des doigts fin puis balance tout le corps 1 fois et parle "eh ça va ? " autoritaire fin à 2:3:43</t>
  </si>
  <si>
    <t>2min12s</t>
  </si>
  <si>
    <t xml:space="preserve">02:06:09 machonne, mvt de la tete, bras  G , de la jambe G fin à 2:6: 34</t>
  </si>
  <si>
    <t xml:space="preserve">03:39:21 mvt fin des doigts main D et bras D, mvt jambe G, tete , 3:39:57 </t>
  </si>
  <si>
    <t xml:space="preserve">04:06:52 mvt doigts main D puis main G (mvt doigts), tete, jambe G fin à 4:8:7 </t>
  </si>
  <si>
    <t xml:space="preserve">04:38:48 : mvt des doigts main D, bras, jambeD fin à 4:38:15</t>
  </si>
  <si>
    <t xml:space="preserve">hypopnée pdt tscp</t>
  </si>
  <si>
    <t xml:space="preserve">04:40:16 mvt elementaires des doigts de la main D fin à 4:40:57</t>
  </si>
  <si>
    <t xml:space="preserve">04:42:06 mvt des doigts main D, bras D,puis bras G  jambes, se balance légèrement fin à 4:42:30</t>
  </si>
  <si>
    <t xml:space="preserve">ANCIEN LOGICIEL</t>
  </si>
  <si>
    <t>IS179</t>
  </si>
  <si>
    <t>TCSPi</t>
  </si>
  <si>
    <t xml:space="preserve">04:21:06 mvt des bras, jambes, pieds, tronc, tete : parle de manière compréhensibe :"putain" d'un ton agacé fin 4:21:14</t>
  </si>
  <si>
    <t xml:space="preserve">W? </t>
  </si>
  <si>
    <t xml:space="preserve">01:26:30 rien </t>
  </si>
  <si>
    <t xml:space="preserve">05:47:21 gémit et mvt bref brusque de tout le corps fin à 5:47:24 </t>
  </si>
  <si>
    <t xml:space="preserve">03:50:52 arousal pas TCSP</t>
  </si>
  <si>
    <t xml:space="preserve">07:29:56  parle de manière compréhensible "Merde" fin à 7:30:04  sans mvt</t>
  </si>
  <si>
    <t xml:space="preserve">07:32:02 mvt de la langue (mange) fin à 7:32:11 </t>
  </si>
  <si>
    <t xml:space="preserve">hypopnée et désat pdt TCSP</t>
  </si>
  <si>
    <t xml:space="preserve">07:33:46  mvt de la bouche puis mvt des doigts de la main G  fin à 7:34:42 </t>
  </si>
  <si>
    <t>GS191</t>
  </si>
  <si>
    <t xml:space="preserve">05:42:33 mvts elementaires  des pieds, jambes, des bras, tete, mains, manipule le cable avec ses doigts à 5:44:25 mvt agressif et brutal (comme un coup de poing) en manipulant avec maain et bras G, tete , bras et parle incompréhensible. Fin à 5:44:33 </t>
  </si>
  <si>
    <t>2min00s</t>
  </si>
  <si>
    <t xml:space="preserve">05:54:20 mvt elem des pieds et des bras. Se retourne sur la G , bras, tete , tronc mains .. et fin à 5:55:18</t>
  </si>
  <si>
    <t xml:space="preserve">05:56:07 chuchote puis lève la main G et mvt main D, manipule le cable puis parle incompréhensible FIN à 5:58:30</t>
  </si>
  <si>
    <t>2min23s</t>
  </si>
  <si>
    <t xml:space="preserve">06:05:02 mvts doigts main G, pied et jambe D fin à 6:5:31</t>
  </si>
  <si>
    <t xml:space="preserve">06:06:01 mvt elementaires pieds, jambes, bras G et tete puisparle dit "je sais pas" puis"ouais et incompréhensible. Ensuite mvt scénique, manipule le cable et son genou et rire. Fin à 6:8:33</t>
  </si>
  <si>
    <t>2min32s</t>
  </si>
  <si>
    <t xml:space="preserve">06:08:50 mvt pied D jambe D et bras G se touche la tete, frotte son oeil puis mvt bras D. Mvt scenique avecses mains, touche son short essaye de se redresser 6: 10: 43</t>
  </si>
  <si>
    <t xml:space="preserve">06:12:08 mvt du bras, main D restreint et bras, main G fin à 6:12:15</t>
  </si>
  <si>
    <t xml:space="preserve">06:17:45 mvt elementaires des pieds et de du bras D. myoclonie de tout le corps bras, tete et tronc puis mvt des doigts main D fin à 6:18:51</t>
  </si>
  <si>
    <t>1min06s</t>
  </si>
  <si>
    <t xml:space="preserve">06:24:01 mvt bras D, mvts des jambes et du bras G 6:24:30 </t>
  </si>
  <si>
    <t xml:space="preserve">06:31:37 mvt léger des jambes puis somniloquie incompréhensible. Puis souffle fin à 6:32:28</t>
  </si>
  <si>
    <t xml:space="preserve">06:38:17 mvt scenique du bras G et bras D les lève à l'air et de la jambe D fin à 6:38:57 </t>
  </si>
  <si>
    <t xml:space="preserve">06:41:31 lève les bras à l'air deux fois fin à 6:42:06</t>
  </si>
  <si>
    <t xml:space="preserve">proportion de  REM sur sommeil total</t>
  </si>
  <si>
    <t xml:space="preserve">temps de sommeil total</t>
  </si>
  <si>
    <t>brusque</t>
  </si>
  <si>
    <t>lent</t>
  </si>
  <si>
    <t>face</t>
  </si>
  <si>
    <t>distal</t>
  </si>
  <si>
    <t>proximal</t>
  </si>
  <si>
    <t>symétriques</t>
  </si>
  <si>
    <t xml:space="preserve">négative (fronce sourcil)</t>
  </si>
  <si>
    <t xml:space="preserve">*simples </t>
  </si>
  <si>
    <t xml:space="preserve">*Majeurs (saccade de l'ensemble du corps)</t>
  </si>
  <si>
    <t>*stéréotypies</t>
  </si>
  <si>
    <t xml:space="preserve">sauter du lit </t>
  </si>
  <si>
    <t xml:space="preserve">fuir ou combattre attaquer.. </t>
  </si>
  <si>
    <t xml:space="preserve">manipulation d'objet</t>
  </si>
  <si>
    <t xml:space="preserve">coup de poing/pied..</t>
  </si>
  <si>
    <t xml:space="preserve">fuir ou combattre ou attaquer </t>
  </si>
  <si>
    <t xml:space="preserve">                                                        SEM: signes moteurs élémentaires mvts cloniques et contractions/ postures toniques ou dystoniques ou mvts tête ou yeux                                                 CMG: compo moteur gestuel (stereotypies, mvts hyperkinétiques, intégré/non intégré)</t>
  </si>
</sst>
</file>

<file path=xl/styles.xml><?xml version="1.0" encoding="utf-8"?>
<styleSheet xmlns="http://schemas.openxmlformats.org/spreadsheetml/2006/main" xmlns:mc="http://schemas.openxmlformats.org/markup-compatibility/2006" xmlns:x14="http://schemas.microsoft.com/office/spreadsheetml/2009/9/main" xmlns:x14ac="http://schemas.microsoft.com/office/spreadsheetml/2009/9/ac" xmlns:x16r2="http://schemas.microsoft.com/office/spreadsheetml/2015/02/main" mc:Ignorable="x14ac x16r2">
  <fonts count="14">
    <font>
      <sz val="11.000000"/>
      <color theme="1"/>
      <name val="Calibri"/>
    </font>
    <font>
      <sz val="11.000000"/>
      <color rgb="FF006100"/>
      <name val="Calibri"/>
    </font>
    <font>
      <sz val="11.000000"/>
      <name val="Calibri"/>
    </font>
    <font>
      <sz val="11.000000"/>
      <color indexed="65"/>
      <name val="Segoe UI Historic"/>
    </font>
    <font>
      <sz val="11.000000"/>
      <color indexed="2"/>
      <name val="Calibri"/>
    </font>
    <font>
      <b/>
      <sz val="11.000000"/>
      <color theme="1"/>
      <name val="Calibri"/>
    </font>
    <font>
      <sz val="12.000000"/>
      <name val="Calibri"/>
    </font>
    <font>
      <b/>
      <sz val="11.000000"/>
      <color indexed="2"/>
      <name val="Calibri"/>
    </font>
    <font>
      <sz val="12.000000"/>
      <color indexed="2"/>
      <name val="Calibri"/>
    </font>
    <font>
      <b/>
      <sz val="11.000000"/>
      <name val="Calibri"/>
    </font>
    <font>
      <i/>
      <sz val="11.000000"/>
      <color theme="1"/>
      <name val="Calibri"/>
    </font>
    <font>
      <b/>
      <sz val="11.000000"/>
      <color rgb="FF0070C0"/>
      <name val="Calibri"/>
    </font>
    <font>
      <sz val="11.000000"/>
      <color rgb="FF00B050"/>
      <name val="Calibri"/>
    </font>
    <font>
      <b/>
      <i/>
      <sz val="11.000000"/>
      <color theme="1"/>
      <name val="Calibri"/>
    </font>
  </fonts>
  <fills count="28">
    <fill>
      <patternFill patternType="none"/>
    </fill>
    <fill>
      <patternFill patternType="gray125"/>
    </fill>
    <fill>
      <patternFill patternType="solid">
        <fgColor rgb="FFC6EFCE"/>
        <bgColor rgb="FFD7E4BD"/>
      </patternFill>
    </fill>
    <fill>
      <patternFill patternType="solid">
        <fgColor rgb="FF92D050"/>
        <bgColor rgb="FFC3D69B"/>
      </patternFill>
    </fill>
    <fill>
      <patternFill patternType="solid">
        <fgColor rgb="FFFFC000"/>
        <bgColor indexed="52"/>
      </patternFill>
    </fill>
    <fill>
      <patternFill patternType="solid">
        <fgColor indexed="2"/>
        <bgColor rgb="FFC00000"/>
      </patternFill>
    </fill>
    <fill>
      <patternFill patternType="solid">
        <fgColor theme="2"/>
        <bgColor rgb="FFFDEADA"/>
      </patternFill>
    </fill>
    <fill>
      <patternFill patternType="solid">
        <fgColor indexed="5"/>
        <bgColor rgb="FFFFC000"/>
      </patternFill>
    </fill>
    <fill>
      <patternFill patternType="solid">
        <fgColor rgb="FFC00000"/>
        <bgColor indexed="2"/>
      </patternFill>
    </fill>
    <fill>
      <patternFill patternType="solid">
        <fgColor rgb="FF00B0F0"/>
        <bgColor indexed="49"/>
      </patternFill>
    </fill>
    <fill>
      <patternFill patternType="solid">
        <fgColor theme="6" tint="0.39988402966399123"/>
        <bgColor rgb="FFD7E4BD"/>
      </patternFill>
    </fill>
    <fill>
      <patternFill patternType="solid">
        <fgColor theme="9" tint="0.39988402966399123"/>
        <bgColor rgb="FFFCD5B5"/>
      </patternFill>
    </fill>
    <fill>
      <patternFill patternType="solid">
        <fgColor theme="3" tint="0.59987182226020086"/>
        <bgColor indexed="24"/>
      </patternFill>
    </fill>
    <fill>
      <patternFill patternType="solid">
        <fgColor theme="7" tint="0.59987182226020086"/>
        <bgColor rgb="FFC3D69B"/>
      </patternFill>
    </fill>
    <fill>
      <patternFill patternType="solid">
        <fgColor indexed="5"/>
        <bgColor indexed="5"/>
      </patternFill>
    </fill>
    <fill>
      <patternFill patternType="solid">
        <fgColor theme="6" tint="0.59987182226020086"/>
        <bgColor rgb="FFC6EFCE"/>
      </patternFill>
    </fill>
    <fill>
      <patternFill patternType="solid">
        <fgColor theme="5" tint="0.79989013336588644"/>
        <bgColor rgb="FFFDEADA"/>
      </patternFill>
    </fill>
    <fill>
      <patternFill patternType="solid">
        <fgColor theme="9" tint="0.79989013336588644"/>
        <bgColor rgb="FFEEECE1"/>
      </patternFill>
    </fill>
    <fill>
      <patternFill patternType="solid">
        <fgColor theme="7" tint="0.39988402966399123"/>
        <bgColor indexed="24"/>
      </patternFill>
    </fill>
    <fill>
      <patternFill patternType="solid">
        <fgColor theme="0"/>
        <bgColor indexed="26"/>
      </patternFill>
    </fill>
    <fill>
      <patternFill patternType="solid">
        <fgColor theme="9" tint="0.59987182226020086"/>
        <bgColor rgb="FFF2DCDB"/>
      </patternFill>
    </fill>
    <fill>
      <patternFill patternType="solid">
        <fgColor theme="6" tint="0.59999389629810485"/>
        <bgColor theme="6" tint="0.59999389629810485"/>
      </patternFill>
    </fill>
    <fill>
      <patternFill patternType="solid">
        <fgColor indexed="5"/>
      </patternFill>
    </fill>
    <fill>
      <patternFill patternType="solid">
        <fgColor indexed="2"/>
      </patternFill>
    </fill>
    <fill>
      <patternFill patternType="solid">
        <fgColor indexed="2"/>
        <bgColor indexed="52"/>
      </patternFill>
    </fill>
    <fill>
      <patternFill patternType="solid">
        <fgColor rgb="FFFFC000"/>
      </patternFill>
    </fill>
    <fill>
      <patternFill patternType="solid">
        <fgColor indexed="26"/>
        <bgColor rgb="FFFDEADA"/>
      </patternFill>
    </fill>
    <fill>
      <patternFill patternType="solid">
        <fgColor indexed="43"/>
        <bgColor indexed="26"/>
      </patternFill>
    </fill>
  </fills>
  <borders count="7">
    <border>
      <left style="none"/>
      <right style="none"/>
      <top style="none"/>
      <bottom style="none"/>
      <diagonal style="none"/>
    </border>
    <border>
      <left style="none"/>
      <right style="none"/>
      <top style="none"/>
      <bottom style="thin">
        <color theme="1"/>
      </bottom>
      <diagonal style="none"/>
    </border>
    <border>
      <left style="none"/>
      <right style="none"/>
      <top style="thin">
        <color theme="1"/>
      </top>
      <bottom style="none"/>
      <diagonal style="none"/>
    </border>
    <border>
      <left style="none"/>
      <right style="none"/>
      <top style="thin">
        <color theme="1"/>
      </top>
      <bottom style="thin">
        <color theme="1"/>
      </bottom>
      <diagonal style="none"/>
    </border>
    <border>
      <left style="none"/>
      <right style="none"/>
      <top style="thin">
        <color theme="1"/>
      </top>
      <bottom style="medium">
        <color theme="1"/>
      </bottom>
      <diagonal style="none"/>
    </border>
    <border>
      <left style="none"/>
      <right style="none"/>
      <top style="medium">
        <color theme="1"/>
      </top>
      <bottom style="none"/>
      <diagonal style="none"/>
    </border>
    <border>
      <left style="none"/>
      <right style="none"/>
      <top style="thin">
        <color theme="1"/>
      </top>
      <bottom style="thin">
        <color auto="1"/>
      </bottom>
      <diagonal style="none"/>
    </border>
  </borders>
  <cellStyleXfs count="2">
    <xf fontId="0" fillId="0" borderId="0" numFmtId="0" applyNumberFormat="1" applyFont="1" applyFill="1" applyBorder="1"/>
    <xf fontId="1" fillId="2" borderId="0" numFmtId="0" applyNumberFormat="1" applyFont="1" applyFill="1" applyBorder="1"/>
  </cellStyleXfs>
  <cellXfs count="442">
    <xf fontId="0" fillId="0" borderId="0" numFmtId="0" xfId="0"/>
    <xf fontId="0" fillId="0" borderId="0" numFmtId="0" xfId="0"/>
    <xf fontId="0" fillId="0" borderId="0" numFmtId="0" xfId="0" applyAlignment="1">
      <alignment wrapText="1"/>
    </xf>
    <xf fontId="2" fillId="0" borderId="0" numFmtId="49" xfId="0" applyNumberFormat="1" applyFont="1"/>
    <xf fontId="0" fillId="0" borderId="0" numFmtId="0" xfId="0" applyAlignment="1">
      <alignment horizontal="right"/>
    </xf>
    <xf fontId="0" fillId="3" borderId="0" numFmtId="0" xfId="0" applyFill="1"/>
    <xf fontId="0" fillId="3" borderId="0" numFmtId="0" xfId="0" applyFill="1" applyAlignment="1">
      <alignment wrapText="1"/>
    </xf>
    <xf fontId="2" fillId="3" borderId="0" numFmtId="49" xfId="0" applyNumberFormat="1" applyFont="1" applyFill="1"/>
    <xf fontId="0" fillId="3" borderId="0" numFmtId="0" xfId="0" applyFill="1" applyAlignment="1">
      <alignment horizontal="right"/>
    </xf>
    <xf fontId="0" fillId="0" borderId="0" numFmtId="17" xfId="0" applyNumberFormat="1"/>
    <xf fontId="0" fillId="0" borderId="0" numFmtId="14" xfId="0" applyNumberFormat="1"/>
    <xf fontId="3" fillId="0" borderId="0" numFmtId="14" xfId="0" applyNumberFormat="1" applyFont="1" applyAlignment="1">
      <alignment vertical="center"/>
    </xf>
    <xf fontId="0" fillId="0" borderId="0" numFmtId="0" xfId="0" applyAlignment="1">
      <alignment vertical="center"/>
    </xf>
    <xf fontId="0" fillId="0" borderId="0" numFmtId="14" xfId="0" applyNumberFormat="1" applyAlignment="1">
      <alignment horizontal="right"/>
    </xf>
    <xf fontId="0" fillId="4" borderId="0" numFmtId="0" xfId="0" applyFill="1"/>
    <xf fontId="0" fillId="4" borderId="0" numFmtId="17" xfId="0" applyNumberFormat="1" applyFill="1"/>
    <xf fontId="0" fillId="4" borderId="0" numFmtId="0" xfId="0" applyFill="1" applyAlignment="1">
      <alignment horizontal="right"/>
    </xf>
    <xf fontId="0" fillId="4" borderId="0" numFmtId="14" xfId="0" applyNumberFormat="1" applyFill="1"/>
    <xf fontId="2" fillId="4" borderId="0" numFmtId="49" xfId="0" applyNumberFormat="1" applyFont="1" applyFill="1"/>
    <xf fontId="0" fillId="4" borderId="0" numFmtId="0" xfId="0" applyFill="1" applyAlignment="1">
      <alignment vertical="center"/>
    </xf>
    <xf fontId="4" fillId="0" borderId="0" numFmtId="0" xfId="0" applyFont="1"/>
    <xf fontId="2" fillId="0" borderId="0" numFmtId="0" xfId="0" applyFont="1"/>
    <xf fontId="0" fillId="0" borderId="0" numFmtId="14" xfId="0" applyNumberFormat="1" applyAlignment="1">
      <alignment wrapText="1"/>
    </xf>
    <xf fontId="0" fillId="0" borderId="0" numFmtId="0" xfId="0" applyAlignment="1">
      <alignment horizontal="right" wrapText="1"/>
    </xf>
    <xf fontId="5" fillId="0" borderId="0" numFmtId="0" xfId="0" applyFont="1" applyAlignment="1">
      <alignment horizontal="right"/>
    </xf>
    <xf fontId="0" fillId="0" borderId="0" numFmtId="21" xfId="0" applyNumberFormat="1" applyAlignment="1">
      <alignment horizontal="right"/>
    </xf>
    <xf fontId="2" fillId="0" borderId="0" numFmtId="17" xfId="0" applyNumberFormat="1" applyFont="1"/>
    <xf fontId="2" fillId="0" borderId="0" numFmtId="14" xfId="0" applyNumberFormat="1" applyFont="1"/>
    <xf fontId="2" fillId="0" borderId="0" numFmtId="0" xfId="0" applyFont="1" applyAlignment="1">
      <alignment horizontal="right"/>
    </xf>
    <xf fontId="0" fillId="5" borderId="0" numFmtId="0" xfId="0" applyFill="1"/>
    <xf fontId="0" fillId="5" borderId="0" numFmtId="17" xfId="0" applyNumberFormat="1" applyFill="1"/>
    <xf fontId="0" fillId="5" borderId="0" numFmtId="14" xfId="0" applyNumberFormat="1" applyFill="1"/>
    <xf fontId="0" fillId="5" borderId="0" numFmtId="0" xfId="0" applyFill="1" applyAlignment="1">
      <alignment horizontal="right" wrapText="1"/>
    </xf>
    <xf fontId="0" fillId="5" borderId="0" numFmtId="0" xfId="0" applyFill="1" applyAlignment="1">
      <alignment wrapText="1"/>
    </xf>
    <xf fontId="5" fillId="0" borderId="0" numFmtId="0" xfId="0" applyFont="1" applyAlignment="1">
      <alignment horizontal="right" wrapText="1"/>
    </xf>
    <xf fontId="0" fillId="0" borderId="0" numFmtId="17" xfId="0" applyNumberFormat="1" applyAlignment="1">
      <alignment horizontal="right"/>
    </xf>
    <xf fontId="0" fillId="0" borderId="0" numFmtId="17" xfId="0" applyNumberFormat="1" applyAlignment="1">
      <alignment horizontal="right" vertical="center"/>
    </xf>
    <xf fontId="0" fillId="0" borderId="0" numFmtId="14" xfId="0" applyNumberFormat="1" applyAlignment="1">
      <alignment horizontal="center" vertical="center"/>
    </xf>
    <xf fontId="6" fillId="0" borderId="0" numFmtId="0" xfId="0" applyFont="1" applyAlignment="1">
      <alignment horizontal="center" vertical="center"/>
    </xf>
    <xf fontId="0" fillId="0" borderId="0" numFmtId="0" xfId="0" applyAlignment="1">
      <alignment horizontal="center" vertical="center"/>
    </xf>
    <xf fontId="6" fillId="0" borderId="0" numFmtId="14" xfId="0" applyNumberFormat="1" applyFont="1" applyAlignment="1">
      <alignment horizontal="center" vertical="center"/>
    </xf>
    <xf fontId="6" fillId="0" borderId="0" numFmtId="14" xfId="0" applyNumberFormat="1" applyFont="1" applyAlignment="1">
      <alignment horizontal="center" vertical="center" wrapText="1"/>
    </xf>
    <xf fontId="2" fillId="0" borderId="0" numFmtId="17" xfId="0" applyNumberFormat="1" applyFont="1" applyAlignment="1">
      <alignment horizontal="right"/>
    </xf>
    <xf fontId="6" fillId="0" borderId="0" numFmtId="14" xfId="0" applyNumberFormat="1" applyFont="1" applyAlignment="1">
      <alignment horizontal="center"/>
    </xf>
    <xf fontId="6" fillId="0" borderId="0" numFmtId="0" xfId="0" applyFont="1" applyAlignment="1">
      <alignment horizontal="center"/>
    </xf>
    <xf fontId="0" fillId="4" borderId="0" numFmtId="17" xfId="0" applyNumberFormat="1" applyFill="1" applyAlignment="1">
      <alignment horizontal="right" vertical="center"/>
    </xf>
    <xf fontId="0" fillId="4" borderId="0" numFmtId="14" xfId="0" applyNumberFormat="1" applyFill="1" applyAlignment="1">
      <alignment horizontal="center" vertical="center"/>
    </xf>
    <xf fontId="6" fillId="4" borderId="0" numFmtId="0" xfId="0" applyFont="1" applyFill="1" applyAlignment="1">
      <alignment horizontal="center" vertical="center"/>
    </xf>
    <xf fontId="0" fillId="0" borderId="0" numFmtId="0" xfId="0" applyAlignment="1">
      <alignment horizontal="left" vertical="top"/>
    </xf>
    <xf fontId="0" fillId="0" borderId="0" numFmtId="14" xfId="0" applyNumberFormat="1" applyAlignment="1">
      <alignment horizontal="center"/>
    </xf>
    <xf fontId="0" fillId="0" borderId="0" numFmtId="0" xfId="0" applyAlignment="1">
      <alignment horizontal="center"/>
    </xf>
    <xf fontId="2" fillId="0" borderId="0" numFmtId="17" xfId="0" applyNumberFormat="1" applyFont="1" applyAlignment="1">
      <alignment horizontal="right" vertical="center"/>
    </xf>
    <xf fontId="0" fillId="6" borderId="0" numFmtId="0" xfId="0" applyFill="1"/>
    <xf fontId="0" fillId="6" borderId="0" numFmtId="0" xfId="0" applyFill="1" applyAlignment="1">
      <alignment wrapText="1"/>
    </xf>
    <xf fontId="2" fillId="6" borderId="0" numFmtId="49" xfId="0" applyNumberFormat="1" applyFont="1" applyFill="1"/>
    <xf fontId="0" fillId="6" borderId="0" numFmtId="0" xfId="0" applyFill="1" applyAlignment="1">
      <alignment horizontal="right"/>
    </xf>
    <xf fontId="0" fillId="0" borderId="0" numFmtId="21" xfId="0" applyNumberFormat="1" applyAlignment="1">
      <alignment horizontal="right" vertical="top" wrapText="1"/>
    </xf>
    <xf fontId="2" fillId="6" borderId="0" numFmtId="0" xfId="0" applyFont="1" applyFill="1"/>
    <xf fontId="0" fillId="6" borderId="0" numFmtId="17" xfId="0" applyNumberFormat="1" applyFill="1"/>
    <xf fontId="0" fillId="6" borderId="0" numFmtId="14" xfId="0" applyNumberFormat="1" applyFill="1" applyAlignment="1">
      <alignment wrapText="1"/>
    </xf>
    <xf fontId="0" fillId="0" borderId="0" numFmtId="49" xfId="0" applyNumberFormat="1"/>
    <xf fontId="2" fillId="6" borderId="0" numFmtId="17" xfId="0" applyNumberFormat="1" applyFont="1" applyFill="1" applyAlignment="1">
      <alignment horizontal="right"/>
    </xf>
    <xf fontId="2" fillId="6" borderId="0" numFmtId="14" xfId="0" applyNumberFormat="1" applyFont="1" applyFill="1" applyAlignment="1">
      <alignment wrapText="1"/>
    </xf>
    <xf fontId="6" fillId="6" borderId="0" numFmtId="0" xfId="0" applyFont="1" applyFill="1" applyAlignment="1">
      <alignment horizontal="center" vertical="center"/>
    </xf>
    <xf fontId="2" fillId="6" borderId="0" numFmtId="0" xfId="0" applyFont="1" applyFill="1" applyAlignment="1">
      <alignment wrapText="1"/>
    </xf>
    <xf fontId="2" fillId="6" borderId="0" numFmtId="0" xfId="0" applyFont="1" applyFill="1" applyAlignment="1">
      <alignment horizontal="right"/>
    </xf>
    <xf fontId="0" fillId="7" borderId="0" numFmtId="0" xfId="0" applyFill="1"/>
    <xf fontId="0" fillId="7" borderId="0" numFmtId="0" xfId="0" applyFill="1" applyAlignment="1">
      <alignment wrapText="1"/>
    </xf>
    <xf fontId="2" fillId="7" borderId="0" numFmtId="49" xfId="0" applyNumberFormat="1" applyFont="1" applyFill="1"/>
    <xf fontId="0" fillId="7" borderId="0" numFmtId="0" xfId="0" applyFill="1" applyAlignment="1">
      <alignment horizontal="right"/>
    </xf>
    <xf fontId="0" fillId="0" borderId="0" numFmtId="14" xfId="0" applyNumberFormat="1" applyAlignment="1">
      <alignment vertical="center" wrapText="1"/>
    </xf>
    <xf fontId="0" fillId="0" borderId="0" numFmtId="0" xfId="0" applyAlignment="1">
      <alignment horizontal="left"/>
    </xf>
    <xf fontId="0" fillId="3" borderId="0" numFmtId="0" xfId="0" applyFill="1" applyAlignment="1">
      <alignment horizontal="left"/>
    </xf>
    <xf fontId="0" fillId="0" borderId="0" numFmtId="14" xfId="0" applyNumberFormat="1" applyAlignment="1">
      <alignment horizontal="left"/>
    </xf>
    <xf fontId="7" fillId="0" borderId="0" numFmtId="49" xfId="0" applyNumberFormat="1" applyFont="1" applyAlignment="1">
      <alignment wrapText="1"/>
    </xf>
    <xf fontId="7" fillId="0" borderId="0" numFmtId="49" xfId="0" applyNumberFormat="1" applyFont="1"/>
    <xf fontId="0" fillId="0" borderId="0" numFmtId="14" xfId="0" applyNumberFormat="1" applyAlignment="1">
      <alignment horizontal="left" wrapText="1"/>
    </xf>
    <xf fontId="0" fillId="0" borderId="0" numFmtId="49" xfId="0" applyNumberFormat="1" applyAlignment="1">
      <alignment wrapText="1"/>
    </xf>
    <xf fontId="5" fillId="0" borderId="0" numFmtId="0" xfId="0" applyFont="1"/>
    <xf fontId="2" fillId="0" borderId="0" numFmtId="14" xfId="0" applyNumberFormat="1" applyFont="1" applyAlignment="1">
      <alignment horizontal="right"/>
    </xf>
    <xf fontId="2" fillId="0" borderId="0" numFmtId="0" xfId="0" applyFont="1" applyAlignment="1">
      <alignment horizontal="left"/>
    </xf>
    <xf fontId="1" fillId="0" borderId="0" numFmtId="0" xfId="1" applyFont="1"/>
    <xf fontId="0" fillId="0" borderId="0" numFmtId="14" xfId="0" applyNumberFormat="1" applyAlignment="1">
      <alignment horizontal="right" vertical="center"/>
    </xf>
    <xf fontId="6" fillId="0" borderId="0" numFmtId="0" xfId="0" applyFont="1" applyAlignment="1">
      <alignment horizontal="left" vertical="center"/>
    </xf>
    <xf fontId="0" fillId="0" borderId="0" numFmtId="0" xfId="0" applyAlignment="1">
      <alignment horizontal="left" vertical="center"/>
    </xf>
    <xf fontId="6" fillId="0" borderId="0" numFmtId="14" xfId="0" applyNumberFormat="1" applyFont="1" applyAlignment="1">
      <alignment horizontal="right"/>
    </xf>
    <xf fontId="6" fillId="0" borderId="0" numFmtId="0" xfId="0" applyFont="1" applyAlignment="1">
      <alignment horizontal="left"/>
    </xf>
    <xf fontId="7" fillId="0" borderId="0" numFmtId="0" xfId="0" applyFont="1"/>
    <xf fontId="0" fillId="8" borderId="0" numFmtId="0" xfId="0" applyFill="1"/>
    <xf fontId="0" fillId="8" borderId="0" numFmtId="17" xfId="0" applyNumberFormat="1" applyFill="1" applyAlignment="1">
      <alignment horizontal="right"/>
    </xf>
    <xf fontId="0" fillId="8" borderId="0" numFmtId="14" xfId="0" applyNumberFormat="1" applyFill="1" applyAlignment="1">
      <alignment horizontal="right"/>
    </xf>
    <xf fontId="0" fillId="8" borderId="0" numFmtId="0" xfId="0" applyFill="1" applyAlignment="1">
      <alignment horizontal="left"/>
    </xf>
    <xf fontId="0" fillId="8" borderId="0" numFmtId="0" xfId="0" applyFill="1" applyAlignment="1">
      <alignment wrapText="1"/>
    </xf>
    <xf fontId="7" fillId="8" borderId="0" numFmtId="0" xfId="0" applyFont="1" applyFill="1"/>
    <xf fontId="0" fillId="0" borderId="0" numFmtId="17" xfId="0" applyNumberFormat="1" applyAlignment="1">
      <alignment wrapText="1"/>
    </xf>
    <xf fontId="7" fillId="0" borderId="0" numFmtId="0" xfId="0" applyFont="1" applyAlignment="1">
      <alignment wrapText="1"/>
    </xf>
    <xf fontId="7" fillId="0" borderId="0" numFmtId="0" xfId="0" applyFont="1" applyAlignment="1">
      <alignment horizontal="left"/>
    </xf>
    <xf fontId="2" fillId="0" borderId="0" numFmtId="0" xfId="0" applyFont="1" applyAlignment="1">
      <alignment wrapText="1"/>
    </xf>
    <xf fontId="2" fillId="0" borderId="0" numFmtId="0" xfId="0" applyFont="1" applyAlignment="1">
      <alignment vertical="center"/>
    </xf>
    <xf fontId="0" fillId="0" borderId="0" numFmtId="21" xfId="0" applyNumberFormat="1" applyAlignment="1">
      <alignment horizontal="left" vertical="top" wrapText="1"/>
    </xf>
    <xf fontId="4" fillId="6" borderId="0" numFmtId="0" xfId="0" applyFont="1" applyFill="1"/>
    <xf fontId="4" fillId="6" borderId="0" numFmtId="17" xfId="0" applyNumberFormat="1" applyFont="1" applyFill="1" applyAlignment="1">
      <alignment horizontal="right"/>
    </xf>
    <xf fontId="4" fillId="6" borderId="0" numFmtId="14" xfId="0" applyNumberFormat="1" applyFont="1" applyFill="1" applyAlignment="1">
      <alignment wrapText="1"/>
    </xf>
    <xf fontId="8" fillId="6" borderId="0" numFmtId="0" xfId="0" applyFont="1" applyFill="1" applyAlignment="1">
      <alignment horizontal="left" vertical="top"/>
    </xf>
    <xf fontId="4" fillId="0" borderId="0" numFmtId="0" xfId="0" applyFont="1" applyAlignment="1">
      <alignment wrapText="1"/>
    </xf>
    <xf fontId="0" fillId="0" borderId="0" numFmtId="0" xfId="0" applyAlignment="1">
      <alignment horizontal="left" wrapText="1"/>
    </xf>
    <xf fontId="4" fillId="0" borderId="0" numFmtId="17" xfId="0" applyNumberFormat="1" applyFont="1" applyAlignment="1">
      <alignment horizontal="right"/>
    </xf>
    <xf fontId="4" fillId="0" borderId="0" numFmtId="14" xfId="0" applyNumberFormat="1" applyFont="1" applyAlignment="1">
      <alignment horizontal="right"/>
    </xf>
    <xf fontId="4" fillId="0" borderId="0" numFmtId="0" xfId="0" applyFont="1" applyAlignment="1">
      <alignment horizontal="left"/>
    </xf>
    <xf fontId="0" fillId="0" borderId="0" numFmtId="21" xfId="0" applyNumberFormat="1" applyAlignment="1">
      <alignment horizontal="left" wrapText="1"/>
    </xf>
    <xf fontId="4" fillId="0" borderId="0" numFmtId="49" xfId="0" applyNumberFormat="1" applyFont="1"/>
    <xf fontId="0" fillId="0" borderId="0" numFmtId="0" xfId="0" applyAlignment="1">
      <alignment horizontal="center" vertical="center" wrapText="1"/>
    </xf>
    <xf fontId="0" fillId="0" borderId="0" numFmtId="2" xfId="0" applyNumberFormat="1" applyAlignment="1">
      <alignment horizontal="center" vertical="center"/>
    </xf>
    <xf fontId="5" fillId="0" borderId="0" numFmtId="0" xfId="0" applyFont="1" applyAlignment="1">
      <alignment horizontal="center" vertical="center"/>
    </xf>
    <xf fontId="5" fillId="0" borderId="0" numFmtId="0" xfId="0" applyFont="1" applyAlignment="1">
      <alignment vertical="center"/>
    </xf>
    <xf fontId="9" fillId="0" borderId="0" numFmtId="0" xfId="0" applyFont="1" applyAlignment="1">
      <alignment horizontal="center" vertical="center"/>
    </xf>
    <xf fontId="5" fillId="0" borderId="0" numFmtId="0" xfId="0" applyFont="1" applyAlignment="1">
      <alignment horizontal="center" vertical="center" wrapText="1"/>
    </xf>
    <xf fontId="10" fillId="7" borderId="0" numFmtId="0" xfId="0" applyFont="1" applyFill="1" applyAlignment="1">
      <alignment horizontal="center" vertical="center"/>
    </xf>
    <xf fontId="10" fillId="3" borderId="0" numFmtId="0" xfId="0" applyFont="1" applyFill="1" applyAlignment="1">
      <alignment horizontal="center" vertical="center"/>
    </xf>
    <xf fontId="10" fillId="9" borderId="0" numFmtId="0" xfId="0" applyFont="1" applyFill="1" applyAlignment="1">
      <alignment horizontal="center" vertical="center"/>
    </xf>
    <xf fontId="10" fillId="10" borderId="0" numFmtId="0" xfId="0" applyFont="1" applyFill="1" applyAlignment="1">
      <alignment horizontal="center" vertical="center"/>
    </xf>
    <xf fontId="10" fillId="11" borderId="0" numFmtId="0" xfId="0" applyFont="1" applyFill="1" applyAlignment="1">
      <alignment vertical="center"/>
    </xf>
    <xf fontId="10" fillId="11" borderId="0" numFmtId="0" xfId="0" applyFont="1" applyFill="1" applyAlignment="1">
      <alignment horizontal="center" vertical="center"/>
    </xf>
    <xf fontId="10" fillId="12" borderId="0" numFmtId="0" xfId="0" applyFont="1" applyFill="1" applyAlignment="1">
      <alignment horizontal="center" vertical="center"/>
    </xf>
    <xf fontId="0" fillId="12" borderId="0" numFmtId="0" xfId="0" applyFill="1" applyAlignment="1">
      <alignment horizontal="center" vertical="center"/>
    </xf>
    <xf fontId="0" fillId="13" borderId="0" numFmtId="0" xfId="0" applyFill="1" applyAlignment="1">
      <alignment horizontal="center" vertical="center"/>
    </xf>
    <xf fontId="11" fillId="0" borderId="0" numFmtId="0" xfId="0" applyFont="1" applyAlignment="1">
      <alignment horizontal="center" vertical="center" wrapText="1"/>
    </xf>
    <xf fontId="4" fillId="0" borderId="0" numFmtId="0" xfId="0" applyFont="1" applyAlignment="1">
      <alignment horizontal="center" vertical="center"/>
    </xf>
    <xf fontId="4" fillId="0" borderId="0" numFmtId="0" xfId="0" applyFont="1" applyAlignment="1">
      <alignment horizontal="center" vertical="center" wrapText="1"/>
    </xf>
    <xf fontId="12" fillId="0" borderId="0" numFmtId="0" xfId="0" applyFont="1" applyAlignment="1">
      <alignment horizontal="center" vertical="center"/>
    </xf>
    <xf fontId="12" fillId="0" borderId="0" numFmtId="0" xfId="0" applyFont="1" applyAlignment="1">
      <alignment vertical="center"/>
    </xf>
    <xf fontId="4" fillId="14" borderId="0" numFmtId="0" xfId="0" applyFont="1" applyFill="1" applyAlignment="1">
      <alignment horizontal="center" vertical="center" wrapText="1"/>
    </xf>
    <xf fontId="0" fillId="3" borderId="0" numFmtId="0" xfId="0" applyFill="1" applyAlignment="1">
      <alignment horizontal="center" vertical="center" wrapText="1"/>
    </xf>
    <xf fontId="0" fillId="3" borderId="0" numFmtId="0" xfId="0" applyFill="1" applyAlignment="1">
      <alignment horizontal="center" vertical="center"/>
    </xf>
    <xf fontId="4" fillId="14" borderId="0" numFmtId="2" xfId="0" applyNumberFormat="1" applyFont="1" applyFill="1" applyAlignment="1">
      <alignment horizontal="center" vertical="center" wrapText="1"/>
    </xf>
    <xf fontId="11" fillId="0" borderId="0" numFmtId="0" xfId="0" applyFont="1" applyAlignment="1">
      <alignment horizontal="center" vertical="center"/>
    </xf>
    <xf fontId="0" fillId="15" borderId="0" numFmtId="0" xfId="0" applyFill="1" applyAlignment="1">
      <alignment horizontal="center" vertical="center"/>
    </xf>
    <xf fontId="5" fillId="3" borderId="0" numFmtId="0" xfId="0" applyFont="1" applyFill="1" applyAlignment="1">
      <alignment horizontal="center" vertical="center"/>
    </xf>
    <xf fontId="0" fillId="15" borderId="1" numFmtId="14" xfId="0" applyNumberFormat="1" applyFill="1" applyBorder="1" applyAlignment="1">
      <alignment horizontal="center" vertical="center"/>
    </xf>
    <xf fontId="0" fillId="15" borderId="0" numFmtId="0" xfId="0" applyFill="1" applyAlignment="1">
      <alignment horizontal="center" vertical="center" wrapText="1"/>
    </xf>
    <xf fontId="0" fillId="15" borderId="0" numFmtId="2" xfId="0" applyNumberFormat="1" applyFill="1" applyAlignment="1">
      <alignment horizontal="center" vertical="center" wrapText="1"/>
    </xf>
    <xf fontId="0" fillId="15" borderId="1" numFmtId="0" xfId="0" applyFill="1" applyBorder="1" applyAlignment="1">
      <alignment horizontal="center" vertical="center" wrapText="1"/>
    </xf>
    <xf fontId="0" fillId="7" borderId="0" numFmtId="0" xfId="0" applyFill="1" applyAlignment="1">
      <alignment horizontal="center" vertical="center"/>
    </xf>
    <xf fontId="0" fillId="15" borderId="1" numFmtId="0" xfId="0" applyFill="1" applyBorder="1" applyAlignment="1">
      <alignment horizontal="center" vertical="center"/>
    </xf>
    <xf fontId="0" fillId="0" borderId="1" numFmtId="0" xfId="0" applyBorder="1" applyAlignment="1">
      <alignment horizontal="center" vertical="center"/>
    </xf>
    <xf fontId="0" fillId="0" borderId="1" numFmtId="0" xfId="0" applyBorder="1" applyAlignment="1">
      <alignment horizontal="center" vertical="center" wrapText="1"/>
    </xf>
    <xf fontId="0" fillId="15" borderId="2" numFmtId="0" xfId="0" applyFill="1" applyBorder="1" applyAlignment="1">
      <alignment horizontal="center" vertical="center"/>
    </xf>
    <xf fontId="0" fillId="15" borderId="2" numFmtId="14" xfId="0" applyNumberFormat="1" applyFill="1" applyBorder="1" applyAlignment="1">
      <alignment horizontal="center" vertical="center"/>
    </xf>
    <xf fontId="5" fillId="15" borderId="0" numFmtId="0" xfId="0" applyFont="1" applyFill="1" applyAlignment="1">
      <alignment horizontal="center" vertical="center" wrapText="1"/>
    </xf>
    <xf fontId="5" fillId="15" borderId="0" numFmtId="2" xfId="0" applyNumberFormat="1" applyFont="1" applyFill="1" applyAlignment="1">
      <alignment horizontal="center" vertical="center" wrapText="1"/>
    </xf>
    <xf fontId="0" fillId="15" borderId="2" numFmtId="0" xfId="0" applyFill="1" applyBorder="1" applyAlignment="1">
      <alignment horizontal="center" vertical="center" wrapText="1"/>
    </xf>
    <xf fontId="0" fillId="15" borderId="0" numFmtId="14" xfId="0" applyNumberFormat="1" applyFill="1" applyAlignment="1">
      <alignment horizontal="center" vertical="center"/>
    </xf>
    <xf fontId="5" fillId="15" borderId="1" numFmtId="0" xfId="0" applyFont="1" applyFill="1" applyBorder="1" applyAlignment="1">
      <alignment horizontal="center" vertical="center" wrapText="1"/>
    </xf>
    <xf fontId="0" fillId="15" borderId="3" numFmtId="0" xfId="0" applyFill="1" applyBorder="1" applyAlignment="1">
      <alignment horizontal="center" vertical="center"/>
    </xf>
    <xf fontId="7" fillId="15" borderId="3" numFmtId="14" xfId="0" applyNumberFormat="1" applyFont="1" applyFill="1" applyBorder="1" applyAlignment="1">
      <alignment horizontal="center" vertical="center"/>
    </xf>
    <xf fontId="0" fillId="15" borderId="3" numFmtId="0" xfId="0" applyFill="1" applyBorder="1" applyAlignment="1">
      <alignment horizontal="center" vertical="center" wrapText="1"/>
    </xf>
    <xf fontId="0" fillId="0" borderId="3" numFmtId="0" xfId="0" applyBorder="1" applyAlignment="1">
      <alignment horizontal="center" vertical="center" wrapText="1"/>
    </xf>
    <xf fontId="0" fillId="15" borderId="3" numFmtId="2" xfId="0" applyNumberFormat="1" applyFill="1" applyBorder="1" applyAlignment="1">
      <alignment horizontal="center" vertical="center" wrapText="1"/>
    </xf>
    <xf fontId="5" fillId="15" borderId="2" numFmtId="0" xfId="0" applyFont="1" applyFill="1" applyBorder="1" applyAlignment="1">
      <alignment horizontal="center" vertical="center" wrapText="1"/>
    </xf>
    <xf fontId="5" fillId="15" borderId="2" numFmtId="2" xfId="0" applyNumberFormat="1" applyFont="1" applyFill="1" applyBorder="1" applyAlignment="1">
      <alignment horizontal="center" vertical="center" wrapText="1"/>
    </xf>
    <xf fontId="0" fillId="0" borderId="3" numFmtId="0" xfId="0" applyBorder="1" applyAlignment="1">
      <alignment horizontal="center" vertical="center"/>
    </xf>
    <xf fontId="5" fillId="15" borderId="3" numFmtId="0" xfId="0" applyFont="1" applyFill="1" applyBorder="1" applyAlignment="1">
      <alignment horizontal="center" vertical="center" wrapText="1"/>
    </xf>
    <xf fontId="0" fillId="7" borderId="1" numFmtId="0" xfId="0" applyFill="1" applyBorder="1" applyAlignment="1">
      <alignment horizontal="center" vertical="center"/>
    </xf>
    <xf fontId="2" fillId="15" borderId="2" numFmtId="0" xfId="0" applyFont="1" applyFill="1" applyBorder="1" applyAlignment="1">
      <alignment horizontal="center" vertical="center"/>
    </xf>
    <xf fontId="2" fillId="15" borderId="1" numFmtId="0" xfId="0" applyFont="1" applyFill="1" applyBorder="1" applyAlignment="1">
      <alignment horizontal="center" vertical="center"/>
    </xf>
    <xf fontId="2" fillId="15" borderId="1" numFmtId="49" xfId="0" applyNumberFormat="1" applyFont="1" applyFill="1" applyBorder="1" applyAlignment="1">
      <alignment horizontal="center" vertical="center"/>
    </xf>
    <xf fontId="2" fillId="15" borderId="0" numFmtId="0" xfId="0" applyFont="1" applyFill="1" applyAlignment="1">
      <alignment horizontal="center" vertical="center" wrapText="1"/>
    </xf>
    <xf fontId="0" fillId="15" borderId="0" numFmtId="49" xfId="0" applyNumberFormat="1" applyFill="1" applyAlignment="1">
      <alignment horizontal="center" vertical="center" wrapText="1"/>
    </xf>
    <xf fontId="2" fillId="15" borderId="2" numFmtId="0" xfId="0" applyFont="1" applyFill="1" applyBorder="1" applyAlignment="1">
      <alignment horizontal="center" vertical="center" wrapText="1"/>
    </xf>
    <xf fontId="2" fillId="15" borderId="2" numFmtId="2" xfId="0" applyNumberFormat="1" applyFont="1" applyFill="1" applyBorder="1" applyAlignment="1">
      <alignment horizontal="center" vertical="center" wrapText="1"/>
    </xf>
    <xf fontId="2" fillId="0" borderId="0" numFmtId="0" xfId="0" applyFont="1" applyAlignment="1">
      <alignment horizontal="center" vertical="center" wrapText="1"/>
    </xf>
    <xf fontId="2" fillId="15" borderId="0" numFmtId="0" xfId="0" applyFont="1" applyFill="1" applyAlignment="1">
      <alignment horizontal="center" vertical="center"/>
    </xf>
    <xf fontId="0" fillId="0" borderId="0" numFmtId="49" xfId="0" applyNumberFormat="1" applyAlignment="1">
      <alignment horizontal="center" vertical="center" wrapText="1"/>
    </xf>
    <xf fontId="0" fillId="0" borderId="1" numFmtId="49" xfId="0" applyNumberFormat="1" applyBorder="1" applyAlignment="1">
      <alignment horizontal="center" vertical="center" wrapText="1"/>
    </xf>
    <xf fontId="0" fillId="16" borderId="0" numFmtId="0" xfId="0" applyFill="1" applyAlignment="1">
      <alignment horizontal="center" vertical="center"/>
    </xf>
    <xf fontId="0" fillId="16" borderId="0" numFmtId="14" xfId="0" applyNumberFormat="1" applyFill="1" applyAlignment="1">
      <alignment horizontal="center" vertical="center" wrapText="1"/>
    </xf>
    <xf fontId="0" fillId="16" borderId="0" numFmtId="0" xfId="0" applyFill="1" applyAlignment="1">
      <alignment horizontal="center" vertical="center" wrapText="1"/>
    </xf>
    <xf fontId="0" fillId="16" borderId="3" numFmtId="0" xfId="0" applyFill="1" applyBorder="1" applyAlignment="1">
      <alignment horizontal="center" vertical="center" wrapText="1"/>
    </xf>
    <xf fontId="4" fillId="16" borderId="0" numFmtId="0" xfId="0" applyFont="1" applyFill="1" applyAlignment="1">
      <alignment horizontal="center" vertical="center"/>
    </xf>
    <xf fontId="4" fillId="16" borderId="1" numFmtId="0" xfId="0" applyFont="1" applyFill="1" applyBorder="1" applyAlignment="1">
      <alignment horizontal="center" vertical="center"/>
    </xf>
    <xf fontId="0" fillId="16" borderId="1" numFmtId="0" xfId="0" applyFill="1" applyBorder="1" applyAlignment="1">
      <alignment horizontal="center" vertical="center" wrapText="1"/>
    </xf>
    <xf fontId="0" fillId="16" borderId="2" numFmtId="0" xfId="0" applyFill="1" applyBorder="1" applyAlignment="1">
      <alignment horizontal="center" vertical="center"/>
    </xf>
    <xf fontId="0" fillId="16" borderId="2" numFmtId="14" xfId="0" applyNumberFormat="1" applyFill="1" applyBorder="1" applyAlignment="1">
      <alignment horizontal="center" vertical="center"/>
    </xf>
    <xf fontId="0" fillId="16" borderId="2" numFmtId="0" xfId="0" applyFill="1" applyBorder="1" applyAlignment="1">
      <alignment horizontal="center" vertical="center" wrapText="1"/>
    </xf>
    <xf fontId="0" fillId="0" borderId="2" numFmtId="0" xfId="0" applyBorder="1" applyAlignment="1">
      <alignment horizontal="center" vertical="center" wrapText="1"/>
    </xf>
    <xf fontId="0" fillId="16" borderId="2" numFmtId="2" xfId="0" applyNumberFormat="1" applyFill="1" applyBorder="1" applyAlignment="1">
      <alignment horizontal="center" vertical="center" wrapText="1"/>
    </xf>
    <xf fontId="0" fillId="16" borderId="0" numFmtId="14" xfId="0" applyNumberFormat="1" applyFill="1" applyAlignment="1">
      <alignment horizontal="center" vertical="center"/>
    </xf>
    <xf fontId="5" fillId="16" borderId="0" numFmtId="0" xfId="0" applyFont="1" applyFill="1" applyAlignment="1">
      <alignment horizontal="center" vertical="center" wrapText="1"/>
    </xf>
    <xf fontId="0" fillId="16" borderId="1" numFmtId="0" xfId="0" applyFill="1" applyBorder="1" applyAlignment="1">
      <alignment horizontal="center" vertical="center"/>
    </xf>
    <xf fontId="0" fillId="16" borderId="1" numFmtId="14" xfId="0" applyNumberFormat="1" applyFill="1" applyBorder="1" applyAlignment="1">
      <alignment horizontal="center" vertical="center"/>
    </xf>
    <xf fontId="5" fillId="16" borderId="1" numFmtId="0" xfId="0" applyFont="1" applyFill="1" applyBorder="1" applyAlignment="1">
      <alignment horizontal="center" vertical="center" wrapText="1"/>
    </xf>
    <xf fontId="0" fillId="15" borderId="1" numFmtId="2" xfId="0" applyNumberFormat="1" applyFill="1" applyBorder="1" applyAlignment="1">
      <alignment horizontal="center" vertical="center" wrapText="1"/>
    </xf>
    <xf fontId="4" fillId="0" borderId="1" numFmtId="0" xfId="0" applyFont="1" applyBorder="1" applyAlignment="1">
      <alignment horizontal="center" vertical="center" wrapText="1"/>
    </xf>
    <xf fontId="13" fillId="15" borderId="1" numFmtId="0" xfId="0" applyFont="1" applyFill="1" applyBorder="1" applyAlignment="1">
      <alignment horizontal="center" vertical="center" wrapText="1"/>
    </xf>
    <xf fontId="0" fillId="15" borderId="3" numFmtId="14" xfId="0" applyNumberFormat="1" applyFill="1" applyBorder="1" applyAlignment="1">
      <alignment horizontal="center" vertical="center"/>
    </xf>
    <xf fontId="0" fillId="7" borderId="0" numFmtId="14" xfId="0" applyNumberFormat="1" applyFill="1" applyAlignment="1">
      <alignment horizontal="center" vertical="center"/>
    </xf>
    <xf fontId="0" fillId="7" borderId="0" numFmtId="0" xfId="0" applyFill="1" applyAlignment="1">
      <alignment horizontal="center" vertical="center" wrapText="1"/>
    </xf>
    <xf fontId="0" fillId="7" borderId="1" numFmtId="0" xfId="0" applyFill="1" applyBorder="1" applyAlignment="1">
      <alignment horizontal="center" vertical="center" wrapText="1"/>
    </xf>
    <xf fontId="0" fillId="15" borderId="2" numFmtId="2" xfId="0" applyNumberFormat="1" applyFill="1" applyBorder="1" applyAlignment="1">
      <alignment horizontal="center" vertical="center" wrapText="1"/>
    </xf>
    <xf fontId="0" fillId="7" borderId="2" numFmtId="0" xfId="0" applyFill="1" applyBorder="1" applyAlignment="1">
      <alignment horizontal="center" vertical="center"/>
    </xf>
    <xf fontId="5" fillId="17" borderId="0" numFmtId="0" xfId="0" applyFont="1" applyFill="1" applyAlignment="1">
      <alignment horizontal="center" vertical="center"/>
    </xf>
    <xf fontId="13" fillId="15" borderId="0" numFmtId="0" xfId="0" applyFont="1" applyFill="1" applyAlignment="1">
      <alignment horizontal="center" vertical="center" wrapText="1"/>
    </xf>
    <xf fontId="13" fillId="15" borderId="3" numFmtId="0" xfId="0" applyFont="1" applyFill="1" applyBorder="1" applyAlignment="1">
      <alignment horizontal="center" vertical="center" wrapText="1"/>
    </xf>
    <xf fontId="5" fillId="16" borderId="2" numFmtId="0" xfId="0" applyFont="1" applyFill="1" applyBorder="1" applyAlignment="1">
      <alignment horizontal="center" vertical="center" wrapText="1"/>
    </xf>
    <xf fontId="0" fillId="16" borderId="0" numFmtId="20" xfId="0" applyNumberFormat="1" applyFill="1" applyAlignment="1">
      <alignment horizontal="center" vertical="center" wrapText="1"/>
    </xf>
    <xf fontId="0" fillId="16" borderId="0" numFmtId="21" xfId="0" applyNumberFormat="1" applyFill="1" applyAlignment="1">
      <alignment horizontal="center" vertical="center" wrapText="1"/>
    </xf>
    <xf fontId="5" fillId="7" borderId="1" numFmtId="0" xfId="0" applyFont="1" applyFill="1" applyBorder="1" applyAlignment="1">
      <alignment horizontal="center" vertical="center" wrapText="1"/>
    </xf>
    <xf fontId="0" fillId="16" borderId="3" numFmtId="0" xfId="0" applyFill="1" applyBorder="1" applyAlignment="1">
      <alignment horizontal="center" vertical="center"/>
    </xf>
    <xf fontId="0" fillId="16" borderId="1" numFmtId="21" xfId="0" applyNumberFormat="1" applyFill="1" applyBorder="1" applyAlignment="1">
      <alignment horizontal="center" vertical="center" wrapText="1"/>
    </xf>
    <xf fontId="0" fillId="16" borderId="3" numFmtId="21" xfId="0" applyNumberFormat="1" applyFill="1" applyBorder="1" applyAlignment="1">
      <alignment horizontal="center" vertical="center" wrapText="1"/>
    </xf>
    <xf fontId="0" fillId="18" borderId="2" numFmtId="0" xfId="0" applyFill="1" applyBorder="1" applyAlignment="1">
      <alignment horizontal="center" vertical="center"/>
    </xf>
    <xf fontId="0" fillId="0" borderId="2" numFmtId="0" xfId="0" applyBorder="1" applyAlignment="1">
      <alignment horizontal="center" vertical="center"/>
    </xf>
    <xf fontId="5" fillId="18" borderId="0" numFmtId="0" xfId="0" applyFont="1" applyFill="1" applyAlignment="1">
      <alignment horizontal="center" vertical="center"/>
    </xf>
    <xf fontId="5" fillId="18" borderId="2" numFmtId="0" xfId="0" applyFont="1" applyFill="1" applyBorder="1" applyAlignment="1">
      <alignment horizontal="center" vertical="center"/>
    </xf>
    <xf fontId="5" fillId="18" borderId="2" numFmtId="14" xfId="0" applyNumberFormat="1" applyFont="1" applyFill="1" applyBorder="1" applyAlignment="1">
      <alignment horizontal="center" vertical="center"/>
    </xf>
    <xf fontId="0" fillId="18" borderId="2" numFmtId="0" xfId="0" applyFill="1" applyBorder="1" applyAlignment="1">
      <alignment horizontal="center" vertical="center" wrapText="1"/>
    </xf>
    <xf fontId="0" fillId="18" borderId="0" numFmtId="0" xfId="0" applyFill="1" applyAlignment="1">
      <alignment horizontal="center" vertical="center" wrapText="1"/>
    </xf>
    <xf fontId="0" fillId="18" borderId="0" numFmtId="0" xfId="0" applyFill="1" applyAlignment="1">
      <alignment horizontal="center" vertical="center"/>
    </xf>
    <xf fontId="0" fillId="18" borderId="1" numFmtId="0" xfId="0" applyFill="1" applyBorder="1" applyAlignment="1">
      <alignment horizontal="center" vertical="center"/>
    </xf>
    <xf fontId="5" fillId="18" borderId="1" numFmtId="0" xfId="0" applyFont="1" applyFill="1" applyBorder="1" applyAlignment="1">
      <alignment horizontal="center" vertical="center" wrapText="1"/>
    </xf>
    <xf fontId="5" fillId="18" borderId="3" numFmtId="0" xfId="0" applyFont="1" applyFill="1" applyBorder="1" applyAlignment="1">
      <alignment horizontal="center" vertical="center" wrapText="1"/>
    </xf>
    <xf fontId="0" fillId="18" borderId="3" numFmtId="0" xfId="0" applyFill="1" applyBorder="1" applyAlignment="1">
      <alignment horizontal="center" vertical="center"/>
    </xf>
    <xf fontId="0" fillId="18" borderId="0" numFmtId="14" xfId="0" applyNumberFormat="1" applyFill="1" applyAlignment="1">
      <alignment horizontal="center" vertical="center"/>
    </xf>
    <xf fontId="0" fillId="18" borderId="1" numFmtId="14" xfId="0" applyNumberFormat="1" applyFill="1" applyBorder="1" applyAlignment="1">
      <alignment horizontal="center" vertical="center"/>
    </xf>
    <xf fontId="0" fillId="8" borderId="1" numFmtId="0" xfId="0" applyFill="1" applyBorder="1" applyAlignment="1">
      <alignment horizontal="center" vertical="center"/>
    </xf>
    <xf fontId="0" fillId="8" borderId="3" numFmtId="0" xfId="0" applyFill="1" applyBorder="1" applyAlignment="1">
      <alignment horizontal="center" vertical="center"/>
    </xf>
    <xf fontId="0" fillId="8" borderId="1" numFmtId="0" xfId="0" applyFill="1" applyBorder="1" applyAlignment="1">
      <alignment horizontal="center" vertical="center" wrapText="1"/>
    </xf>
    <xf fontId="0" fillId="8" borderId="3" numFmtId="0" xfId="0" applyFill="1" applyBorder="1" applyAlignment="1">
      <alignment horizontal="center" vertical="center" wrapText="1"/>
    </xf>
    <xf fontId="0" fillId="8" borderId="3" numFmtId="2" xfId="0" applyNumberFormat="1" applyFill="1" applyBorder="1" applyAlignment="1">
      <alignment horizontal="center" vertical="center" wrapText="1"/>
    </xf>
    <xf fontId="0" fillId="8" borderId="0" numFmtId="0" xfId="0" applyFill="1" applyAlignment="1">
      <alignment horizontal="center" vertical="center"/>
    </xf>
    <xf fontId="0" fillId="16" borderId="1" numFmtId="22" xfId="0" applyNumberFormat="1" applyFill="1" applyBorder="1" applyAlignment="1">
      <alignment horizontal="center" vertical="center" wrapText="1"/>
    </xf>
    <xf fontId="0" fillId="16" borderId="3" numFmtId="22" xfId="0" applyNumberFormat="1" applyFill="1" applyBorder="1" applyAlignment="1">
      <alignment horizontal="center" vertical="center" wrapText="1"/>
    </xf>
    <xf fontId="5" fillId="16" borderId="3" numFmtId="0" xfId="0" applyFont="1" applyFill="1" applyBorder="1" applyAlignment="1">
      <alignment horizontal="center" vertical="center" wrapText="1"/>
    </xf>
    <xf fontId="0" fillId="7" borderId="3" numFmtId="0" xfId="0" applyFill="1" applyBorder="1" applyAlignment="1">
      <alignment horizontal="center" vertical="center" wrapText="1"/>
    </xf>
    <xf fontId="4" fillId="15" borderId="3" numFmtId="0" xfId="0" applyFont="1" applyFill="1" applyBorder="1" applyAlignment="1">
      <alignment horizontal="center" vertical="center"/>
    </xf>
    <xf fontId="4" fillId="15" borderId="1" numFmtId="0" xfId="0" applyFont="1" applyFill="1" applyBorder="1" applyAlignment="1">
      <alignment horizontal="center" vertical="center"/>
    </xf>
    <xf fontId="2" fillId="15" borderId="1" numFmtId="0" xfId="0" applyFont="1" applyFill="1" applyBorder="1" applyAlignment="1">
      <alignment horizontal="center" vertical="center" wrapText="1"/>
    </xf>
    <xf fontId="2" fillId="0" borderId="1" numFmtId="0" xfId="0" applyFont="1" applyBorder="1" applyAlignment="1">
      <alignment horizontal="center" vertical="center"/>
    </xf>
    <xf fontId="2" fillId="15" borderId="3" numFmtId="0" xfId="0" applyFont="1" applyFill="1" applyBorder="1" applyAlignment="1">
      <alignment horizontal="center" vertical="center" wrapText="1"/>
    </xf>
    <xf fontId="2" fillId="0" borderId="1" numFmtId="0" xfId="0" applyFont="1" applyBorder="1" applyAlignment="1">
      <alignment horizontal="center" vertical="center" wrapText="1"/>
    </xf>
    <xf fontId="2" fillId="7" borderId="1" numFmtId="0" xfId="0" applyFont="1" applyFill="1" applyBorder="1" applyAlignment="1">
      <alignment horizontal="center" vertical="center"/>
    </xf>
    <xf fontId="1" fillId="15" borderId="0" numFmtId="0" xfId="1" applyFont="1" applyFill="1" applyAlignment="1">
      <alignment horizontal="center" vertical="center"/>
    </xf>
    <xf fontId="1" fillId="15" borderId="2" numFmtId="0" xfId="1" applyFont="1" applyFill="1" applyBorder="1" applyAlignment="1">
      <alignment horizontal="center" vertical="center"/>
    </xf>
    <xf fontId="1" fillId="7" borderId="0" numFmtId="0" xfId="1" applyFont="1" applyFill="1" applyAlignment="1">
      <alignment horizontal="center" vertical="center"/>
    </xf>
    <xf fontId="5" fillId="7" borderId="0" numFmtId="0" xfId="0" applyFont="1" applyFill="1" applyAlignment="1">
      <alignment horizontal="center" vertical="center" wrapText="1"/>
    </xf>
    <xf fontId="1" fillId="15" borderId="1" numFmtId="0" xfId="1" applyFont="1" applyFill="1" applyBorder="1" applyAlignment="1">
      <alignment horizontal="center" vertical="center"/>
    </xf>
    <xf fontId="0" fillId="16" borderId="0" numFmtId="2" xfId="0" applyNumberFormat="1" applyFill="1" applyAlignment="1">
      <alignment horizontal="center" vertical="center" wrapText="1"/>
    </xf>
    <xf fontId="0" fillId="17" borderId="0" numFmtId="0" xfId="0" applyFill="1" applyAlignment="1">
      <alignment horizontal="center" vertical="center"/>
    </xf>
    <xf fontId="0" fillId="16" borderId="1" numFmtId="20" xfId="0" applyNumberFormat="1" applyFill="1" applyBorder="1" applyAlignment="1">
      <alignment horizontal="center" vertical="center" wrapText="1"/>
    </xf>
    <xf fontId="0" fillId="16" borderId="3" numFmtId="20" xfId="0" applyNumberFormat="1" applyFill="1" applyBorder="1" applyAlignment="1">
      <alignment horizontal="center" vertical="center" wrapText="1"/>
    </xf>
    <xf fontId="0" fillId="10" borderId="1" numFmtId="0" xfId="0" applyFill="1" applyBorder="1" applyAlignment="1">
      <alignment horizontal="center" vertical="center"/>
    </xf>
    <xf fontId="0" fillId="10" borderId="1" numFmtId="0" xfId="0" applyFill="1" applyBorder="1" applyAlignment="1">
      <alignment horizontal="center" vertical="center" wrapText="1"/>
    </xf>
    <xf fontId="0" fillId="10" borderId="1" numFmtId="2" xfId="0" applyNumberFormat="1" applyFill="1" applyBorder="1" applyAlignment="1">
      <alignment horizontal="center" vertical="center" wrapText="1"/>
    </xf>
    <xf fontId="0" fillId="5" borderId="1" numFmtId="0" xfId="0" applyFill="1" applyBorder="1" applyAlignment="1">
      <alignment horizontal="center" vertical="center"/>
    </xf>
    <xf fontId="4" fillId="0" borderId="1" numFmtId="0" xfId="0" applyFont="1" applyBorder="1" applyAlignment="1">
      <alignment horizontal="center" vertical="center"/>
    </xf>
    <xf fontId="0" fillId="5" borderId="3" numFmtId="0" xfId="0" applyFill="1" applyBorder="1" applyAlignment="1">
      <alignment horizontal="center" vertical="center"/>
    </xf>
    <xf fontId="6" fillId="5" borderId="1" numFmtId="0" xfId="0" applyFont="1" applyFill="1" applyBorder="1" applyAlignment="1">
      <alignment horizontal="center" vertical="center"/>
    </xf>
    <xf fontId="0" fillId="5" borderId="1" numFmtId="0" xfId="0" applyFill="1" applyBorder="1" applyAlignment="1">
      <alignment horizontal="center" vertical="center" wrapText="1"/>
    </xf>
    <xf fontId="0" fillId="5" borderId="3" numFmtId="0" xfId="0" applyFill="1" applyBorder="1" applyAlignment="1">
      <alignment horizontal="center" vertical="center" wrapText="1"/>
    </xf>
    <xf fontId="0" fillId="5" borderId="1" numFmtId="2" xfId="0" applyNumberFormat="1" applyFill="1" applyBorder="1" applyAlignment="1">
      <alignment horizontal="center" vertical="center" wrapText="1"/>
    </xf>
    <xf fontId="0" fillId="5" borderId="0" numFmtId="0" xfId="0" applyFill="1" applyAlignment="1">
      <alignment horizontal="center" vertical="center"/>
    </xf>
    <xf fontId="0" fillId="10" borderId="0" numFmtId="0" xfId="0" applyFill="1" applyAlignment="1">
      <alignment horizontal="center" vertical="center"/>
    </xf>
    <xf fontId="0" fillId="10" borderId="2" numFmtId="0" xfId="0" applyFill="1" applyBorder="1" applyAlignment="1">
      <alignment horizontal="center" vertical="center"/>
    </xf>
    <xf fontId="0" fillId="10" borderId="2" numFmtId="0" xfId="0" applyFill="1" applyBorder="1" applyAlignment="1">
      <alignment horizontal="center" vertical="center" wrapText="1"/>
    </xf>
    <xf fontId="5" fillId="10" borderId="0" numFmtId="0" xfId="0" applyFont="1" applyFill="1" applyAlignment="1">
      <alignment horizontal="center" vertical="center" wrapText="1"/>
    </xf>
    <xf fontId="0" fillId="10" borderId="0" numFmtId="0" xfId="0" applyFill="1" applyAlignment="1">
      <alignment horizontal="center" vertical="center" wrapText="1"/>
    </xf>
    <xf fontId="0" fillId="11" borderId="0" numFmtId="0" xfId="0" applyFill="1" applyAlignment="1">
      <alignment horizontal="center" vertical="center"/>
    </xf>
    <xf fontId="5" fillId="7" borderId="0" numFmtId="2" xfId="0" applyNumberFormat="1" applyFont="1" applyFill="1" applyAlignment="1">
      <alignment horizontal="center" vertical="center" wrapText="1"/>
    </xf>
    <xf fontId="5" fillId="10" borderId="1" numFmtId="0" xfId="0" applyFont="1" applyFill="1" applyBorder="1" applyAlignment="1">
      <alignment horizontal="center" vertical="center" wrapText="1"/>
    </xf>
    <xf fontId="6" fillId="10" borderId="0" numFmtId="0" xfId="0" applyFont="1" applyFill="1" applyAlignment="1">
      <alignment horizontal="center" vertical="center"/>
    </xf>
    <xf fontId="5" fillId="10" borderId="0" numFmtId="2" xfId="0" applyNumberFormat="1" applyFont="1" applyFill="1" applyAlignment="1">
      <alignment horizontal="center" vertical="center" wrapText="1"/>
    </xf>
    <xf fontId="6" fillId="7" borderId="0" numFmtId="0" xfId="0" applyFont="1" applyFill="1" applyAlignment="1">
      <alignment horizontal="center" vertical="center"/>
    </xf>
    <xf fontId="6" fillId="10" borderId="1" numFmtId="0" xfId="0" applyFont="1" applyFill="1" applyBorder="1" applyAlignment="1">
      <alignment horizontal="center" vertical="center"/>
    </xf>
    <xf fontId="0" fillId="10" borderId="3" numFmtId="0" xfId="0" applyFill="1" applyBorder="1" applyAlignment="1">
      <alignment horizontal="center" vertical="center"/>
    </xf>
    <xf fontId="0" fillId="10" borderId="3" numFmtId="0" xfId="0" applyFill="1" applyBorder="1" applyAlignment="1">
      <alignment horizontal="center" vertical="center" wrapText="1"/>
    </xf>
    <xf fontId="0" fillId="7" borderId="3" numFmtId="0" xfId="0" applyFill="1" applyBorder="1" applyAlignment="1">
      <alignment horizontal="center" vertical="center"/>
    </xf>
    <xf fontId="6" fillId="7" borderId="3" numFmtId="0" xfId="0" applyFont="1" applyFill="1" applyBorder="1" applyAlignment="1">
      <alignment horizontal="center" vertical="center"/>
    </xf>
    <xf fontId="0" fillId="7" borderId="3" numFmtId="2" xfId="0" applyNumberFormat="1" applyFill="1" applyBorder="1" applyAlignment="1">
      <alignment horizontal="center" vertical="center" wrapText="1"/>
    </xf>
    <xf fontId="6" fillId="10" borderId="2" numFmtId="0" xfId="0" applyFont="1" applyFill="1" applyBorder="1" applyAlignment="1">
      <alignment horizontal="center" vertical="center"/>
    </xf>
    <xf fontId="6" fillId="7" borderId="2" numFmtId="0" xfId="0" applyFont="1" applyFill="1" applyBorder="1" applyAlignment="1">
      <alignment horizontal="center" vertical="center"/>
    </xf>
    <xf fontId="0" fillId="7" borderId="2" numFmtId="0" xfId="0" applyFill="1" applyBorder="1" applyAlignment="1">
      <alignment horizontal="center" vertical="center" wrapText="1"/>
    </xf>
    <xf fontId="6" fillId="7" borderId="1" numFmtId="0" xfId="0" applyFont="1" applyFill="1" applyBorder="1" applyAlignment="1">
      <alignment horizontal="center" vertical="center"/>
    </xf>
    <xf fontId="0" fillId="9" borderId="0" numFmtId="0" xfId="0" applyFill="1" applyAlignment="1">
      <alignment horizontal="center" vertical="center"/>
    </xf>
    <xf fontId="0" fillId="9" borderId="3" numFmtId="0" xfId="0" applyFill="1" applyBorder="1" applyAlignment="1">
      <alignment horizontal="center" vertical="center"/>
    </xf>
    <xf fontId="0" fillId="9" borderId="0" numFmtId="0" xfId="0" applyFill="1" applyAlignment="1">
      <alignment horizontal="center" vertical="center" wrapText="1"/>
    </xf>
    <xf fontId="0" fillId="9" borderId="3" numFmtId="0" xfId="0" applyFill="1" applyBorder="1" applyAlignment="1">
      <alignment horizontal="center" vertical="center" wrapText="1"/>
    </xf>
    <xf fontId="0" fillId="7" borderId="4" numFmtId="0" xfId="0" applyFill="1" applyBorder="1" applyAlignment="1">
      <alignment horizontal="center" vertical="center"/>
    </xf>
    <xf fontId="6" fillId="7" borderId="4" numFmtId="0" xfId="0" applyFont="1" applyFill="1" applyBorder="1" applyAlignment="1">
      <alignment horizontal="center" vertical="center"/>
    </xf>
    <xf fontId="0" fillId="7" borderId="4" numFmtId="0" xfId="0" applyFill="1" applyBorder="1" applyAlignment="1">
      <alignment horizontal="center" vertical="center" wrapText="1"/>
    </xf>
    <xf fontId="0" fillId="7" borderId="4" numFmtId="2" xfId="0" applyNumberFormat="1" applyFill="1" applyBorder="1" applyAlignment="1">
      <alignment horizontal="center" vertical="center" wrapText="1"/>
    </xf>
    <xf fontId="0" fillId="7" borderId="5" numFmtId="0" xfId="0" applyFill="1" applyBorder="1" applyAlignment="1">
      <alignment horizontal="center" vertical="center" wrapText="1"/>
    </xf>
    <xf fontId="0" fillId="7" borderId="0" numFmtId="2" xfId="0" applyNumberFormat="1" applyFill="1" applyAlignment="1">
      <alignment horizontal="center" vertical="center" wrapText="1"/>
    </xf>
    <xf fontId="6" fillId="16" borderId="2" numFmtId="0" xfId="0" applyFont="1" applyFill="1" applyBorder="1" applyAlignment="1">
      <alignment horizontal="center" vertical="center"/>
    </xf>
    <xf fontId="0" fillId="16" borderId="0" numFmtId="49" xfId="0" applyNumberFormat="1" applyFill="1" applyAlignment="1">
      <alignment horizontal="center" vertical="center" wrapText="1"/>
    </xf>
    <xf fontId="6" fillId="16" borderId="0" numFmtId="0" xfId="0" applyFont="1" applyFill="1" applyAlignment="1">
      <alignment horizontal="center" vertical="center"/>
    </xf>
    <xf fontId="0" fillId="16" borderId="1" numFmtId="49" xfId="0" applyNumberFormat="1" applyFill="1" applyBorder="1" applyAlignment="1">
      <alignment horizontal="center" vertical="center" wrapText="1"/>
    </xf>
    <xf fontId="0" fillId="16" borderId="3" numFmtId="49" xfId="0" applyNumberFormat="1" applyFill="1" applyBorder="1" applyAlignment="1">
      <alignment horizontal="center" vertical="center" wrapText="1"/>
    </xf>
    <xf fontId="6" fillId="16" borderId="0" numFmtId="0" xfId="0" applyFont="1" applyFill="1" applyAlignment="1">
      <alignment horizontal="center" vertical="center" wrapText="1"/>
    </xf>
    <xf fontId="0" fillId="7" borderId="1" numFmtId="49" xfId="0" applyNumberFormat="1" applyFill="1" applyBorder="1" applyAlignment="1">
      <alignment horizontal="center" vertical="center" wrapText="1"/>
    </xf>
    <xf fontId="0" fillId="7" borderId="0" numFmtId="49" xfId="0" applyNumberFormat="1" applyFill="1" applyAlignment="1">
      <alignment horizontal="center" vertical="center" wrapText="1"/>
    </xf>
    <xf fontId="0" fillId="7" borderId="3" numFmtId="49" xfId="0" applyNumberFormat="1" applyFill="1" applyBorder="1" applyAlignment="1">
      <alignment horizontal="center" vertical="center" wrapText="1"/>
    </xf>
    <xf fontId="4" fillId="0" borderId="0" numFmtId="49" xfId="0" applyNumberFormat="1" applyFont="1" applyAlignment="1">
      <alignment horizontal="center" vertical="center" wrapText="1"/>
    </xf>
    <xf fontId="6" fillId="16" borderId="1" numFmtId="0" xfId="0" applyFont="1" applyFill="1" applyBorder="1" applyAlignment="1">
      <alignment horizontal="center" vertical="center"/>
    </xf>
    <xf fontId="0" fillId="16" borderId="3" numFmtId="2" xfId="0" applyNumberFormat="1" applyFill="1" applyBorder="1" applyAlignment="1">
      <alignment horizontal="center" vertical="center" wrapText="1"/>
    </xf>
    <xf fontId="2" fillId="5" borderId="1" numFmtId="0" xfId="0" applyFont="1" applyFill="1" applyBorder="1" applyAlignment="1">
      <alignment horizontal="center" vertical="center"/>
    </xf>
    <xf fontId="2" fillId="5" borderId="0" numFmtId="0" xfId="0" applyFont="1" applyFill="1" applyAlignment="1">
      <alignment horizontal="center" vertical="center"/>
    </xf>
    <xf fontId="2" fillId="5" borderId="3" numFmtId="0" xfId="0" applyFont="1" applyFill="1" applyBorder="1" applyAlignment="1">
      <alignment horizontal="center" vertical="center" wrapText="1"/>
    </xf>
    <xf fontId="2" fillId="5" borderId="3" numFmtId="2" xfId="0" applyNumberFormat="1" applyFont="1" applyFill="1" applyBorder="1" applyAlignment="1">
      <alignment horizontal="center" vertical="center" wrapText="1"/>
    </xf>
    <xf fontId="2" fillId="5" borderId="3" numFmtId="0" xfId="0" applyFont="1" applyFill="1" applyBorder="1" applyAlignment="1">
      <alignment horizontal="center" vertical="center"/>
    </xf>
    <xf fontId="2" fillId="5" borderId="2" numFmtId="0" xfId="0" applyFont="1" applyFill="1" applyBorder="1" applyAlignment="1">
      <alignment horizontal="center" vertical="center"/>
    </xf>
    <xf fontId="2" fillId="16" borderId="0" numFmtId="0" xfId="0" applyFont="1" applyFill="1" applyAlignment="1">
      <alignment horizontal="center" vertical="center"/>
    </xf>
    <xf fontId="2" fillId="16" borderId="1" numFmtId="0" xfId="0" applyFont="1" applyFill="1" applyBorder="1" applyAlignment="1">
      <alignment horizontal="center" vertical="center"/>
    </xf>
    <xf fontId="2" fillId="16" borderId="3" numFmtId="0" xfId="0" applyFont="1" applyFill="1" applyBorder="1" applyAlignment="1">
      <alignment horizontal="center" vertical="center"/>
    </xf>
    <xf fontId="0" fillId="0" borderId="0" numFmtId="2" xfId="0" applyNumberFormat="1" applyAlignment="1">
      <alignment horizontal="center" vertical="center" wrapText="1"/>
    </xf>
    <xf fontId="7" fillId="0" borderId="0" numFmtId="0" xfId="0" applyFont="1" applyAlignment="1">
      <alignment horizontal="center" vertical="center" wrapText="1"/>
    </xf>
    <xf fontId="2" fillId="7" borderId="0" numFmtId="0" xfId="0" applyFont="1" applyFill="1" applyAlignment="1">
      <alignment horizontal="center" vertical="center"/>
    </xf>
    <xf fontId="2" fillId="0" borderId="0" numFmtId="0" xfId="0" applyFont="1" applyAlignment="1">
      <alignment horizontal="center" vertical="center"/>
    </xf>
    <xf fontId="2" fillId="5" borderId="0" numFmtId="21" xfId="0" applyNumberFormat="1" applyFont="1" applyFill="1" applyAlignment="1">
      <alignment horizontal="center" vertical="center" wrapText="1"/>
    </xf>
    <xf fontId="2" fillId="5" borderId="0" numFmtId="2" xfId="0" applyNumberFormat="1" applyFont="1" applyFill="1" applyAlignment="1">
      <alignment horizontal="center" vertical="center" wrapText="1"/>
    </xf>
    <xf fontId="0" fillId="5" borderId="0" numFmtId="0" xfId="0" applyFill="1" applyAlignment="1">
      <alignment horizontal="center" vertical="center" wrapText="1"/>
    </xf>
    <xf fontId="0" fillId="0" borderId="1" numFmtId="2" xfId="0" applyNumberFormat="1" applyBorder="1" applyAlignment="1">
      <alignment horizontal="center" vertical="center" wrapText="1"/>
    </xf>
    <xf fontId="0" fillId="0" borderId="3" numFmtId="2" xfId="0" applyNumberFormat="1" applyBorder="1" applyAlignment="1">
      <alignment horizontal="center" vertical="center" wrapText="1"/>
    </xf>
    <xf fontId="0" fillId="5" borderId="3" numFmtId="2" xfId="0" applyNumberFormat="1" applyFill="1" applyBorder="1" applyAlignment="1">
      <alignment horizontal="center" vertical="center" wrapText="1"/>
    </xf>
    <xf fontId="4" fillId="5" borderId="0" numFmtId="0" xfId="0" applyFont="1" applyFill="1" applyAlignment="1">
      <alignment horizontal="center" vertical="center" wrapText="1"/>
    </xf>
    <xf fontId="4" fillId="5" borderId="0" numFmtId="2" xfId="0" applyNumberFormat="1" applyFont="1" applyFill="1" applyAlignment="1">
      <alignment horizontal="center" vertical="center" wrapText="1"/>
    </xf>
    <xf fontId="0" fillId="7" borderId="1" numFmtId="2" xfId="0" applyNumberFormat="1" applyFill="1" applyBorder="1" applyAlignment="1">
      <alignment horizontal="center" vertical="center" wrapText="1"/>
    </xf>
    <xf fontId="2" fillId="0" borderId="0" numFmtId="2" xfId="0" applyNumberFormat="1" applyFont="1" applyAlignment="1">
      <alignment horizontal="center" vertical="center" wrapText="1"/>
    </xf>
    <xf fontId="4" fillId="0" borderId="3" numFmtId="0" xfId="0" applyFont="1" applyBorder="1" applyAlignment="1">
      <alignment horizontal="center" vertical="center" wrapText="1"/>
    </xf>
    <xf fontId="2" fillId="5" borderId="0" numFmtId="0" xfId="0" applyFont="1" applyFill="1" applyAlignment="1">
      <alignment horizontal="center" vertical="center" wrapText="1"/>
    </xf>
    <xf fontId="0" fillId="0" borderId="1" numFmtId="20" xfId="0" applyNumberFormat="1" applyBorder="1" applyAlignment="1">
      <alignment horizontal="center" vertical="center" wrapText="1"/>
    </xf>
    <xf fontId="4" fillId="7" borderId="0" numFmtId="0" xfId="0" applyFont="1" applyFill="1" applyAlignment="1">
      <alignment horizontal="center" vertical="center" wrapText="1"/>
    </xf>
    <xf fontId="0" fillId="19" borderId="0" numFmtId="0" xfId="0" applyFill="1" applyAlignment="1">
      <alignment horizontal="center" vertical="center"/>
    </xf>
    <xf fontId="0" fillId="19" borderId="1" numFmtId="0" xfId="0" applyFill="1" applyBorder="1" applyAlignment="1">
      <alignment horizontal="center" vertical="center" wrapText="1"/>
    </xf>
    <xf fontId="0" fillId="19" borderId="3" numFmtId="0" xfId="0" applyFill="1" applyBorder="1" applyAlignment="1">
      <alignment horizontal="center" vertical="center" wrapText="1"/>
    </xf>
    <xf fontId="0" fillId="19" borderId="3" numFmtId="2" xfId="0" applyNumberFormat="1" applyFill="1" applyBorder="1" applyAlignment="1">
      <alignment horizontal="center" vertical="center" wrapText="1"/>
    </xf>
    <xf fontId="4" fillId="19" borderId="0" numFmtId="0" xfId="0" applyFont="1" applyFill="1" applyAlignment="1">
      <alignment horizontal="center" vertical="center" wrapText="1"/>
    </xf>
    <xf fontId="2" fillId="0" borderId="1" numFmtId="2" xfId="0" applyNumberFormat="1" applyFont="1" applyBorder="1" applyAlignment="1">
      <alignment horizontal="center" vertical="center" wrapText="1"/>
    </xf>
    <xf fontId="2" fillId="0" borderId="3" numFmtId="0" xfId="0" applyFont="1" applyBorder="1" applyAlignment="1">
      <alignment horizontal="center" vertical="center" wrapText="1"/>
    </xf>
    <xf fontId="2" fillId="0" borderId="3" numFmtId="2" xfId="0" applyNumberFormat="1" applyFont="1" applyBorder="1" applyAlignment="1">
      <alignment horizontal="center" vertical="center" wrapText="1"/>
    </xf>
    <xf fontId="2" fillId="11" borderId="0" numFmtId="0" xfId="0" applyFont="1" applyFill="1" applyAlignment="1">
      <alignment horizontal="center" vertical="center"/>
    </xf>
    <xf fontId="0" fillId="19" borderId="0" numFmtId="0" xfId="0" applyFill="1" applyAlignment="1">
      <alignment horizontal="center" vertical="center" wrapText="1"/>
    </xf>
    <xf fontId="0" fillId="19" borderId="0" numFmtId="2" xfId="0" applyNumberFormat="1" applyFill="1" applyAlignment="1">
      <alignment horizontal="center" vertical="center" wrapText="1"/>
    </xf>
    <xf fontId="0" fillId="20" borderId="1" numFmtId="0" xfId="0" applyFill="1" applyBorder="1" applyAlignment="1">
      <alignment horizontal="center" vertical="center"/>
    </xf>
    <xf fontId="0" fillId="20" borderId="0" numFmtId="0" xfId="0" applyFill="1" applyAlignment="1">
      <alignment horizontal="center" vertical="center"/>
    </xf>
    <xf fontId="4" fillId="0" borderId="1" numFmtId="2" xfId="0" applyNumberFormat="1" applyFont="1" applyBorder="1" applyAlignment="1">
      <alignment horizontal="center" vertical="center" wrapText="1"/>
    </xf>
    <xf fontId="4" fillId="0" borderId="0" numFmtId="2" xfId="0" applyNumberFormat="1" applyFont="1" applyAlignment="1">
      <alignment horizontal="center" vertical="center" wrapText="1"/>
    </xf>
    <xf fontId="4" fillId="7" borderId="0" numFmtId="2" xfId="0" applyNumberFormat="1" applyFont="1" applyFill="1" applyAlignment="1">
      <alignment horizontal="center" vertical="center" wrapText="1"/>
    </xf>
    <xf fontId="4" fillId="7" borderId="1" numFmtId="0" xfId="0" applyFont="1" applyFill="1" applyBorder="1" applyAlignment="1">
      <alignment horizontal="center" vertical="center" wrapText="1"/>
    </xf>
    <xf fontId="5" fillId="3" borderId="3" numFmtId="0" xfId="0" applyFont="1" applyFill="1" applyBorder="1" applyAlignment="1">
      <alignment horizontal="center" vertical="center"/>
    </xf>
    <xf fontId="5" fillId="3" borderId="2" numFmtId="0" xfId="0" applyFont="1" applyFill="1" applyBorder="1" applyAlignment="1">
      <alignment horizontal="center" vertical="center"/>
    </xf>
    <xf fontId="2" fillId="11" borderId="1" numFmtId="0" xfId="0" applyFont="1" applyFill="1" applyBorder="1" applyAlignment="1">
      <alignment horizontal="center" vertical="center"/>
    </xf>
    <xf fontId="0" fillId="11" borderId="1" numFmtId="0" xfId="0" applyFill="1" applyBorder="1" applyAlignment="1">
      <alignment horizontal="center" vertical="center"/>
    </xf>
    <xf fontId="2" fillId="0" borderId="3" numFmtId="0" xfId="0" applyFont="1" applyBorder="1" applyAlignment="1">
      <alignment horizontal="center" vertical="center"/>
    </xf>
    <xf fontId="2" fillId="7" borderId="3" numFmtId="0" xfId="0" applyFont="1" applyFill="1" applyBorder="1" applyAlignment="1">
      <alignment horizontal="center" vertical="center"/>
    </xf>
    <xf fontId="0" fillId="0" borderId="2" numFmtId="2" xfId="0" applyNumberFormat="1" applyBorder="1" applyAlignment="1">
      <alignment horizontal="center" vertical="center" wrapText="1"/>
    </xf>
    <xf fontId="2" fillId="0" borderId="2" numFmtId="0" xfId="0" applyFont="1" applyBorder="1" applyAlignment="1">
      <alignment horizontal="center" vertical="center" wrapText="1"/>
    </xf>
    <xf fontId="2" fillId="0" borderId="2" numFmtId="0" xfId="0" applyFont="1" applyBorder="1" applyAlignment="1">
      <alignment horizontal="center" vertical="center"/>
    </xf>
    <xf fontId="2" fillId="18" borderId="0" numFmtId="0" xfId="0" applyFont="1" applyFill="1" applyAlignment="1">
      <alignment horizontal="center" vertical="center"/>
    </xf>
    <xf fontId="0" fillId="0" borderId="0" numFmtId="21" xfId="0" applyNumberFormat="1" applyAlignment="1">
      <alignment horizontal="center" vertical="center" wrapText="1"/>
    </xf>
    <xf fontId="0" fillId="0" borderId="2" numFmtId="21" xfId="0" applyNumberFormat="1" applyBorder="1" applyAlignment="1">
      <alignment horizontal="center" vertical="center" wrapText="1"/>
    </xf>
    <xf fontId="2" fillId="0" borderId="0" numFmtId="21" xfId="0" applyNumberFormat="1" applyFont="1" applyAlignment="1">
      <alignment horizontal="center" vertical="center" wrapText="1"/>
    </xf>
    <xf fontId="2" fillId="0" borderId="1" numFmtId="21" xfId="0" applyNumberFormat="1" applyFont="1" applyBorder="1" applyAlignment="1">
      <alignment horizontal="center" vertical="center" wrapText="1"/>
    </xf>
    <xf fontId="2" fillId="0" borderId="2" numFmtId="21" xfId="0" applyNumberFormat="1" applyFont="1" applyBorder="1" applyAlignment="1">
      <alignment horizontal="center" vertical="center" wrapText="1"/>
    </xf>
    <xf fontId="0" fillId="7" borderId="0" numFmtId="21" xfId="0" applyNumberFormat="1" applyFill="1" applyAlignment="1">
      <alignment horizontal="center" vertical="center" wrapText="1"/>
    </xf>
    <xf fontId="0" fillId="0" borderId="1" numFmtId="21" xfId="0" applyNumberFormat="1" applyBorder="1" applyAlignment="1">
      <alignment horizontal="center" vertical="center" wrapText="1"/>
    </xf>
    <xf fontId="0" fillId="20" borderId="2" numFmtId="0" xfId="0" applyFill="1" applyBorder="1" applyAlignment="1">
      <alignment horizontal="center" vertical="center"/>
    </xf>
    <xf fontId="4" fillId="0" borderId="2" numFmtId="0" xfId="0" applyFont="1" applyBorder="1" applyAlignment="1">
      <alignment horizontal="center" vertical="center" wrapText="1"/>
    </xf>
    <xf fontId="0" fillId="0" borderId="3" numFmtId="21" xfId="0" applyNumberFormat="1" applyBorder="1" applyAlignment="1">
      <alignment horizontal="center" vertical="center" wrapText="1"/>
    </xf>
    <xf fontId="0" fillId="0" borderId="0" numFmtId="0" xfId="0" applyAlignment="1">
      <alignment horizontal="center" vertical="center"/>
    </xf>
    <xf fontId="0" fillId="21" borderId="0" numFmtId="0" xfId="0" applyFill="1" applyAlignment="1">
      <alignment horizontal="center" vertical="center"/>
    </xf>
    <xf fontId="0" fillId="21" borderId="0" numFmtId="0" xfId="0" applyFill="1" applyAlignment="1">
      <alignment horizontal="center" vertical="center"/>
    </xf>
    <xf fontId="4" fillId="21" borderId="0" numFmtId="0" xfId="0" applyFont="1" applyFill="1" applyAlignment="1">
      <alignment horizontal="center" vertical="center" wrapText="1"/>
    </xf>
    <xf fontId="4" fillId="21" borderId="0" numFmtId="2" xfId="0" applyNumberFormat="1" applyFont="1" applyFill="1" applyAlignment="1">
      <alignment horizontal="center" vertical="center" wrapText="1"/>
    </xf>
    <xf fontId="4" fillId="21" borderId="0" numFmtId="0" xfId="0" applyFont="1" applyFill="1" applyAlignment="1">
      <alignment horizontal="center" vertical="center"/>
    </xf>
    <xf fontId="0" fillId="21" borderId="0" numFmtId="0" xfId="0" applyFill="1" applyAlignment="1">
      <alignment horizontal="center" vertical="center"/>
    </xf>
    <xf fontId="4" fillId="21" borderId="0" numFmtId="0" xfId="0" applyFont="1" applyFill="1" applyAlignment="1">
      <alignment horizontal="center" vertical="center" wrapText="1"/>
    </xf>
    <xf fontId="0" fillId="22" borderId="0" numFmtId="0" xfId="0" applyFill="1" applyAlignment="1">
      <alignment horizontal="center" vertical="center"/>
    </xf>
    <xf fontId="0" fillId="21" borderId="0" numFmtId="21" xfId="0" applyNumberFormat="1" applyFill="1" applyAlignment="1">
      <alignment horizontal="center" vertical="center"/>
    </xf>
    <xf fontId="4" fillId="0" borderId="0" numFmtId="21" xfId="0" applyNumberFormat="1" applyFont="1" applyAlignment="1">
      <alignment horizontal="center" vertical="center" wrapText="1"/>
    </xf>
    <xf fontId="0" fillId="5" borderId="1" numFmtId="21" xfId="0" applyNumberFormat="1" applyFill="1" applyBorder="1" applyAlignment="1">
      <alignment horizontal="center" vertical="center" wrapText="1"/>
    </xf>
    <xf fontId="0" fillId="23" borderId="0" numFmtId="0" xfId="0" applyFill="1" applyAlignment="1">
      <alignment horizontal="center" vertical="center"/>
    </xf>
    <xf fontId="4" fillId="0" borderId="0" numFmtId="20" xfId="0" applyNumberFormat="1" applyFont="1" applyAlignment="1">
      <alignment horizontal="center" vertical="center" wrapText="1"/>
    </xf>
    <xf fontId="0" fillId="4" borderId="0" numFmtId="0" xfId="0" applyFill="1" applyAlignment="1">
      <alignment horizontal="center" vertical="center"/>
    </xf>
    <xf fontId="0" fillId="24" borderId="0" numFmtId="0" xfId="0" applyFill="1" applyAlignment="1">
      <alignment horizontal="center" vertical="center"/>
    </xf>
    <xf fontId="0" fillId="4" borderId="0" numFmtId="21" xfId="0" applyNumberFormat="1" applyFill="1" applyAlignment="1">
      <alignment horizontal="center" vertical="center" wrapText="1"/>
    </xf>
    <xf fontId="0" fillId="4" borderId="0" numFmtId="2" xfId="0" applyNumberFormat="1" applyFill="1" applyAlignment="1">
      <alignment horizontal="center" vertical="center" wrapText="1"/>
    </xf>
    <xf fontId="0" fillId="4" borderId="0" numFmtId="0" xfId="0" applyFill="1" applyAlignment="1">
      <alignment horizontal="center" vertical="center" wrapText="1"/>
    </xf>
    <xf fontId="0" fillId="25" borderId="0" numFmtId="0" xfId="0" applyFill="1" applyAlignment="1">
      <alignment horizontal="center" vertical="center"/>
    </xf>
    <xf fontId="0" fillId="25" borderId="6" numFmtId="0" xfId="0" applyFill="1" applyBorder="1" applyAlignment="1">
      <alignment horizontal="center" vertical="center"/>
    </xf>
    <xf fontId="0" fillId="21" borderId="0" numFmtId="0" xfId="0" applyFill="1" applyAlignment="1">
      <alignment horizontal="center" vertical="center" wrapText="1"/>
    </xf>
    <xf fontId="4" fillId="21" borderId="0" numFmtId="21" xfId="0" applyNumberFormat="1" applyFont="1" applyFill="1" applyAlignment="1">
      <alignment horizontal="center" vertical="center" wrapText="1"/>
    </xf>
    <xf fontId="4" fillId="7" borderId="0" numFmtId="21" xfId="0" applyNumberFormat="1" applyFont="1" applyFill="1" applyAlignment="1">
      <alignment horizontal="center" vertical="center" wrapText="1"/>
    </xf>
    <xf fontId="0" fillId="21" borderId="0" numFmtId="21" xfId="0" applyNumberFormat="1" applyFill="1" applyAlignment="1">
      <alignment horizontal="center" vertical="center" wrapText="1"/>
    </xf>
    <xf fontId="0" fillId="21" borderId="0" numFmtId="21" xfId="0" applyNumberFormat="1" applyFill="1" applyAlignment="1">
      <alignment horizontal="center" vertical="center" wrapText="1"/>
    </xf>
    <xf fontId="0" fillId="21" borderId="0" numFmtId="2" xfId="0" applyNumberFormat="1" applyFill="1" applyAlignment="1">
      <alignment horizontal="center" vertical="center" wrapText="1"/>
    </xf>
    <xf fontId="0" fillId="4" borderId="1" numFmtId="0" xfId="0" applyFill="1" applyBorder="1" applyAlignment="1">
      <alignment horizontal="center" vertical="center"/>
    </xf>
    <xf fontId="0" fillId="24" borderId="1" numFmtId="0" xfId="0" applyFill="1" applyBorder="1" applyAlignment="1">
      <alignment horizontal="center" vertical="center"/>
    </xf>
    <xf fontId="0" fillId="4" borderId="1" numFmtId="21" xfId="0" applyNumberFormat="1" applyFill="1" applyBorder="1" applyAlignment="1">
      <alignment horizontal="center" vertical="center" wrapText="1"/>
    </xf>
    <xf fontId="0" fillId="4" borderId="1" numFmtId="2" xfId="0" applyNumberFormat="1" applyFill="1" applyBorder="1" applyAlignment="1">
      <alignment horizontal="center" vertical="center" wrapText="1"/>
    </xf>
    <xf fontId="0" fillId="4" borderId="1" numFmtId="0" xfId="0" applyFill="1" applyBorder="1" applyAlignment="1">
      <alignment horizontal="center" vertical="center" wrapText="1"/>
    </xf>
    <xf fontId="4" fillId="20" borderId="0" numFmtId="0" xfId="0" applyFont="1" applyFill="1" applyAlignment="1">
      <alignment horizontal="center" vertical="center"/>
    </xf>
    <xf fontId="4" fillId="17" borderId="0" numFmtId="0" xfId="0" applyFont="1" applyFill="1" applyAlignment="1">
      <alignment horizontal="center" vertical="center"/>
    </xf>
    <xf fontId="0" fillId="7" borderId="3" numFmtId="20" xfId="0" applyNumberFormat="1" applyFill="1" applyBorder="1" applyAlignment="1">
      <alignment horizontal="center" vertical="center" wrapText="1"/>
    </xf>
    <xf fontId="0" fillId="0" borderId="0" numFmtId="21" xfId="0" applyNumberFormat="1" applyAlignment="1">
      <alignment horizontal="center" vertical="center"/>
    </xf>
    <xf fontId="0" fillId="17" borderId="1" numFmtId="0" xfId="0" applyFill="1" applyBorder="1" applyAlignment="1">
      <alignment horizontal="center" vertical="center"/>
    </xf>
    <xf fontId="5" fillId="0" borderId="2" numFmtId="0" xfId="0" applyFont="1" applyBorder="1" applyAlignment="1">
      <alignment horizontal="center" vertical="center"/>
    </xf>
    <xf fontId="2" fillId="8" borderId="2" numFmtId="21" xfId="0" applyNumberFormat="1" applyFont="1" applyFill="1" applyBorder="1" applyAlignment="1">
      <alignment horizontal="center" vertical="center" wrapText="1"/>
    </xf>
    <xf fontId="2" fillId="8" borderId="0" numFmtId="21" xfId="0" applyNumberFormat="1" applyFont="1" applyFill="1" applyAlignment="1">
      <alignment horizontal="center" vertical="center" wrapText="1"/>
    </xf>
    <xf fontId="2" fillId="8" borderId="0" numFmtId="2" xfId="0" applyNumberFormat="1" applyFont="1" applyFill="1" applyAlignment="1">
      <alignment horizontal="center" vertical="center" wrapText="1"/>
    </xf>
    <xf fontId="4" fillId="0" borderId="2" numFmtId="0" xfId="0" applyFont="1" applyBorder="1" applyAlignment="1">
      <alignment horizontal="center" vertical="center"/>
    </xf>
    <xf fontId="0" fillId="26" borderId="0" numFmtId="0" xfId="0" applyFill="1" applyAlignment="1">
      <alignment horizontal="center" vertical="center" wrapText="1"/>
    </xf>
    <xf fontId="0" fillId="26" borderId="0" numFmtId="2" xfId="0" applyNumberFormat="1" applyFill="1" applyAlignment="1">
      <alignment horizontal="center" vertical="center" wrapText="1"/>
    </xf>
    <xf fontId="0" fillId="26" borderId="1" numFmtId="21" xfId="0" applyNumberFormat="1" applyFill="1" applyBorder="1" applyAlignment="1">
      <alignment horizontal="center" vertical="center" wrapText="1"/>
    </xf>
    <xf fontId="0" fillId="26" borderId="1" numFmtId="2" xfId="0" applyNumberFormat="1" applyFill="1" applyBorder="1" applyAlignment="1">
      <alignment horizontal="center" vertical="center" wrapText="1"/>
    </xf>
    <xf fontId="0" fillId="26" borderId="0" numFmtId="21" xfId="0" applyNumberFormat="1" applyFill="1" applyAlignment="1">
      <alignment horizontal="center" vertical="center" wrapText="1"/>
    </xf>
    <xf fontId="4" fillId="26" borderId="0" numFmtId="21" xfId="0" applyNumberFormat="1" applyFont="1" applyFill="1" applyAlignment="1">
      <alignment horizontal="center" vertical="center" wrapText="1"/>
    </xf>
    <xf fontId="4" fillId="26" borderId="0" numFmtId="2" xfId="0" applyNumberFormat="1" applyFont="1" applyFill="1" applyAlignment="1">
      <alignment horizontal="center" vertical="center" wrapText="1"/>
    </xf>
    <xf fontId="0" fillId="7" borderId="0" numFmtId="20" xfId="0" applyNumberFormat="1" applyFill="1" applyAlignment="1">
      <alignment horizontal="center" vertical="center" wrapText="1"/>
    </xf>
    <xf fontId="0" fillId="0" borderId="0" numFmtId="20" xfId="0" applyNumberFormat="1" applyAlignment="1">
      <alignment horizontal="center" vertical="center"/>
    </xf>
    <xf fontId="2" fillId="7" borderId="0" numFmtId="0" xfId="0" applyFont="1" applyFill="1" applyAlignment="1">
      <alignment horizontal="center" vertical="center" wrapText="1"/>
    </xf>
    <xf fontId="2" fillId="7" borderId="0" numFmtId="2" xfId="0" applyNumberFormat="1" applyFont="1" applyFill="1" applyAlignment="1">
      <alignment horizontal="center" vertical="center" wrapText="1"/>
    </xf>
    <xf fontId="0" fillId="4" borderId="0" numFmtId="21" xfId="0" applyNumberFormat="1" applyFill="1" applyAlignment="1">
      <alignment horizontal="center" vertical="center"/>
    </xf>
    <xf fontId="0" fillId="27" borderId="0" numFmtId="0" xfId="0" applyFill="1" applyAlignment="1">
      <alignment horizontal="center" vertical="center" wrapText="1"/>
    </xf>
    <xf fontId="0" fillId="27" borderId="0" numFmtId="2" xfId="0" applyNumberFormat="1" applyFill="1" applyAlignment="1">
      <alignment horizontal="center" vertical="center" wrapText="1"/>
    </xf>
    <xf fontId="0" fillId="7" borderId="1" numFmtId="21" xfId="0" applyNumberFormat="1" applyFill="1" applyBorder="1" applyAlignment="1">
      <alignment horizontal="center" vertical="center" wrapText="1"/>
    </xf>
    <xf fontId="5" fillId="0" borderId="0" numFmtId="0" xfId="0" applyFont="1" applyAlignment="1">
      <alignment horizontal="center"/>
    </xf>
    <xf fontId="9" fillId="0" borderId="0" numFmtId="0" xfId="0" applyFont="1" applyAlignment="1">
      <alignment horizontal="center"/>
    </xf>
    <xf fontId="5" fillId="0" borderId="0" numFmtId="0" xfId="0" applyFont="1" applyAlignment="1">
      <alignment horizontal="center" wrapText="1"/>
    </xf>
    <xf fontId="10" fillId="7" borderId="0" numFmtId="0" xfId="0" applyFont="1" applyFill="1" applyAlignment="1">
      <alignment horizontal="center"/>
    </xf>
    <xf fontId="10" fillId="3" borderId="0" numFmtId="0" xfId="0" applyFont="1" applyFill="1" applyAlignment="1">
      <alignment horizontal="center"/>
    </xf>
    <xf fontId="10" fillId="9" borderId="0" numFmtId="0" xfId="0" applyFont="1" applyFill="1" applyAlignment="1">
      <alignment horizontal="center"/>
    </xf>
    <xf fontId="10" fillId="10" borderId="0" numFmtId="0" xfId="0" applyFont="1" applyFill="1" applyAlignment="1">
      <alignment horizontal="center"/>
    </xf>
    <xf fontId="10" fillId="11" borderId="0" numFmtId="0" xfId="0" applyFont="1" applyFill="1" applyAlignment="1">
      <alignment horizontal="center"/>
    </xf>
    <xf fontId="10" fillId="12" borderId="0" numFmtId="0" xfId="0" applyFont="1" applyFill="1" applyAlignment="1">
      <alignment horizontal="center"/>
    </xf>
    <xf fontId="0" fillId="12" borderId="0" numFmtId="0" xfId="0" applyFill="1"/>
    <xf fontId="0" fillId="13" borderId="0" numFmtId="0" xfId="0" applyFill="1"/>
    <xf fontId="11" fillId="0" borderId="0" numFmtId="0" xfId="0" applyFont="1" applyAlignment="1">
      <alignment horizontal="center" wrapText="1"/>
    </xf>
    <xf fontId="4" fillId="0" borderId="0" numFmtId="0" xfId="0" applyFont="1" applyAlignment="1">
      <alignment horizontal="center" wrapText="1"/>
    </xf>
    <xf fontId="12" fillId="0" borderId="0" numFmtId="0" xfId="0" applyFont="1"/>
    <xf fontId="0" fillId="0" borderId="0" numFmtId="0" xfId="0" applyAlignment="1">
      <alignment horizontal="center" wrapText="1"/>
    </xf>
    <xf fontId="11" fillId="0" borderId="0" numFmtId="0" xfId="0" applyFont="1" applyAlignment="1">
      <alignment wrapText="1"/>
    </xf>
    <xf fontId="11" fillId="0" borderId="0" numFmtId="0" xfId="0" applyFont="1"/>
  </cellXfs>
  <cellStyles count="2">
    <cellStyle name="Excel Built-in Good" xfId="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haredStrings" Target="sharedStrings.xml"/><Relationship  Id="rId7" Type="http://schemas.openxmlformats.org/officeDocument/2006/relationships/styles" Target="styles.xml"/></Relationships>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明朝"/>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eme/theme1.xml><?xml version="1.0" encoding="utf-8"?>
<a:theme xmlns:a="http://schemas.openxmlformats.org/drawingml/2006/main" xmlns:r="http://schemas.openxmlformats.org/officeDocument/2006/relationships" xmlns:p="http://schemas.openxmlformats.org/presentationml/2006/main" name="Thème Offic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Arial"/>
        <a:cs typeface="Arial"/>
      </a:majorFont>
      <a:minorFont>
        <a:latin typeface="Calibri"/>
        <a:ea typeface="Arial"/>
        <a:cs typeface="Arial"/>
      </a:minorFont>
    </a:fontScheme>
    <a:fmtScheme na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gradFill>
        <a:gradFill>
          <a:gsLst>
            <a:gs pos="0">
              <a:schemeClr val="phClr">
                <a:shade val="51000"/>
              </a:schemeClr>
            </a:gs>
            <a:gs pos="80000">
              <a:schemeClr val="phClr">
                <a:shade val="93000"/>
              </a:schemeClr>
            </a:gs>
            <a:gs pos="100000">
              <a:schemeClr val="phClr">
                <a:shade val="94000"/>
              </a:schemeClr>
            </a:gs>
          </a:gsLst>
          <a:lin ang="16200000" scaled="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gradFill>
        <a:gradFill>
          <a:gsLst>
            <a:gs pos="0">
              <a:schemeClr val="phClr">
                <a:tint val="80000"/>
              </a:schemeClr>
            </a:gs>
            <a:gs pos="100000">
              <a:schemeClr val="phClr">
                <a:shade val="30000"/>
              </a:schemeClr>
            </a:gs>
          </a:gsLst>
          <a:path path="circle"/>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zoomScale="75" workbookViewId="0">
      <pane ySplit="1" topLeftCell="A2" activePane="bottomLeft" state="frozen"/>
      <selection activeCell="A1" activeCellId="0" sqref="A1"/>
    </sheetView>
  </sheetViews>
  <sheetFormatPr baseColWidth="10" defaultColWidth="9.08984375" defaultRowHeight="14.5"/>
  <cols>
    <col customWidth="1" min="1" max="1" style="1" width="18.90625"/>
    <col customWidth="1" min="2" max="2" style="2" width="17.36328125"/>
    <col customWidth="1" min="3" max="3" style="1" width="10.08984375"/>
    <col customWidth="1" min="4" max="4" style="1" width="30"/>
    <col customWidth="1" min="5" max="5" style="1" width="16.90625"/>
    <col customWidth="1" min="6" max="7" style="1" width="21"/>
    <col customWidth="1" min="8" max="8" style="1" width="17.453125"/>
    <col customWidth="1" min="9" max="9" style="3" width="17.453125"/>
    <col customWidth="1" min="10" max="10" style="4" width="21.54296875"/>
    <col customWidth="1" min="11" max="11" style="1" width="38.453125"/>
    <col customWidth="1" min="12" max="12" style="1" width="28"/>
    <col customWidth="1" min="13" max="13" style="1" width="21.453125"/>
    <col customWidth="1" min="14" max="14" style="1" width="23.90625"/>
    <col customWidth="1" min="15" max="15" style="1" width="23.6328125"/>
    <col customWidth="1" min="16" max="16" style="1" width="135.90625"/>
  </cols>
  <sheetData>
    <row r="1" s="5" customFormat="1" ht="95.5" customHeight="1">
      <c r="A1" s="5" t="s">
        <v>0</v>
      </c>
      <c r="B1" s="6" t="s">
        <v>1</v>
      </c>
      <c r="C1" s="5" t="s">
        <v>2</v>
      </c>
      <c r="D1" s="5" t="s">
        <v>3</v>
      </c>
      <c r="E1" s="5" t="s">
        <v>4</v>
      </c>
      <c r="F1" s="5" t="s">
        <v>5</v>
      </c>
      <c r="G1" s="5" t="s">
        <v>6</v>
      </c>
      <c r="H1" s="5" t="s">
        <v>7</v>
      </c>
      <c r="I1" s="7" t="s">
        <v>8</v>
      </c>
      <c r="J1" s="8" t="s">
        <v>9</v>
      </c>
      <c r="K1" s="5" t="s">
        <v>10</v>
      </c>
      <c r="L1" s="5" t="s">
        <v>11</v>
      </c>
      <c r="M1" s="5" t="s">
        <v>12</v>
      </c>
      <c r="N1" s="5" t="s">
        <v>13</v>
      </c>
      <c r="O1" s="5" t="s">
        <v>14</v>
      </c>
    </row>
    <row r="2" ht="14.9" customHeight="1">
      <c r="A2">
        <v>1</v>
      </c>
      <c r="B2" s="2" t="s">
        <v>15</v>
      </c>
      <c r="C2" t="s">
        <v>16</v>
      </c>
      <c r="D2">
        <f>2023-1954</f>
        <v>69</v>
      </c>
      <c r="E2" s="9">
        <v>19725</v>
      </c>
      <c r="F2" s="10">
        <v>44061</v>
      </c>
      <c r="G2" s="10" t="s">
        <v>17</v>
      </c>
      <c r="H2" t="s">
        <v>18</v>
      </c>
      <c r="I2" s="3" t="s">
        <v>18</v>
      </c>
      <c r="K2" t="s">
        <v>19</v>
      </c>
      <c r="L2" s="10"/>
      <c r="M2" t="s">
        <v>20</v>
      </c>
      <c r="P2" s="11" t="s">
        <v>21</v>
      </c>
    </row>
    <row r="3" ht="14.9" customHeight="1">
      <c r="A3">
        <f t="shared" ref="A3:A10" si="0">A2+1</f>
        <v>2</v>
      </c>
      <c r="B3" s="2" t="s">
        <v>22</v>
      </c>
      <c r="C3" t="s">
        <v>23</v>
      </c>
      <c r="D3">
        <f>2023-1948</f>
        <v>75</v>
      </c>
      <c r="E3" s="9">
        <v>17533</v>
      </c>
      <c r="F3" s="10">
        <v>44124</v>
      </c>
      <c r="G3" s="10" t="s">
        <v>24</v>
      </c>
      <c r="H3" t="s">
        <v>18</v>
      </c>
      <c r="I3" s="3" t="s">
        <v>25</v>
      </c>
    </row>
    <row r="4" ht="14.9" customHeight="1">
      <c r="A4">
        <f t="shared" si="0"/>
        <v>3</v>
      </c>
      <c r="B4" s="2" t="s">
        <v>26</v>
      </c>
      <c r="C4" t="s">
        <v>23</v>
      </c>
      <c r="D4">
        <f>2023-1961</f>
        <v>62</v>
      </c>
      <c r="E4" s="9">
        <v>22372</v>
      </c>
      <c r="F4" s="10">
        <v>44181</v>
      </c>
      <c r="G4" s="10" t="s">
        <v>24</v>
      </c>
      <c r="H4" t="s">
        <v>18</v>
      </c>
      <c r="I4" s="3" t="s">
        <v>25</v>
      </c>
      <c r="P4" s="12"/>
    </row>
    <row r="5" ht="14.9" customHeight="1">
      <c r="A5">
        <f t="shared" si="0"/>
        <v>4</v>
      </c>
      <c r="B5" s="2" t="s">
        <v>27</v>
      </c>
      <c r="C5" t="s">
        <v>16</v>
      </c>
      <c r="D5">
        <f>2023 -1970</f>
        <v>53</v>
      </c>
      <c r="E5" s="9">
        <v>25569</v>
      </c>
      <c r="F5" s="10">
        <v>44215</v>
      </c>
      <c r="G5" s="10" t="s">
        <v>24</v>
      </c>
      <c r="H5" t="s">
        <v>18</v>
      </c>
      <c r="I5" s="3" t="s">
        <v>25</v>
      </c>
      <c r="P5" s="12"/>
    </row>
    <row r="6" ht="14.9" customHeight="1">
      <c r="A6">
        <f t="shared" si="0"/>
        <v>5</v>
      </c>
      <c r="B6" s="2" t="s">
        <v>28</v>
      </c>
      <c r="C6" t="s">
        <v>16</v>
      </c>
      <c r="D6">
        <f>2023-1943</f>
        <v>80</v>
      </c>
      <c r="E6" s="9">
        <v>15738</v>
      </c>
      <c r="F6" s="10">
        <v>44273</v>
      </c>
      <c r="G6" s="10" t="s">
        <v>17</v>
      </c>
      <c r="H6" t="s">
        <v>18</v>
      </c>
      <c r="I6" s="3" t="s">
        <v>25</v>
      </c>
      <c r="P6" s="12"/>
    </row>
    <row r="7" ht="14.9" customHeight="1">
      <c r="A7">
        <f t="shared" si="0"/>
        <v>6</v>
      </c>
      <c r="B7" s="2" t="s">
        <v>29</v>
      </c>
      <c r="C7" t="s">
        <v>16</v>
      </c>
      <c r="D7">
        <f>2023-1949</f>
        <v>74</v>
      </c>
      <c r="E7" s="9">
        <v>17899</v>
      </c>
      <c r="F7" s="10">
        <v>44319</v>
      </c>
      <c r="G7" s="10" t="s">
        <v>17</v>
      </c>
      <c r="H7" t="s">
        <v>18</v>
      </c>
      <c r="I7" s="3" t="s">
        <v>18</v>
      </c>
      <c r="P7" s="12"/>
    </row>
    <row r="8" ht="14.9" customHeight="1">
      <c r="A8">
        <f t="shared" si="0"/>
        <v>7</v>
      </c>
      <c r="B8" s="2" t="s">
        <v>30</v>
      </c>
      <c r="C8" t="s">
        <v>16</v>
      </c>
      <c r="D8">
        <f>2021-1952</f>
        <v>69</v>
      </c>
      <c r="E8" s="9">
        <v>19299</v>
      </c>
      <c r="F8" s="4" t="s">
        <v>31</v>
      </c>
      <c r="G8" s="10" t="s">
        <v>24</v>
      </c>
      <c r="H8" t="s">
        <v>18</v>
      </c>
      <c r="I8" s="3" t="s">
        <v>18</v>
      </c>
      <c r="K8" t="s">
        <v>32</v>
      </c>
      <c r="P8" s="12"/>
    </row>
    <row r="9" ht="14.9" customHeight="1">
      <c r="A9">
        <f t="shared" si="0"/>
        <v>8</v>
      </c>
      <c r="B9" s="2" t="s">
        <v>33</v>
      </c>
      <c r="C9" t="s">
        <v>23</v>
      </c>
      <c r="D9">
        <f>2021 -1944</f>
        <v>77</v>
      </c>
      <c r="E9" s="9">
        <v>16132</v>
      </c>
      <c r="F9" s="4" t="s">
        <v>34</v>
      </c>
      <c r="G9" s="10" t="s">
        <v>17</v>
      </c>
      <c r="H9" t="s">
        <v>18</v>
      </c>
      <c r="I9" s="3" t="s">
        <v>25</v>
      </c>
      <c r="P9" s="12"/>
    </row>
    <row r="10" ht="14.9" customHeight="1">
      <c r="A10">
        <f t="shared" si="0"/>
        <v>9</v>
      </c>
      <c r="B10" s="2" t="s">
        <v>35</v>
      </c>
      <c r="C10" t="s">
        <v>23</v>
      </c>
      <c r="D10">
        <f>2021-1940</f>
        <v>81</v>
      </c>
      <c r="E10" s="9">
        <v>14855</v>
      </c>
      <c r="F10" s="10">
        <v>44344</v>
      </c>
      <c r="G10" s="10" t="s">
        <v>24</v>
      </c>
      <c r="H10" t="s">
        <v>18</v>
      </c>
      <c r="I10" s="3" t="s">
        <v>18</v>
      </c>
      <c r="K10" t="s">
        <v>36</v>
      </c>
      <c r="P10" s="12"/>
    </row>
    <row r="11" ht="14.9" customHeight="1">
      <c r="A11">
        <f t="shared" ref="A11:A74" si="1">A10+1</f>
        <v>10</v>
      </c>
      <c r="B11" s="2" t="s">
        <v>37</v>
      </c>
      <c r="C11" t="s">
        <v>16</v>
      </c>
      <c r="D11">
        <f>2021-1941</f>
        <v>80</v>
      </c>
      <c r="E11" s="9">
        <v>15097</v>
      </c>
      <c r="F11" s="13">
        <v>44350</v>
      </c>
      <c r="G11" s="10" t="s">
        <v>17</v>
      </c>
      <c r="H11" t="s">
        <v>25</v>
      </c>
      <c r="I11" s="3" t="s">
        <v>25</v>
      </c>
      <c r="P11" s="12"/>
    </row>
    <row r="12" ht="14.9" customHeight="1">
      <c r="A12">
        <f t="shared" si="1"/>
        <v>11</v>
      </c>
      <c r="B12" s="2" t="s">
        <v>38</v>
      </c>
      <c r="C12" t="s">
        <v>16</v>
      </c>
      <c r="D12">
        <f>2021-1954</f>
        <v>67</v>
      </c>
      <c r="E12" s="9">
        <v>19906</v>
      </c>
      <c r="F12" s="10">
        <v>44350</v>
      </c>
      <c r="G12" s="10" t="s">
        <v>17</v>
      </c>
      <c r="H12" t="s">
        <v>25</v>
      </c>
      <c r="I12" s="3" t="s">
        <v>25</v>
      </c>
      <c r="P12" s="12"/>
    </row>
    <row r="13" ht="14.9" customHeight="1">
      <c r="A13">
        <f t="shared" si="1"/>
        <v>12</v>
      </c>
      <c r="B13" s="2" t="s">
        <v>39</v>
      </c>
      <c r="C13" t="s">
        <v>16</v>
      </c>
      <c r="D13">
        <f>2021-1993</f>
        <v>28</v>
      </c>
      <c r="E13" s="9">
        <v>34151</v>
      </c>
      <c r="F13" s="10">
        <v>44355</v>
      </c>
      <c r="G13" s="10" t="s">
        <v>17</v>
      </c>
      <c r="H13" t="s">
        <v>25</v>
      </c>
      <c r="I13" s="3" t="s">
        <v>25</v>
      </c>
      <c r="P13" s="12"/>
    </row>
    <row r="14" s="14" customFormat="1" ht="14.25" customHeight="1">
      <c r="A14" s="14">
        <f t="shared" si="1"/>
        <v>13</v>
      </c>
      <c r="B14" s="14" t="s">
        <v>40</v>
      </c>
      <c r="C14" s="14" t="s">
        <v>16</v>
      </c>
      <c r="D14" s="14">
        <f>2022-1962</f>
        <v>60</v>
      </c>
      <c r="E14" s="15">
        <v>22798</v>
      </c>
      <c r="F14" s="16" t="s">
        <v>41</v>
      </c>
      <c r="G14" s="17" t="s">
        <v>24</v>
      </c>
      <c r="H14" s="14" t="s">
        <v>18</v>
      </c>
      <c r="I14" s="18" t="s">
        <v>18</v>
      </c>
      <c r="J14" s="16"/>
      <c r="P14" s="19"/>
    </row>
    <row r="15" ht="14.25" customHeight="1">
      <c r="A15">
        <f t="shared" si="1"/>
        <v>14</v>
      </c>
      <c r="B15" s="2" t="s">
        <v>42</v>
      </c>
      <c r="C15" t="s">
        <v>16</v>
      </c>
      <c r="D15">
        <f>2022-1953</f>
        <v>69</v>
      </c>
      <c r="E15" s="9">
        <v>19694</v>
      </c>
      <c r="F15" s="4" t="s">
        <v>43</v>
      </c>
      <c r="G15" s="10" t="s">
        <v>17</v>
      </c>
      <c r="H15" t="s">
        <v>25</v>
      </c>
      <c r="I15" s="3" t="s">
        <v>25</v>
      </c>
      <c r="P15" s="12"/>
    </row>
    <row r="16" ht="14.25" customHeight="1">
      <c r="A16">
        <f t="shared" si="1"/>
        <v>15</v>
      </c>
      <c r="B16" s="2" t="s">
        <v>44</v>
      </c>
      <c r="C16" t="s">
        <v>16</v>
      </c>
      <c r="D16">
        <f>2022-1973</f>
        <v>49</v>
      </c>
      <c r="E16" s="9">
        <v>26816</v>
      </c>
      <c r="F16" s="10">
        <v>44890</v>
      </c>
      <c r="G16" s="10" t="s">
        <v>17</v>
      </c>
      <c r="H16" t="s">
        <v>18</v>
      </c>
      <c r="I16" s="3" t="s">
        <v>25</v>
      </c>
      <c r="P16" s="12"/>
    </row>
    <row r="17" ht="95.5" customHeight="1">
      <c r="A17" s="20">
        <f t="shared" si="1"/>
        <v>16</v>
      </c>
      <c r="B17" s="20" t="s">
        <v>45</v>
      </c>
      <c r="C17" s="20" t="s">
        <v>16</v>
      </c>
      <c r="D17" s="21">
        <f>2021-1961</f>
        <v>60</v>
      </c>
      <c r="E17" s="9">
        <v>22372</v>
      </c>
      <c r="F17" s="10">
        <v>44397</v>
      </c>
      <c r="G17" s="22" t="s">
        <v>46</v>
      </c>
      <c r="H17" t="s">
        <v>18</v>
      </c>
      <c r="I17" s="3" t="s">
        <v>18</v>
      </c>
      <c r="J17" s="23" t="s">
        <v>47</v>
      </c>
      <c r="K17" s="2" t="s">
        <v>48</v>
      </c>
      <c r="L17" t="s">
        <v>49</v>
      </c>
    </row>
    <row r="18" ht="14.25" customHeight="1">
      <c r="A18">
        <f t="shared" si="1"/>
        <v>17</v>
      </c>
      <c r="B18" s="2" t="s">
        <v>50</v>
      </c>
      <c r="C18" t="s">
        <v>16</v>
      </c>
      <c r="D18">
        <f>2022-1954</f>
        <v>68</v>
      </c>
      <c r="E18" s="9">
        <v>19784</v>
      </c>
      <c r="F18" s="10">
        <v>44713</v>
      </c>
      <c r="G18" s="10" t="s">
        <v>17</v>
      </c>
      <c r="H18" t="s">
        <v>18</v>
      </c>
      <c r="I18" s="3" t="s">
        <v>25</v>
      </c>
    </row>
    <row r="19" ht="14.25" customHeight="1">
      <c r="A19">
        <f t="shared" si="1"/>
        <v>18</v>
      </c>
      <c r="B19" s="2" t="s">
        <v>51</v>
      </c>
      <c r="C19" t="s">
        <v>16</v>
      </c>
      <c r="D19">
        <f>2022-1953</f>
        <v>69</v>
      </c>
      <c r="E19" s="9">
        <v>19541</v>
      </c>
      <c r="F19" s="10">
        <v>44714</v>
      </c>
      <c r="G19" s="10" t="s">
        <v>17</v>
      </c>
      <c r="H19" t="s">
        <v>18</v>
      </c>
      <c r="I19" s="3" t="s">
        <v>25</v>
      </c>
    </row>
    <row r="20" ht="28.399999999999999" customHeight="1">
      <c r="A20">
        <f t="shared" si="1"/>
        <v>19</v>
      </c>
      <c r="B20" s="2" t="s">
        <v>52</v>
      </c>
      <c r="C20" t="s">
        <v>16</v>
      </c>
      <c r="D20">
        <f t="shared" ref="D20:D21" si="2">2022-1955</f>
        <v>67</v>
      </c>
      <c r="E20" s="9">
        <v>20394</v>
      </c>
      <c r="F20" s="4" t="s">
        <v>53</v>
      </c>
      <c r="G20" s="10" t="s">
        <v>24</v>
      </c>
      <c r="H20" t="s">
        <v>18</v>
      </c>
      <c r="I20" s="3" t="s">
        <v>18</v>
      </c>
      <c r="K20" s="2" t="s">
        <v>54</v>
      </c>
    </row>
    <row r="21" ht="14.25" customHeight="1">
      <c r="A21">
        <f t="shared" si="1"/>
        <v>20</v>
      </c>
      <c r="B21" s="2" t="s">
        <v>55</v>
      </c>
      <c r="C21" t="s">
        <v>16</v>
      </c>
      <c r="D21">
        <f t="shared" si="2"/>
        <v>67</v>
      </c>
      <c r="E21" s="9">
        <v>20424</v>
      </c>
      <c r="F21" s="4" t="s">
        <v>56</v>
      </c>
      <c r="G21" s="10" t="s">
        <v>17</v>
      </c>
      <c r="H21" t="s">
        <v>18</v>
      </c>
      <c r="I21" s="3" t="s">
        <v>18</v>
      </c>
      <c r="K21" t="s">
        <v>57</v>
      </c>
    </row>
    <row r="22" ht="14.25" customHeight="1">
      <c r="A22">
        <f t="shared" si="1"/>
        <v>21</v>
      </c>
      <c r="B22" s="2" t="s">
        <v>58</v>
      </c>
      <c r="C22" t="s">
        <v>23</v>
      </c>
      <c r="D22">
        <f>2022-1958</f>
        <v>64</v>
      </c>
      <c r="E22" s="9">
        <v>21459</v>
      </c>
      <c r="F22" s="4" t="s">
        <v>59</v>
      </c>
      <c r="G22" s="10" t="s">
        <v>60</v>
      </c>
      <c r="H22" t="s">
        <v>18</v>
      </c>
      <c r="I22" s="3" t="s">
        <v>25</v>
      </c>
      <c r="K22" t="s">
        <v>61</v>
      </c>
    </row>
    <row r="23" ht="14.25" customHeight="1">
      <c r="A23">
        <f t="shared" si="1"/>
        <v>22</v>
      </c>
      <c r="B23" s="2" t="s">
        <v>62</v>
      </c>
      <c r="C23" t="s">
        <v>16</v>
      </c>
      <c r="D23">
        <f>2022-1954</f>
        <v>68</v>
      </c>
      <c r="E23" s="9">
        <v>19815</v>
      </c>
      <c r="F23" s="10">
        <v>44802</v>
      </c>
      <c r="G23" s="10" t="s">
        <v>17</v>
      </c>
      <c r="H23" t="s">
        <v>18</v>
      </c>
      <c r="I23" s="3" t="s">
        <v>18</v>
      </c>
      <c r="K23" t="s">
        <v>63</v>
      </c>
      <c r="M23" t="s">
        <v>20</v>
      </c>
    </row>
    <row r="24" ht="14.25" customHeight="1">
      <c r="A24">
        <f t="shared" si="1"/>
        <v>23</v>
      </c>
      <c r="B24" s="2" t="s">
        <v>64</v>
      </c>
      <c r="C24" t="s">
        <v>23</v>
      </c>
      <c r="D24">
        <f>2022-1966</f>
        <v>56</v>
      </c>
      <c r="E24" s="9">
        <v>24108</v>
      </c>
      <c r="F24" s="10">
        <v>44811</v>
      </c>
      <c r="G24" s="10" t="s">
        <v>17</v>
      </c>
      <c r="H24" t="s">
        <v>18</v>
      </c>
      <c r="I24" s="3" t="s">
        <v>18</v>
      </c>
      <c r="K24" t="s">
        <v>65</v>
      </c>
      <c r="M24" t="s">
        <v>66</v>
      </c>
    </row>
    <row r="25" ht="14.25" customHeight="1">
      <c r="A25">
        <f t="shared" si="1"/>
        <v>24</v>
      </c>
      <c r="B25" s="2" t="s">
        <v>67</v>
      </c>
      <c r="C25" t="s">
        <v>16</v>
      </c>
      <c r="D25">
        <f>2022-1957</f>
        <v>65</v>
      </c>
      <c r="E25" s="9">
        <v>20941</v>
      </c>
      <c r="F25" s="10">
        <v>44853</v>
      </c>
      <c r="G25" s="10" t="s">
        <v>17</v>
      </c>
      <c r="H25" t="s">
        <v>18</v>
      </c>
      <c r="I25" s="3" t="s">
        <v>18</v>
      </c>
      <c r="K25" t="s">
        <v>68</v>
      </c>
      <c r="M25" t="s">
        <v>20</v>
      </c>
    </row>
    <row r="26" ht="14.25" customHeight="1">
      <c r="A26">
        <f t="shared" si="1"/>
        <v>25</v>
      </c>
      <c r="B26" s="2" t="s">
        <v>69</v>
      </c>
      <c r="C26" t="s">
        <v>16</v>
      </c>
      <c r="D26">
        <f>2022-1947</f>
        <v>75</v>
      </c>
      <c r="E26" s="9">
        <v>17168</v>
      </c>
      <c r="F26" s="10">
        <v>44853</v>
      </c>
      <c r="G26" s="10" t="s">
        <v>17</v>
      </c>
      <c r="H26" t="s">
        <v>18</v>
      </c>
      <c r="I26" s="3" t="s">
        <v>18</v>
      </c>
      <c r="J26" s="4" t="s">
        <v>70</v>
      </c>
      <c r="K26" t="s">
        <v>71</v>
      </c>
    </row>
    <row r="27" ht="28.399999999999999" customHeight="1">
      <c r="A27">
        <f t="shared" si="1"/>
        <v>26</v>
      </c>
      <c r="B27" s="2" t="s">
        <v>72</v>
      </c>
      <c r="C27" t="s">
        <v>16</v>
      </c>
      <c r="D27">
        <f>2022-2005</f>
        <v>17</v>
      </c>
      <c r="E27" s="9">
        <v>38504</v>
      </c>
      <c r="F27" s="10">
        <v>44886</v>
      </c>
      <c r="G27" s="10" t="s">
        <v>73</v>
      </c>
      <c r="H27" t="s">
        <v>18</v>
      </c>
      <c r="I27" s="3" t="s">
        <v>18</v>
      </c>
      <c r="J27" s="4" t="s">
        <v>74</v>
      </c>
      <c r="K27" s="2" t="s">
        <v>75</v>
      </c>
    </row>
    <row r="28" ht="14.25" customHeight="1">
      <c r="A28">
        <f t="shared" si="1"/>
        <v>27</v>
      </c>
      <c r="B28" s="2" t="s">
        <v>76</v>
      </c>
      <c r="C28" t="s">
        <v>16</v>
      </c>
      <c r="D28">
        <f>2022-1951</f>
        <v>71</v>
      </c>
      <c r="E28" s="9">
        <v>18688</v>
      </c>
      <c r="F28" s="10">
        <v>44888</v>
      </c>
      <c r="G28" s="10" t="s">
        <v>17</v>
      </c>
      <c r="H28" t="s">
        <v>18</v>
      </c>
      <c r="I28" s="3" t="s">
        <v>18</v>
      </c>
      <c r="J28" s="23" t="s">
        <v>77</v>
      </c>
      <c r="K28" t="s">
        <v>78</v>
      </c>
      <c r="M28" t="s">
        <v>20</v>
      </c>
    </row>
    <row r="29" ht="14.25" customHeight="1">
      <c r="A29">
        <f t="shared" si="1"/>
        <v>28</v>
      </c>
      <c r="B29" s="2" t="s">
        <v>79</v>
      </c>
      <c r="C29" t="s">
        <v>16</v>
      </c>
      <c r="D29">
        <f>2022-1956</f>
        <v>66</v>
      </c>
      <c r="E29" s="9">
        <v>20729</v>
      </c>
      <c r="F29" s="10">
        <v>44900</v>
      </c>
      <c r="G29" s="10" t="s">
        <v>17</v>
      </c>
      <c r="H29" t="s">
        <v>18</v>
      </c>
      <c r="I29" s="3" t="s">
        <v>18</v>
      </c>
      <c r="J29" s="4" t="s">
        <v>80</v>
      </c>
      <c r="K29" t="s">
        <v>81</v>
      </c>
    </row>
    <row r="30" ht="14.25" customHeight="1">
      <c r="A30" s="20">
        <f t="shared" si="1"/>
        <v>29</v>
      </c>
      <c r="B30" s="20" t="s">
        <v>82</v>
      </c>
      <c r="C30" s="20" t="s">
        <v>16</v>
      </c>
      <c r="D30" s="21">
        <f>2022-2004</f>
        <v>18</v>
      </c>
      <c r="E30" s="9">
        <v>38047</v>
      </c>
      <c r="F30" s="10">
        <v>44567</v>
      </c>
      <c r="G30" s="10" t="s">
        <v>83</v>
      </c>
      <c r="H30" t="s">
        <v>25</v>
      </c>
      <c r="I30" s="3" t="s">
        <v>25</v>
      </c>
    </row>
    <row r="31" ht="14.25" customHeight="1">
      <c r="A31">
        <f t="shared" si="1"/>
        <v>30</v>
      </c>
      <c r="B31" s="2" t="s">
        <v>84</v>
      </c>
      <c r="C31" t="s">
        <v>16</v>
      </c>
      <c r="D31">
        <f>2022-1977</f>
        <v>45</v>
      </c>
      <c r="E31" s="9">
        <v>28460</v>
      </c>
      <c r="F31" s="10">
        <v>44581</v>
      </c>
      <c r="G31" s="10" t="s">
        <v>83</v>
      </c>
      <c r="H31" t="s">
        <v>18</v>
      </c>
      <c r="I31" s="3" t="s">
        <v>25</v>
      </c>
    </row>
    <row r="32" ht="14.25" customHeight="1">
      <c r="A32">
        <f t="shared" si="1"/>
        <v>31</v>
      </c>
      <c r="B32" s="2" t="s">
        <v>85</v>
      </c>
      <c r="C32" t="s">
        <v>23</v>
      </c>
      <c r="D32">
        <f>2022-1995</f>
        <v>27</v>
      </c>
      <c r="E32" s="9">
        <v>34851</v>
      </c>
      <c r="F32" s="10">
        <v>44602</v>
      </c>
      <c r="G32" s="10" t="s">
        <v>83</v>
      </c>
      <c r="H32" t="s">
        <v>25</v>
      </c>
      <c r="I32" s="3" t="s">
        <v>25</v>
      </c>
    </row>
    <row r="33" ht="14.25" customHeight="1">
      <c r="A33">
        <f t="shared" si="1"/>
        <v>32</v>
      </c>
      <c r="B33" s="2" t="s">
        <v>86</v>
      </c>
      <c r="C33" t="s">
        <v>16</v>
      </c>
      <c r="D33">
        <f>2022-1982</f>
        <v>40</v>
      </c>
      <c r="E33" s="9">
        <v>30072</v>
      </c>
      <c r="F33" s="10">
        <v>44650</v>
      </c>
      <c r="G33" s="10" t="s">
        <v>83</v>
      </c>
      <c r="H33" t="s">
        <v>25</v>
      </c>
      <c r="I33" s="3" t="s">
        <v>25</v>
      </c>
    </row>
    <row r="34" ht="14.25" customHeight="1">
      <c r="A34">
        <f t="shared" si="1"/>
        <v>33</v>
      </c>
      <c r="B34" s="2" t="s">
        <v>87</v>
      </c>
      <c r="C34" t="s">
        <v>16</v>
      </c>
      <c r="D34">
        <f>2022-2005</f>
        <v>17</v>
      </c>
      <c r="E34" s="9">
        <v>38384</v>
      </c>
      <c r="F34" s="10">
        <v>44677</v>
      </c>
      <c r="G34" s="10" t="s">
        <v>83</v>
      </c>
      <c r="H34" t="s">
        <v>25</v>
      </c>
      <c r="I34" s="3" t="s">
        <v>25</v>
      </c>
    </row>
    <row r="35" ht="14.25" customHeight="1">
      <c r="A35">
        <f t="shared" si="1"/>
        <v>34</v>
      </c>
      <c r="B35" s="2" t="s">
        <v>88</v>
      </c>
      <c r="C35" t="s">
        <v>16</v>
      </c>
      <c r="D35">
        <f>2022 -1995</f>
        <v>27</v>
      </c>
      <c r="E35" s="9">
        <v>35004</v>
      </c>
      <c r="F35" s="10">
        <v>44722</v>
      </c>
      <c r="G35" s="10" t="s">
        <v>83</v>
      </c>
      <c r="H35" t="s">
        <v>25</v>
      </c>
      <c r="I35" s="3" t="s">
        <v>25</v>
      </c>
    </row>
    <row r="36" ht="14.25" customHeight="1">
      <c r="A36">
        <f t="shared" si="1"/>
        <v>35</v>
      </c>
      <c r="B36" s="2" t="s">
        <v>89</v>
      </c>
      <c r="C36" t="s">
        <v>23</v>
      </c>
      <c r="D36">
        <f>2022 -2007</f>
        <v>15</v>
      </c>
      <c r="E36" s="9">
        <v>39114</v>
      </c>
      <c r="F36" s="10">
        <v>44818</v>
      </c>
      <c r="G36" s="10" t="s">
        <v>83</v>
      </c>
      <c r="H36" t="s">
        <v>25</v>
      </c>
      <c r="I36" s="3" t="s">
        <v>25</v>
      </c>
    </row>
    <row r="37" ht="14.25" customHeight="1">
      <c r="A37">
        <f t="shared" si="1"/>
        <v>36</v>
      </c>
      <c r="B37" s="2" t="s">
        <v>90</v>
      </c>
      <c r="C37" t="s">
        <v>23</v>
      </c>
      <c r="D37">
        <f>2022 -1978</f>
        <v>44</v>
      </c>
      <c r="E37" s="9">
        <v>28734</v>
      </c>
      <c r="F37" s="10">
        <v>44833</v>
      </c>
      <c r="G37" s="10" t="s">
        <v>83</v>
      </c>
      <c r="H37" t="s">
        <v>25</v>
      </c>
      <c r="I37" s="3" t="s">
        <v>25</v>
      </c>
    </row>
    <row r="38" ht="14.25" customHeight="1">
      <c r="A38">
        <f t="shared" si="1"/>
        <v>37</v>
      </c>
      <c r="B38" s="2" t="s">
        <v>91</v>
      </c>
      <c r="C38" t="s">
        <v>16</v>
      </c>
      <c r="D38">
        <f>2022 -2005</f>
        <v>17</v>
      </c>
      <c r="E38" s="9">
        <v>38565</v>
      </c>
      <c r="F38" s="10">
        <v>44852</v>
      </c>
      <c r="G38" s="10" t="s">
        <v>83</v>
      </c>
      <c r="H38" t="s">
        <v>18</v>
      </c>
      <c r="I38" s="3" t="s">
        <v>25</v>
      </c>
    </row>
    <row r="39" ht="14.25" customHeight="1">
      <c r="A39">
        <f t="shared" si="1"/>
        <v>38</v>
      </c>
      <c r="B39" s="2" t="s">
        <v>92</v>
      </c>
      <c r="C39" t="s">
        <v>23</v>
      </c>
      <c r="D39">
        <f>2022 -1984</f>
        <v>38</v>
      </c>
      <c r="E39" s="9">
        <v>30987</v>
      </c>
      <c r="F39" s="10">
        <v>44883</v>
      </c>
      <c r="G39" s="10" t="s">
        <v>83</v>
      </c>
      <c r="H39" t="s">
        <v>18</v>
      </c>
      <c r="I39" s="3" t="s">
        <v>18</v>
      </c>
      <c r="J39" s="24" t="s">
        <v>93</v>
      </c>
      <c r="K39" t="s">
        <v>94</v>
      </c>
    </row>
    <row r="40" ht="14.25" customHeight="1">
      <c r="A40">
        <f t="shared" si="1"/>
        <v>39</v>
      </c>
      <c r="B40" s="2" t="s">
        <v>95</v>
      </c>
      <c r="C40" t="s">
        <v>23</v>
      </c>
      <c r="D40">
        <f>2022 -2011</f>
        <v>11</v>
      </c>
      <c r="E40" s="9">
        <v>40878</v>
      </c>
      <c r="F40" s="10">
        <v>44903</v>
      </c>
      <c r="G40" s="10" t="s">
        <v>83</v>
      </c>
      <c r="H40" t="s">
        <v>18</v>
      </c>
      <c r="I40" s="3" t="s">
        <v>18</v>
      </c>
      <c r="J40" s="25">
        <v>0.20799768518518519</v>
      </c>
      <c r="K40" t="s">
        <v>96</v>
      </c>
    </row>
    <row r="41" ht="14.25" customHeight="1">
      <c r="A41">
        <f t="shared" si="1"/>
        <v>40</v>
      </c>
      <c r="B41" s="2" t="s">
        <v>97</v>
      </c>
      <c r="C41" t="s">
        <v>23</v>
      </c>
      <c r="D41">
        <f>2021 -2004</f>
        <v>17</v>
      </c>
      <c r="E41" s="9">
        <v>38018</v>
      </c>
      <c r="F41" s="10">
        <v>44547</v>
      </c>
      <c r="G41" s="10" t="s">
        <v>83</v>
      </c>
      <c r="H41" t="s">
        <v>25</v>
      </c>
      <c r="I41" s="3" t="s">
        <v>25</v>
      </c>
    </row>
    <row r="42" s="21" customFormat="1" ht="14.25" customHeight="1">
      <c r="A42" s="20">
        <f t="shared" si="1"/>
        <v>41</v>
      </c>
      <c r="B42" s="20" t="s">
        <v>98</v>
      </c>
      <c r="C42" s="20" t="s">
        <v>23</v>
      </c>
      <c r="D42" s="21">
        <f>2021 -1989</f>
        <v>32</v>
      </c>
      <c r="E42" s="26">
        <v>32629</v>
      </c>
      <c r="F42" s="27">
        <v>44463</v>
      </c>
      <c r="G42" s="21" t="s">
        <v>73</v>
      </c>
      <c r="H42" s="21" t="s">
        <v>18</v>
      </c>
      <c r="I42" s="3" t="s">
        <v>18</v>
      </c>
      <c r="J42" s="28"/>
      <c r="K42" s="21" t="s">
        <v>99</v>
      </c>
      <c r="M42" s="21" t="s">
        <v>66</v>
      </c>
    </row>
    <row r="43" ht="14.25" customHeight="1">
      <c r="A43">
        <f t="shared" si="1"/>
        <v>42</v>
      </c>
      <c r="B43" s="2" t="s">
        <v>100</v>
      </c>
      <c r="C43" t="s">
        <v>16</v>
      </c>
      <c r="D43">
        <f>2019 -2012</f>
        <v>7</v>
      </c>
      <c r="E43" s="9">
        <v>41183</v>
      </c>
      <c r="F43" s="10">
        <v>43635</v>
      </c>
      <c r="G43" t="s">
        <v>73</v>
      </c>
      <c r="H43" t="s">
        <v>18</v>
      </c>
      <c r="I43" s="3" t="s">
        <v>18</v>
      </c>
      <c r="K43" t="s">
        <v>101</v>
      </c>
    </row>
    <row r="44" ht="14.25" customHeight="1">
      <c r="A44">
        <f t="shared" si="1"/>
        <v>43</v>
      </c>
      <c r="B44" s="2" t="s">
        <v>102</v>
      </c>
      <c r="C44" t="s">
        <v>23</v>
      </c>
      <c r="D44">
        <f>2019 -1999</f>
        <v>20</v>
      </c>
      <c r="E44" s="9">
        <v>36192</v>
      </c>
      <c r="F44" s="10">
        <v>43796</v>
      </c>
      <c r="G44" t="s">
        <v>73</v>
      </c>
      <c r="H44" t="s">
        <v>18</v>
      </c>
      <c r="I44" s="3" t="s">
        <v>18</v>
      </c>
      <c r="K44" t="s">
        <v>103</v>
      </c>
      <c r="M44" t="s">
        <v>66</v>
      </c>
    </row>
    <row r="45" ht="14.25" customHeight="1">
      <c r="A45">
        <f t="shared" si="1"/>
        <v>44</v>
      </c>
      <c r="B45" s="2" t="s">
        <v>104</v>
      </c>
      <c r="C45" t="s">
        <v>23</v>
      </c>
      <c r="D45">
        <f t="shared" ref="D45:D46" si="3">2019 -1995</f>
        <v>24</v>
      </c>
      <c r="E45" s="9">
        <v>36831</v>
      </c>
      <c r="F45" s="10">
        <v>43710</v>
      </c>
      <c r="G45" t="s">
        <v>73</v>
      </c>
      <c r="H45" t="s">
        <v>18</v>
      </c>
      <c r="I45" s="3" t="s">
        <v>18</v>
      </c>
      <c r="K45" t="s">
        <v>105</v>
      </c>
      <c r="M45" t="s">
        <v>66</v>
      </c>
    </row>
    <row r="46" ht="14.25" customHeight="1">
      <c r="A46">
        <f t="shared" si="1"/>
        <v>45</v>
      </c>
      <c r="B46" s="2" t="s">
        <v>106</v>
      </c>
      <c r="C46" t="s">
        <v>23</v>
      </c>
      <c r="D46">
        <f t="shared" si="3"/>
        <v>24</v>
      </c>
      <c r="E46" s="9">
        <v>35827</v>
      </c>
      <c r="F46" s="10">
        <v>43619</v>
      </c>
      <c r="G46" t="s">
        <v>73</v>
      </c>
      <c r="H46" t="s">
        <v>25</v>
      </c>
      <c r="I46" s="3" t="s">
        <v>25</v>
      </c>
    </row>
    <row r="47" s="29" customFormat="1" ht="28.399999999999999" customHeight="1">
      <c r="A47" s="29">
        <f t="shared" si="1"/>
        <v>46</v>
      </c>
      <c r="B47" s="29" t="s">
        <v>107</v>
      </c>
      <c r="C47" s="29" t="s">
        <v>16</v>
      </c>
      <c r="D47" s="29">
        <v>84</v>
      </c>
      <c r="E47" s="30">
        <v>13516</v>
      </c>
      <c r="F47" s="31">
        <v>44643</v>
      </c>
      <c r="G47" s="29" t="s">
        <v>17</v>
      </c>
      <c r="H47" s="29" t="s">
        <v>18</v>
      </c>
      <c r="I47" s="3" t="s">
        <v>18</v>
      </c>
      <c r="J47" s="32" t="s">
        <v>108</v>
      </c>
      <c r="K47" s="29" t="s">
        <v>109</v>
      </c>
      <c r="L47" s="33" t="s">
        <v>110</v>
      </c>
      <c r="M47" s="29" t="s">
        <v>20</v>
      </c>
      <c r="P47" s="29" t="s">
        <v>111</v>
      </c>
    </row>
    <row r="48" ht="14.25" customHeight="1">
      <c r="A48">
        <f t="shared" si="1"/>
        <v>47</v>
      </c>
      <c r="B48" s="2" t="s">
        <v>112</v>
      </c>
      <c r="C48" t="s">
        <v>16</v>
      </c>
      <c r="D48">
        <f>2021-1946</f>
        <v>75</v>
      </c>
      <c r="E48" s="9">
        <v>16862</v>
      </c>
      <c r="F48" s="10">
        <v>44463</v>
      </c>
      <c r="G48" t="s">
        <v>17</v>
      </c>
      <c r="H48" t="s">
        <v>18</v>
      </c>
      <c r="I48" s="3" t="s">
        <v>25</v>
      </c>
    </row>
    <row r="49" ht="14.25" customHeight="1">
      <c r="A49">
        <f t="shared" si="1"/>
        <v>48</v>
      </c>
      <c r="B49" s="2" t="s">
        <v>113</v>
      </c>
      <c r="C49" t="s">
        <v>16</v>
      </c>
      <c r="D49">
        <f>2015-1957</f>
        <v>58</v>
      </c>
      <c r="E49" s="9">
        <v>21002</v>
      </c>
      <c r="F49" s="10">
        <v>42283</v>
      </c>
      <c r="G49" t="s">
        <v>17</v>
      </c>
      <c r="H49" t="s">
        <v>25</v>
      </c>
      <c r="I49" s="3" t="s">
        <v>25</v>
      </c>
    </row>
    <row r="50" ht="14.25" customHeight="1">
      <c r="A50">
        <f t="shared" si="1"/>
        <v>49</v>
      </c>
      <c r="B50" s="2" t="s">
        <v>114</v>
      </c>
      <c r="C50" t="s">
        <v>23</v>
      </c>
      <c r="D50">
        <f>2021-1943</f>
        <v>78</v>
      </c>
      <c r="E50" s="9">
        <v>15738</v>
      </c>
      <c r="F50" s="10">
        <v>44218</v>
      </c>
      <c r="G50" t="s">
        <v>17</v>
      </c>
      <c r="H50" t="s">
        <v>18</v>
      </c>
      <c r="I50" s="3" t="s">
        <v>25</v>
      </c>
    </row>
    <row r="51" ht="14.25" customHeight="1">
      <c r="A51">
        <f t="shared" si="1"/>
        <v>50</v>
      </c>
      <c r="B51" s="2" t="s">
        <v>115</v>
      </c>
      <c r="C51" t="s">
        <v>16</v>
      </c>
      <c r="D51">
        <f>2021-1953</f>
        <v>68</v>
      </c>
      <c r="E51" s="9">
        <v>19391</v>
      </c>
      <c r="F51" s="10">
        <v>44540</v>
      </c>
      <c r="G51" t="s">
        <v>17</v>
      </c>
      <c r="H51" t="s">
        <v>18</v>
      </c>
      <c r="I51" s="3" t="s">
        <v>25</v>
      </c>
      <c r="K51" t="s">
        <v>116</v>
      </c>
    </row>
    <row r="52" ht="14.25" customHeight="1">
      <c r="A52">
        <f t="shared" si="1"/>
        <v>51</v>
      </c>
      <c r="B52" s="2" t="s">
        <v>117</v>
      </c>
      <c r="C52" t="s">
        <v>16</v>
      </c>
      <c r="D52">
        <f>2021-1967</f>
        <v>54</v>
      </c>
      <c r="E52" s="9">
        <v>24685</v>
      </c>
      <c r="F52" s="10">
        <v>44459</v>
      </c>
      <c r="H52" t="s">
        <v>25</v>
      </c>
      <c r="I52" s="3" t="s">
        <v>25</v>
      </c>
    </row>
    <row r="53" ht="297" customHeight="1">
      <c r="A53">
        <f t="shared" si="1"/>
        <v>52</v>
      </c>
      <c r="B53" s="2" t="s">
        <v>118</v>
      </c>
      <c r="C53" t="s">
        <v>16</v>
      </c>
      <c r="D53">
        <f>2021-1961</f>
        <v>60</v>
      </c>
      <c r="E53" s="9">
        <v>22494</v>
      </c>
      <c r="F53" s="10">
        <v>44477</v>
      </c>
      <c r="G53" t="s">
        <v>119</v>
      </c>
      <c r="H53" t="s">
        <v>18</v>
      </c>
      <c r="I53" s="3" t="s">
        <v>18</v>
      </c>
      <c r="J53" s="34" t="s">
        <v>120</v>
      </c>
      <c r="K53" s="2"/>
    </row>
    <row r="54" ht="8.25" customHeight="1">
      <c r="A54">
        <f t="shared" si="1"/>
        <v>53</v>
      </c>
      <c r="B54" s="2" t="s">
        <v>121</v>
      </c>
      <c r="C54" t="s">
        <v>16</v>
      </c>
      <c r="D54">
        <f>2023-1951</f>
        <v>72</v>
      </c>
      <c r="E54" s="35">
        <v>18688</v>
      </c>
      <c r="F54" s="10">
        <v>44872</v>
      </c>
      <c r="G54" t="s">
        <v>17</v>
      </c>
      <c r="H54" t="s">
        <v>18</v>
      </c>
      <c r="I54" s="3" t="s">
        <v>18</v>
      </c>
      <c r="J54" s="23" t="s">
        <v>122</v>
      </c>
      <c r="K54" s="2" t="s">
        <v>123</v>
      </c>
    </row>
    <row r="55" ht="14.25" customHeight="1">
      <c r="A55">
        <f t="shared" si="1"/>
        <v>54</v>
      </c>
      <c r="B55" s="2" t="s">
        <v>124</v>
      </c>
      <c r="C55" t="s">
        <v>23</v>
      </c>
      <c r="D55">
        <f>2020-2003</f>
        <v>17</v>
      </c>
      <c r="E55" s="35">
        <v>37712</v>
      </c>
      <c r="F55" s="10">
        <v>44098</v>
      </c>
      <c r="G55" t="s">
        <v>125</v>
      </c>
      <c r="H55" t="s">
        <v>25</v>
      </c>
      <c r="I55" s="3" t="s">
        <v>25</v>
      </c>
      <c r="J55" s="4" t="s">
        <v>126</v>
      </c>
    </row>
    <row r="56" ht="14.25" customHeight="1">
      <c r="A56">
        <f t="shared" si="1"/>
        <v>55</v>
      </c>
      <c r="B56" s="2" t="s">
        <v>127</v>
      </c>
      <c r="C56" t="s">
        <v>23</v>
      </c>
      <c r="D56">
        <v>19</v>
      </c>
      <c r="E56" s="35">
        <v>36373</v>
      </c>
      <c r="F56" s="10">
        <v>43654</v>
      </c>
      <c r="G56" t="s">
        <v>73</v>
      </c>
      <c r="H56" t="s">
        <v>25</v>
      </c>
      <c r="I56" s="3" t="s">
        <v>25</v>
      </c>
    </row>
    <row r="57" ht="14.25" customHeight="1">
      <c r="A57">
        <f t="shared" si="1"/>
        <v>56</v>
      </c>
      <c r="B57" s="2" t="s">
        <v>128</v>
      </c>
      <c r="C57" t="s">
        <v>16</v>
      </c>
      <c r="D57">
        <f>2019-1966</f>
        <v>53</v>
      </c>
      <c r="E57" s="35">
        <v>24351</v>
      </c>
      <c r="F57" s="10">
        <v>43482</v>
      </c>
      <c r="G57" t="s">
        <v>73</v>
      </c>
      <c r="H57" t="s">
        <v>25</v>
      </c>
      <c r="I57" s="3" t="s">
        <v>25</v>
      </c>
    </row>
    <row r="58" ht="14.25" customHeight="1">
      <c r="A58">
        <f t="shared" si="1"/>
        <v>57</v>
      </c>
      <c r="B58" s="2" t="s">
        <v>129</v>
      </c>
      <c r="C58" t="s">
        <v>23</v>
      </c>
      <c r="D58">
        <f>2020-2007</f>
        <v>13</v>
      </c>
      <c r="E58" s="35">
        <v>39173</v>
      </c>
      <c r="F58" s="10">
        <v>44007</v>
      </c>
      <c r="G58" t="s">
        <v>73</v>
      </c>
      <c r="H58" t="s">
        <v>25</v>
      </c>
      <c r="I58" s="3" t="s">
        <v>25</v>
      </c>
    </row>
    <row r="59" ht="14.25" customHeight="1">
      <c r="A59">
        <f t="shared" si="1"/>
        <v>58</v>
      </c>
      <c r="B59" s="2" t="s">
        <v>130</v>
      </c>
      <c r="C59" t="s">
        <v>16</v>
      </c>
      <c r="D59">
        <f>2022-1943</f>
        <v>79</v>
      </c>
      <c r="E59" s="35">
        <v>15980</v>
      </c>
      <c r="F59" s="10">
        <v>44846</v>
      </c>
      <c r="G59" t="s">
        <v>131</v>
      </c>
      <c r="H59" t="s">
        <v>18</v>
      </c>
      <c r="I59" s="3" t="s">
        <v>18</v>
      </c>
      <c r="J59" s="4" t="s">
        <v>126</v>
      </c>
      <c r="K59" t="s">
        <v>132</v>
      </c>
      <c r="M59" t="s">
        <v>66</v>
      </c>
    </row>
    <row r="60" ht="28.399999999999999" customHeight="1">
      <c r="A60">
        <f t="shared" si="1"/>
        <v>59</v>
      </c>
      <c r="B60" s="2" t="s">
        <v>133</v>
      </c>
      <c r="C60" t="s">
        <v>16</v>
      </c>
      <c r="D60">
        <f>2022-1947</f>
        <v>75</v>
      </c>
      <c r="E60" s="36">
        <v>17411</v>
      </c>
      <c r="F60" s="37">
        <v>44628</v>
      </c>
      <c r="G60" s="38" t="s">
        <v>60</v>
      </c>
      <c r="H60" t="s">
        <v>18</v>
      </c>
      <c r="I60" s="3" t="s">
        <v>18</v>
      </c>
      <c r="K60" s="2" t="s">
        <v>134</v>
      </c>
    </row>
    <row r="61" ht="14.25" customHeight="1">
      <c r="A61">
        <f t="shared" si="1"/>
        <v>60</v>
      </c>
      <c r="B61" s="2" t="s">
        <v>135</v>
      </c>
      <c r="C61" t="s">
        <v>16</v>
      </c>
      <c r="D61">
        <v>58</v>
      </c>
      <c r="E61">
        <v>23224</v>
      </c>
      <c r="F61">
        <v>44538</v>
      </c>
      <c r="G61" s="39" t="s">
        <v>24</v>
      </c>
      <c r="H61" t="s">
        <v>18</v>
      </c>
      <c r="I61" s="3" t="s">
        <v>18</v>
      </c>
      <c r="K61" t="s">
        <v>136</v>
      </c>
    </row>
    <row r="62" ht="15" customHeight="1">
      <c r="A62">
        <f t="shared" si="1"/>
        <v>61</v>
      </c>
      <c r="B62" s="2" t="s">
        <v>137</v>
      </c>
      <c r="C62" t="s">
        <v>23</v>
      </c>
      <c r="D62">
        <v>63</v>
      </c>
      <c r="E62" s="36">
        <v>21276</v>
      </c>
      <c r="F62" s="37">
        <v>44544</v>
      </c>
      <c r="G62" s="38" t="s">
        <v>60</v>
      </c>
      <c r="H62" t="s">
        <v>18</v>
      </c>
      <c r="I62" s="3" t="s">
        <v>138</v>
      </c>
      <c r="K62" t="s">
        <v>139</v>
      </c>
    </row>
    <row r="63" ht="15" customHeight="1">
      <c r="A63">
        <f t="shared" si="1"/>
        <v>62</v>
      </c>
      <c r="B63" s="2" t="s">
        <v>140</v>
      </c>
      <c r="C63" t="s">
        <v>16</v>
      </c>
      <c r="D63">
        <v>72</v>
      </c>
      <c r="E63" s="36">
        <v>16377</v>
      </c>
      <c r="F63" s="40">
        <v>42864</v>
      </c>
      <c r="G63" s="38" t="s">
        <v>24</v>
      </c>
      <c r="H63" t="s">
        <v>25</v>
      </c>
      <c r="I63" s="3" t="s">
        <v>25</v>
      </c>
    </row>
    <row r="64" ht="15" customHeight="1">
      <c r="A64">
        <f t="shared" si="1"/>
        <v>63</v>
      </c>
      <c r="B64" s="2" t="s">
        <v>141</v>
      </c>
      <c r="C64" t="s">
        <v>23</v>
      </c>
      <c r="D64">
        <v>74</v>
      </c>
      <c r="E64" s="36">
        <v>15342</v>
      </c>
      <c r="F64" s="37">
        <v>42508</v>
      </c>
      <c r="G64" s="38" t="s">
        <v>24</v>
      </c>
      <c r="H64" t="s">
        <v>25</v>
      </c>
      <c r="I64" s="3" t="s">
        <v>25</v>
      </c>
      <c r="K64" t="s">
        <v>142</v>
      </c>
    </row>
    <row r="65" ht="15" customHeight="1">
      <c r="A65">
        <f t="shared" si="1"/>
        <v>64</v>
      </c>
      <c r="B65" s="2" t="s">
        <v>143</v>
      </c>
      <c r="C65" t="s">
        <v>16</v>
      </c>
      <c r="D65">
        <v>60</v>
      </c>
      <c r="E65" s="36">
        <v>19937</v>
      </c>
      <c r="F65" s="41">
        <v>42023</v>
      </c>
      <c r="G65" s="38" t="s">
        <v>24</v>
      </c>
      <c r="H65" t="s">
        <v>25</v>
      </c>
      <c r="I65" s="3" t="s">
        <v>25</v>
      </c>
    </row>
    <row r="66" ht="15" customHeight="1">
      <c r="A66">
        <f t="shared" si="1"/>
        <v>65</v>
      </c>
      <c r="B66" s="2" t="s">
        <v>144</v>
      </c>
      <c r="C66" t="s">
        <v>23</v>
      </c>
      <c r="D66">
        <v>67</v>
      </c>
      <c r="E66" s="36">
        <v>18537</v>
      </c>
      <c r="F66" s="37">
        <v>43215</v>
      </c>
      <c r="G66" s="38" t="s">
        <v>60</v>
      </c>
      <c r="H66" t="s">
        <v>18</v>
      </c>
      <c r="I66" s="3" t="s">
        <v>25</v>
      </c>
      <c r="K66" t="s">
        <v>145</v>
      </c>
    </row>
    <row r="67" ht="15" customHeight="1">
      <c r="A67">
        <f t="shared" si="1"/>
        <v>66</v>
      </c>
      <c r="B67" s="2" t="s">
        <v>146</v>
      </c>
      <c r="C67" t="s">
        <v>23</v>
      </c>
      <c r="D67">
        <v>60</v>
      </c>
      <c r="E67" s="36">
        <v>22433</v>
      </c>
      <c r="F67" s="37">
        <v>44565</v>
      </c>
      <c r="G67" s="38" t="s">
        <v>60</v>
      </c>
      <c r="H67" t="s">
        <v>25</v>
      </c>
      <c r="I67" s="3" t="s">
        <v>25</v>
      </c>
    </row>
    <row r="68" ht="15" customHeight="1">
      <c r="A68">
        <f t="shared" si="1"/>
        <v>67</v>
      </c>
      <c r="B68" s="2" t="s">
        <v>147</v>
      </c>
      <c r="C68" t="s">
        <v>23</v>
      </c>
      <c r="D68">
        <v>72</v>
      </c>
      <c r="E68" s="36">
        <v>16711</v>
      </c>
      <c r="F68" s="37">
        <v>43081</v>
      </c>
      <c r="G68" s="38" t="s">
        <v>24</v>
      </c>
      <c r="H68" t="s">
        <v>25</v>
      </c>
      <c r="I68" s="3" t="s">
        <v>25</v>
      </c>
      <c r="K68" t="s">
        <v>148</v>
      </c>
    </row>
    <row r="69" ht="28.399999999999999" customHeight="1">
      <c r="A69">
        <f t="shared" si="1"/>
        <v>68</v>
      </c>
      <c r="B69" t="s">
        <v>149</v>
      </c>
      <c r="C69" t="s">
        <v>23</v>
      </c>
      <c r="D69">
        <v>55</v>
      </c>
      <c r="E69" s="42">
        <v>23529</v>
      </c>
      <c r="F69" s="43">
        <v>42500</v>
      </c>
      <c r="G69" s="44" t="s">
        <v>60</v>
      </c>
      <c r="H69" t="s">
        <v>18</v>
      </c>
      <c r="I69" s="3" t="s">
        <v>18</v>
      </c>
      <c r="K69" s="2" t="s">
        <v>150</v>
      </c>
      <c r="M69" t="s">
        <v>20</v>
      </c>
    </row>
    <row r="70" ht="15" customHeight="1">
      <c r="A70">
        <f t="shared" si="1"/>
        <v>69</v>
      </c>
      <c r="B70" s="2" t="s">
        <v>151</v>
      </c>
      <c r="C70" t="s">
        <v>23</v>
      </c>
      <c r="D70">
        <v>73</v>
      </c>
      <c r="E70" s="36">
        <v>15250</v>
      </c>
      <c r="F70" s="37">
        <v>42256</v>
      </c>
      <c r="G70" s="38" t="s">
        <v>60</v>
      </c>
      <c r="H70" t="s">
        <v>25</v>
      </c>
      <c r="I70" s="3" t="s">
        <v>25</v>
      </c>
    </row>
    <row r="71" s="14" customFormat="1" ht="15" hidden="1" customHeight="1">
      <c r="A71" s="14">
        <f t="shared" si="1"/>
        <v>70</v>
      </c>
      <c r="B71" s="14" t="s">
        <v>152</v>
      </c>
      <c r="C71" s="14" t="s">
        <v>16</v>
      </c>
      <c r="D71" s="14">
        <v>59</v>
      </c>
      <c r="E71" s="45">
        <v>22798</v>
      </c>
      <c r="F71" s="46">
        <v>44776</v>
      </c>
      <c r="G71" s="47" t="s">
        <v>24</v>
      </c>
      <c r="H71" s="14" t="s">
        <v>18</v>
      </c>
      <c r="I71" s="3" t="s">
        <v>153</v>
      </c>
      <c r="J71" s="16"/>
      <c r="K71" s="14" t="s">
        <v>154</v>
      </c>
    </row>
    <row r="72" ht="15" customHeight="1">
      <c r="A72">
        <f t="shared" si="1"/>
        <v>71</v>
      </c>
      <c r="B72" s="2" t="s">
        <v>155</v>
      </c>
      <c r="C72" t="s">
        <v>16</v>
      </c>
      <c r="D72">
        <v>57</v>
      </c>
      <c r="E72" s="36">
        <v>22678</v>
      </c>
      <c r="F72" s="37">
        <v>44594</v>
      </c>
      <c r="G72" s="38" t="s">
        <v>24</v>
      </c>
      <c r="H72" t="s">
        <v>25</v>
      </c>
      <c r="I72" s="3" t="s">
        <v>25</v>
      </c>
    </row>
    <row r="73" ht="15" customHeight="1">
      <c r="A73">
        <f t="shared" si="1"/>
        <v>72</v>
      </c>
      <c r="B73" s="48" t="s">
        <v>156</v>
      </c>
      <c r="C73" t="s">
        <v>16</v>
      </c>
      <c r="D73">
        <v>62</v>
      </c>
      <c r="E73" s="36">
        <v>18963</v>
      </c>
      <c r="F73" s="37">
        <v>41893</v>
      </c>
      <c r="G73" s="38" t="s">
        <v>24</v>
      </c>
      <c r="H73" t="s">
        <v>25</v>
      </c>
      <c r="I73" s="3" t="s">
        <v>25</v>
      </c>
    </row>
    <row r="74" ht="15" customHeight="1">
      <c r="A74">
        <f t="shared" si="1"/>
        <v>73</v>
      </c>
      <c r="B74" s="2" t="s">
        <v>157</v>
      </c>
      <c r="C74" t="s">
        <v>16</v>
      </c>
      <c r="D74">
        <v>69</v>
      </c>
      <c r="E74" s="36">
        <v>18568</v>
      </c>
      <c r="F74" s="37">
        <v>43836</v>
      </c>
      <c r="G74" s="38" t="s">
        <v>24</v>
      </c>
      <c r="H74" t="s">
        <v>18</v>
      </c>
      <c r="I74" s="3" t="s">
        <v>25</v>
      </c>
      <c r="K74" t="s">
        <v>61</v>
      </c>
    </row>
    <row r="75" ht="15" customHeight="1">
      <c r="A75">
        <f t="shared" ref="A75:A100" si="4">A74+1</f>
        <v>74</v>
      </c>
      <c r="B75" s="2" t="s">
        <v>158</v>
      </c>
      <c r="C75" t="s">
        <v>23</v>
      </c>
      <c r="D75">
        <v>82</v>
      </c>
      <c r="E75" s="36">
        <v>14489</v>
      </c>
      <c r="F75" s="37">
        <v>44643</v>
      </c>
      <c r="G75" s="38" t="s">
        <v>60</v>
      </c>
      <c r="H75" t="s">
        <v>25</v>
      </c>
      <c r="I75" s="3" t="s">
        <v>25</v>
      </c>
    </row>
    <row r="76" ht="15" customHeight="1">
      <c r="A76">
        <f t="shared" si="4"/>
        <v>75</v>
      </c>
      <c r="B76" s="2" t="s">
        <v>159</v>
      </c>
      <c r="C76" t="s">
        <v>23</v>
      </c>
      <c r="D76">
        <v>58</v>
      </c>
      <c r="E76" s="36">
        <v>21976</v>
      </c>
      <c r="F76" s="37">
        <v>43264</v>
      </c>
      <c r="G76" s="38" t="s">
        <v>24</v>
      </c>
      <c r="H76" t="s">
        <v>25</v>
      </c>
      <c r="I76" s="3" t="s">
        <v>25</v>
      </c>
    </row>
    <row r="77" ht="14.25" customHeight="1">
      <c r="A77">
        <f t="shared" si="4"/>
        <v>76</v>
      </c>
      <c r="B77" s="2" t="s">
        <v>160</v>
      </c>
      <c r="C77" t="s">
        <v>23</v>
      </c>
      <c r="D77">
        <v>70</v>
      </c>
      <c r="E77" s="9">
        <v>18050</v>
      </c>
      <c r="F77" s="49">
        <v>43699</v>
      </c>
      <c r="G77" s="50" t="s">
        <v>60</v>
      </c>
      <c r="H77" t="s">
        <v>18</v>
      </c>
      <c r="I77" s="21" t="s">
        <v>18</v>
      </c>
      <c r="K77" t="s">
        <v>161</v>
      </c>
      <c r="M77" t="s">
        <v>20</v>
      </c>
    </row>
    <row r="78" ht="14.25" customHeight="1">
      <c r="A78">
        <f t="shared" si="4"/>
        <v>77</v>
      </c>
      <c r="B78" s="2" t="s">
        <v>162</v>
      </c>
      <c r="C78" t="s">
        <v>23</v>
      </c>
      <c r="D78">
        <v>63</v>
      </c>
      <c r="E78" s="9">
        <v>21520</v>
      </c>
      <c r="F78" s="49">
        <v>44677</v>
      </c>
      <c r="G78" s="50" t="s">
        <v>24</v>
      </c>
      <c r="H78" t="s">
        <v>18</v>
      </c>
      <c r="I78" s="21" t="s">
        <v>18</v>
      </c>
      <c r="K78" t="s">
        <v>161</v>
      </c>
    </row>
    <row r="79" ht="15" customHeight="1">
      <c r="A79">
        <f t="shared" si="4"/>
        <v>78</v>
      </c>
      <c r="B79" s="2" t="s">
        <v>163</v>
      </c>
      <c r="C79" t="s">
        <v>16</v>
      </c>
      <c r="D79">
        <v>51</v>
      </c>
      <c r="E79" s="36">
        <v>23590</v>
      </c>
      <c r="F79" s="37">
        <v>42549</v>
      </c>
      <c r="G79" s="38" t="s">
        <v>24</v>
      </c>
      <c r="H79" t="s">
        <v>25</v>
      </c>
      <c r="I79" s="3" t="s">
        <v>25</v>
      </c>
    </row>
    <row r="80" ht="15" customHeight="1">
      <c r="A80">
        <f t="shared" si="4"/>
        <v>79</v>
      </c>
      <c r="B80" s="2" t="s">
        <v>164</v>
      </c>
      <c r="C80" t="s">
        <v>16</v>
      </c>
      <c r="D80">
        <v>58</v>
      </c>
      <c r="E80" s="36">
        <v>22129</v>
      </c>
      <c r="F80" s="37">
        <v>43382</v>
      </c>
      <c r="G80" s="38" t="s">
        <v>24</v>
      </c>
      <c r="H80" t="s">
        <v>18</v>
      </c>
      <c r="I80" s="3" t="s">
        <v>18</v>
      </c>
      <c r="K80" t="s">
        <v>165</v>
      </c>
      <c r="M80" t="s">
        <v>166</v>
      </c>
    </row>
    <row r="81" ht="15" customHeight="1">
      <c r="A81">
        <f t="shared" si="4"/>
        <v>80</v>
      </c>
      <c r="B81" s="2" t="s">
        <v>167</v>
      </c>
      <c r="C81" t="s">
        <v>23</v>
      </c>
      <c r="D81">
        <v>77</v>
      </c>
      <c r="E81" s="36">
        <v>16132</v>
      </c>
      <c r="F81" s="37">
        <v>44342</v>
      </c>
      <c r="G81" s="38" t="s">
        <v>24</v>
      </c>
      <c r="H81" t="s">
        <v>25</v>
      </c>
      <c r="I81" s="3" t="s">
        <v>25</v>
      </c>
    </row>
    <row r="82" ht="15" customHeight="1">
      <c r="A82">
        <f t="shared" si="4"/>
        <v>81</v>
      </c>
      <c r="B82" s="2" t="s">
        <v>168</v>
      </c>
      <c r="C82" t="s">
        <v>16</v>
      </c>
      <c r="D82">
        <v>59</v>
      </c>
      <c r="E82" s="36">
        <v>23071</v>
      </c>
      <c r="F82" s="37">
        <v>44656</v>
      </c>
      <c r="G82" s="38" t="s">
        <v>24</v>
      </c>
      <c r="H82" t="s">
        <v>25</v>
      </c>
      <c r="I82" s="3" t="s">
        <v>25</v>
      </c>
    </row>
    <row r="83" ht="15" customHeight="1">
      <c r="A83">
        <f t="shared" si="4"/>
        <v>82</v>
      </c>
      <c r="B83" s="2" t="s">
        <v>169</v>
      </c>
      <c r="C83" t="s">
        <v>16</v>
      </c>
      <c r="D83">
        <v>67</v>
      </c>
      <c r="E83" s="36">
        <v>18445</v>
      </c>
      <c r="F83" s="37">
        <v>43055</v>
      </c>
      <c r="G83" s="38" t="s">
        <v>60</v>
      </c>
      <c r="H83" t="s">
        <v>25</v>
      </c>
      <c r="I83" s="3" t="s">
        <v>25</v>
      </c>
    </row>
    <row r="84" ht="28.399999999999999" customHeight="1">
      <c r="A84">
        <f t="shared" si="4"/>
        <v>83</v>
      </c>
      <c r="B84" s="2" t="s">
        <v>170</v>
      </c>
      <c r="C84" t="s">
        <v>16</v>
      </c>
      <c r="D84">
        <v>59</v>
      </c>
      <c r="E84" s="35">
        <v>21641</v>
      </c>
      <c r="F84" s="49">
        <v>43573</v>
      </c>
      <c r="G84" s="44" t="s">
        <v>60</v>
      </c>
      <c r="H84" t="s">
        <v>18</v>
      </c>
      <c r="I84" s="3" t="s">
        <v>18</v>
      </c>
      <c r="K84" s="2" t="s">
        <v>171</v>
      </c>
    </row>
    <row r="85" ht="15" customHeight="1">
      <c r="A85">
        <f t="shared" si="4"/>
        <v>84</v>
      </c>
      <c r="B85" s="2" t="s">
        <v>172</v>
      </c>
      <c r="C85" t="s">
        <v>23</v>
      </c>
      <c r="D85">
        <v>66</v>
      </c>
      <c r="E85" s="36">
        <v>20210</v>
      </c>
      <c r="F85" s="37">
        <v>44516</v>
      </c>
      <c r="G85" s="38" t="s">
        <v>24</v>
      </c>
      <c r="H85" t="s">
        <v>25</v>
      </c>
      <c r="I85" s="3" t="s">
        <v>25</v>
      </c>
    </row>
    <row r="86" ht="15" customHeight="1">
      <c r="A86">
        <f t="shared" si="4"/>
        <v>85</v>
      </c>
      <c r="B86" s="2" t="s">
        <v>173</v>
      </c>
      <c r="C86" t="s">
        <v>16</v>
      </c>
      <c r="D86">
        <v>58</v>
      </c>
      <c r="E86" s="36">
        <v>21429</v>
      </c>
      <c r="F86" s="37">
        <v>42985</v>
      </c>
      <c r="G86" s="38" t="s">
        <v>60</v>
      </c>
      <c r="H86" t="s">
        <v>25</v>
      </c>
      <c r="I86" s="3" t="s">
        <v>25</v>
      </c>
    </row>
    <row r="87" ht="15" customHeight="1">
      <c r="A87">
        <f t="shared" si="4"/>
        <v>86</v>
      </c>
      <c r="B87" s="2" t="s">
        <v>174</v>
      </c>
      <c r="C87" t="s">
        <v>16</v>
      </c>
      <c r="D87">
        <v>81</v>
      </c>
      <c r="E87" s="51">
        <v>13058</v>
      </c>
      <c r="F87" s="40">
        <v>43033</v>
      </c>
      <c r="G87" s="38" t="s">
        <v>24</v>
      </c>
      <c r="H87" t="s">
        <v>25</v>
      </c>
      <c r="I87" s="3" t="s">
        <v>25</v>
      </c>
    </row>
    <row r="88" ht="15" customHeight="1">
      <c r="A88">
        <f t="shared" si="4"/>
        <v>87</v>
      </c>
      <c r="B88" s="2" t="s">
        <v>175</v>
      </c>
      <c r="C88" t="s">
        <v>16</v>
      </c>
      <c r="D88">
        <v>64</v>
      </c>
      <c r="E88" s="36">
        <v>18749</v>
      </c>
      <c r="F88" s="37">
        <v>42184</v>
      </c>
      <c r="G88" s="38" t="s">
        <v>24</v>
      </c>
      <c r="H88" t="s">
        <v>25</v>
      </c>
      <c r="I88" s="3" t="s">
        <v>25</v>
      </c>
    </row>
    <row r="89" ht="15" customHeight="1">
      <c r="A89">
        <f t="shared" si="4"/>
        <v>88</v>
      </c>
      <c r="B89" s="2" t="s">
        <v>176</v>
      </c>
      <c r="C89" t="s">
        <v>23</v>
      </c>
      <c r="D89">
        <v>70</v>
      </c>
      <c r="E89" s="36">
        <v>17746</v>
      </c>
      <c r="F89" s="37">
        <v>43636</v>
      </c>
      <c r="G89" s="38" t="s">
        <v>60</v>
      </c>
      <c r="H89" t="s">
        <v>18</v>
      </c>
      <c r="I89" s="3" t="s">
        <v>25</v>
      </c>
      <c r="J89" s="25"/>
    </row>
    <row r="90" ht="15" customHeight="1">
      <c r="A90">
        <f t="shared" si="4"/>
        <v>89</v>
      </c>
      <c r="B90" s="2" t="s">
        <v>177</v>
      </c>
      <c r="C90" t="s">
        <v>16</v>
      </c>
      <c r="D90">
        <v>70</v>
      </c>
      <c r="E90" s="36">
        <v>16193</v>
      </c>
      <c r="F90" s="37">
        <v>41991</v>
      </c>
      <c r="G90" s="38" t="s">
        <v>24</v>
      </c>
      <c r="H90" t="s">
        <v>18</v>
      </c>
      <c r="I90" s="3" t="s">
        <v>18</v>
      </c>
      <c r="J90" s="4" t="s">
        <v>178</v>
      </c>
      <c r="K90" t="s">
        <v>179</v>
      </c>
      <c r="M90" t="s">
        <v>66</v>
      </c>
    </row>
    <row r="91" ht="15" customHeight="1">
      <c r="A91">
        <f t="shared" si="4"/>
        <v>90</v>
      </c>
      <c r="B91" s="2" t="s">
        <v>180</v>
      </c>
      <c r="C91" t="s">
        <v>16</v>
      </c>
      <c r="D91">
        <v>50</v>
      </c>
      <c r="E91" s="36">
        <v>24563</v>
      </c>
      <c r="F91" s="37">
        <v>42865</v>
      </c>
      <c r="G91" s="38" t="s">
        <v>24</v>
      </c>
      <c r="H91" t="s">
        <v>18</v>
      </c>
      <c r="I91" s="3" t="s">
        <v>18</v>
      </c>
      <c r="K91" t="s">
        <v>181</v>
      </c>
      <c r="M91" t="s">
        <v>20</v>
      </c>
    </row>
    <row r="92" ht="15" customHeight="1">
      <c r="A92">
        <f t="shared" si="4"/>
        <v>91</v>
      </c>
      <c r="B92" s="2" t="s">
        <v>182</v>
      </c>
      <c r="C92" t="s">
        <v>23</v>
      </c>
      <c r="D92">
        <v>63</v>
      </c>
      <c r="E92" s="36">
        <v>18537</v>
      </c>
      <c r="F92" s="37">
        <v>41900</v>
      </c>
      <c r="G92" s="38" t="s">
        <v>24</v>
      </c>
      <c r="H92" t="s">
        <v>25</v>
      </c>
      <c r="I92" s="3" t="s">
        <v>25</v>
      </c>
    </row>
    <row r="93" ht="15" customHeight="1">
      <c r="A93">
        <f t="shared" si="4"/>
        <v>92</v>
      </c>
      <c r="B93" s="2" t="s">
        <v>183</v>
      </c>
      <c r="C93" t="s">
        <v>23</v>
      </c>
      <c r="D93">
        <v>56</v>
      </c>
      <c r="E93" s="36">
        <v>23986</v>
      </c>
      <c r="F93" s="37">
        <v>44510</v>
      </c>
      <c r="G93" s="38" t="s">
        <v>60</v>
      </c>
      <c r="H93" t="s">
        <v>25</v>
      </c>
      <c r="I93" s="3" t="s">
        <v>25</v>
      </c>
    </row>
    <row r="94" ht="15" customHeight="1">
      <c r="A94">
        <f t="shared" si="4"/>
        <v>93</v>
      </c>
      <c r="B94" s="2" t="s">
        <v>184</v>
      </c>
      <c r="C94" t="s">
        <v>23</v>
      </c>
      <c r="D94">
        <v>64</v>
      </c>
      <c r="E94" s="36">
        <v>19906</v>
      </c>
      <c r="F94" s="37">
        <v>43565</v>
      </c>
      <c r="G94" s="38" t="s">
        <v>24</v>
      </c>
      <c r="H94" t="s">
        <v>25</v>
      </c>
      <c r="I94" s="3" t="s">
        <v>25</v>
      </c>
    </row>
    <row r="95" ht="15" customHeight="1">
      <c r="A95">
        <f t="shared" si="4"/>
        <v>94</v>
      </c>
      <c r="B95" s="2" t="s">
        <v>185</v>
      </c>
      <c r="C95" t="s">
        <v>16</v>
      </c>
      <c r="D95">
        <v>64</v>
      </c>
      <c r="E95" s="36">
        <v>18933</v>
      </c>
      <c r="F95" s="37">
        <v>42473</v>
      </c>
      <c r="G95" s="38" t="s">
        <v>24</v>
      </c>
      <c r="H95" t="s">
        <v>25</v>
      </c>
      <c r="I95" s="3" t="s">
        <v>25</v>
      </c>
    </row>
    <row r="96" ht="15" customHeight="1">
      <c r="A96">
        <f t="shared" si="4"/>
        <v>95</v>
      </c>
      <c r="B96" s="2" t="s">
        <v>186</v>
      </c>
      <c r="C96" t="s">
        <v>23</v>
      </c>
      <c r="D96">
        <v>62</v>
      </c>
      <c r="E96" s="36">
        <v>19299</v>
      </c>
      <c r="F96" s="37">
        <v>42025</v>
      </c>
      <c r="G96" s="38" t="s">
        <v>24</v>
      </c>
      <c r="H96" t="s">
        <v>25</v>
      </c>
      <c r="I96" s="3" t="s">
        <v>25</v>
      </c>
    </row>
    <row r="97" ht="15" customHeight="1">
      <c r="A97">
        <f t="shared" si="4"/>
        <v>96</v>
      </c>
      <c r="B97" s="2" t="s">
        <v>187</v>
      </c>
      <c r="C97" t="s">
        <v>16</v>
      </c>
      <c r="D97">
        <v>74</v>
      </c>
      <c r="E97" s="36">
        <v>14885</v>
      </c>
      <c r="F97" s="37">
        <v>42269</v>
      </c>
      <c r="G97" s="38" t="s">
        <v>24</v>
      </c>
      <c r="H97" t="s">
        <v>25</v>
      </c>
      <c r="I97" s="3" t="s">
        <v>25</v>
      </c>
    </row>
    <row r="98" ht="15" customHeight="1">
      <c r="A98">
        <f t="shared" si="4"/>
        <v>97</v>
      </c>
      <c r="B98" s="2" t="s">
        <v>188</v>
      </c>
      <c r="C98" t="s">
        <v>16</v>
      </c>
      <c r="D98">
        <v>70</v>
      </c>
      <c r="E98" s="36">
        <v>17227</v>
      </c>
      <c r="F98" s="37">
        <v>43025</v>
      </c>
      <c r="G98" s="38" t="s">
        <v>24</v>
      </c>
      <c r="H98" t="s">
        <v>25</v>
      </c>
      <c r="I98" s="3" t="s">
        <v>25</v>
      </c>
    </row>
    <row r="99" ht="28.399999999999999" customHeight="1">
      <c r="A99">
        <f t="shared" si="4"/>
        <v>98</v>
      </c>
      <c r="B99" s="2" t="s">
        <v>189</v>
      </c>
      <c r="C99" t="s">
        <v>16</v>
      </c>
      <c r="D99">
        <v>66</v>
      </c>
      <c r="E99" s="36">
        <v>18902</v>
      </c>
      <c r="F99" s="37">
        <v>43166</v>
      </c>
      <c r="G99" s="38" t="s">
        <v>60</v>
      </c>
      <c r="H99" t="s">
        <v>18</v>
      </c>
      <c r="I99" s="3" t="s">
        <v>18</v>
      </c>
      <c r="J99" s="25">
        <v>0.00034722222222222218</v>
      </c>
      <c r="K99" s="2" t="s">
        <v>190</v>
      </c>
      <c r="M99" t="s">
        <v>20</v>
      </c>
    </row>
    <row r="100" ht="15" customHeight="1">
      <c r="A100">
        <f t="shared" si="4"/>
        <v>99</v>
      </c>
      <c r="B100" s="2" t="s">
        <v>191</v>
      </c>
      <c r="C100" t="s">
        <v>23</v>
      </c>
      <c r="D100">
        <v>62</v>
      </c>
      <c r="E100" s="36">
        <v>19268</v>
      </c>
      <c r="F100" s="37">
        <v>42157</v>
      </c>
      <c r="G100" s="38" t="s">
        <v>60</v>
      </c>
      <c r="H100" t="s">
        <v>18</v>
      </c>
      <c r="I100" s="3" t="s">
        <v>18</v>
      </c>
      <c r="J100" s="25">
        <v>0.022916666666666669</v>
      </c>
      <c r="K100" t="s">
        <v>192</v>
      </c>
      <c r="M100" t="s">
        <v>20</v>
      </c>
    </row>
    <row r="101" ht="15" customHeight="1">
      <c r="A101">
        <f t="shared" ref="A101:A102" si="5">A100+1</f>
        <v>100</v>
      </c>
      <c r="B101" s="2" t="s">
        <v>193</v>
      </c>
      <c r="C101" t="s">
        <v>23</v>
      </c>
      <c r="D101">
        <v>68</v>
      </c>
      <c r="E101" s="36">
        <v>17564</v>
      </c>
      <c r="F101" s="37">
        <v>42747</v>
      </c>
      <c r="G101" s="38" t="s">
        <v>60</v>
      </c>
      <c r="H101" t="s">
        <v>18</v>
      </c>
      <c r="I101" s="3" t="s">
        <v>25</v>
      </c>
      <c r="K101" t="s">
        <v>61</v>
      </c>
    </row>
    <row r="102" ht="15" customHeight="1">
      <c r="A102">
        <f t="shared" si="5"/>
        <v>101</v>
      </c>
      <c r="B102" s="2" t="s">
        <v>194</v>
      </c>
      <c r="C102" t="s">
        <v>16</v>
      </c>
      <c r="D102">
        <v>60</v>
      </c>
      <c r="E102" s="36">
        <v>22221</v>
      </c>
      <c r="F102" s="37">
        <v>44117</v>
      </c>
      <c r="G102" s="38" t="s">
        <v>24</v>
      </c>
      <c r="H102" t="s">
        <v>25</v>
      </c>
      <c r="I102" s="3" t="s">
        <v>25</v>
      </c>
    </row>
    <row r="103" s="52" customFormat="1" ht="14.25" customHeight="1">
      <c r="B103" s="53"/>
      <c r="I103" s="54"/>
      <c r="J103" s="55"/>
    </row>
    <row r="104" ht="176.15000000000001" customHeight="1">
      <c r="A104">
        <f>A114+1</f>
        <v>103</v>
      </c>
      <c r="B104" s="2" t="s">
        <v>195</v>
      </c>
      <c r="C104" t="s">
        <v>16</v>
      </c>
      <c r="D104">
        <v>37</v>
      </c>
      <c r="E104" s="9">
        <v>31199</v>
      </c>
      <c r="F104" s="10">
        <v>44966</v>
      </c>
      <c r="G104" s="44" t="s">
        <v>73</v>
      </c>
      <c r="H104" t="s">
        <v>18</v>
      </c>
      <c r="I104" s="3" t="s">
        <v>18</v>
      </c>
      <c r="J104" s="56" t="s">
        <v>196</v>
      </c>
      <c r="K104" s="2" t="s">
        <v>197</v>
      </c>
    </row>
    <row r="105" ht="15" customHeight="1">
      <c r="A105">
        <v>104</v>
      </c>
      <c r="B105" s="2" t="s">
        <v>198</v>
      </c>
      <c r="C105" t="s">
        <v>23</v>
      </c>
      <c r="D105">
        <f>2023-1970</f>
        <v>53</v>
      </c>
      <c r="E105" s="9">
        <v>25903</v>
      </c>
      <c r="F105" s="10">
        <v>44946</v>
      </c>
      <c r="G105" s="38" t="s">
        <v>17</v>
      </c>
      <c r="H105" t="s">
        <v>18</v>
      </c>
      <c r="I105" s="3" t="s">
        <v>25</v>
      </c>
      <c r="K105" t="s">
        <v>199</v>
      </c>
    </row>
    <row r="106" ht="14.25" customHeight="1">
      <c r="A106">
        <v>105</v>
      </c>
      <c r="B106" s="2" t="s">
        <v>200</v>
      </c>
      <c r="C106" t="s">
        <v>16</v>
      </c>
      <c r="D106">
        <v>63</v>
      </c>
      <c r="E106" s="9">
        <v>21641</v>
      </c>
      <c r="F106" s="10">
        <v>44841</v>
      </c>
      <c r="G106" t="s">
        <v>201</v>
      </c>
      <c r="H106" t="s">
        <v>18</v>
      </c>
      <c r="I106" s="21" t="s">
        <v>18</v>
      </c>
    </row>
    <row r="107" s="52" customFormat="1" ht="28.399999999999999" customHeight="1">
      <c r="A107" s="52">
        <f t="shared" ref="A107:A109" si="6">A106+1</f>
        <v>106</v>
      </c>
      <c r="B107" s="57" t="s">
        <v>202</v>
      </c>
      <c r="C107" s="52" t="s">
        <v>16</v>
      </c>
      <c r="E107" s="58">
        <v>16377</v>
      </c>
      <c r="F107" s="59" t="s">
        <v>203</v>
      </c>
      <c r="G107" s="52" t="s">
        <v>201</v>
      </c>
      <c r="H107" s="53" t="s">
        <v>204</v>
      </c>
      <c r="I107" s="53" t="s">
        <v>204</v>
      </c>
      <c r="J107" s="55"/>
    </row>
    <row r="108" ht="14.25" customHeight="1">
      <c r="A108">
        <f t="shared" si="6"/>
        <v>107</v>
      </c>
      <c r="B108" s="20" t="s">
        <v>205</v>
      </c>
      <c r="C108" t="s">
        <v>16</v>
      </c>
      <c r="H108" t="s">
        <v>25</v>
      </c>
      <c r="I108" s="21" t="s">
        <v>25</v>
      </c>
      <c r="N108" s="60"/>
    </row>
    <row r="109" ht="14.25" customHeight="1">
      <c r="A109">
        <f t="shared" si="6"/>
        <v>108</v>
      </c>
      <c r="B109" s="21" t="s">
        <v>206</v>
      </c>
      <c r="C109" t="s">
        <v>16</v>
      </c>
      <c r="D109">
        <v>70</v>
      </c>
      <c r="E109" s="9">
        <v>18660</v>
      </c>
      <c r="F109" s="10">
        <v>44434</v>
      </c>
      <c r="G109" s="50" t="s">
        <v>207</v>
      </c>
      <c r="H109" t="s">
        <v>18</v>
      </c>
      <c r="I109" s="3" t="s">
        <v>18</v>
      </c>
      <c r="N109" s="60"/>
    </row>
    <row r="110" ht="14.25" customHeight="1">
      <c r="A110">
        <v>109</v>
      </c>
      <c r="B110" s="2" t="s">
        <v>208</v>
      </c>
      <c r="C110" t="s">
        <v>16</v>
      </c>
      <c r="D110">
        <v>78</v>
      </c>
      <c r="E110" s="9">
        <v>16285</v>
      </c>
      <c r="F110" s="10">
        <v>45021</v>
      </c>
      <c r="G110" t="s">
        <v>17</v>
      </c>
      <c r="H110" t="s">
        <v>18</v>
      </c>
      <c r="I110" s="3" t="s">
        <v>18</v>
      </c>
    </row>
    <row r="111" ht="14.25" customHeight="1">
      <c r="A111">
        <v>110</v>
      </c>
      <c r="B111" s="2" t="s">
        <v>209</v>
      </c>
      <c r="C111" t="s">
        <v>16</v>
      </c>
      <c r="D111">
        <v>82</v>
      </c>
      <c r="E111" s="9">
        <v>15250</v>
      </c>
      <c r="F111" s="10">
        <v>45029</v>
      </c>
      <c r="G111" t="s">
        <v>17</v>
      </c>
      <c r="H111" t="s">
        <v>18</v>
      </c>
      <c r="I111" s="3" t="s">
        <v>210</v>
      </c>
    </row>
    <row r="112" ht="14.25" customHeight="1">
      <c r="A112">
        <v>111</v>
      </c>
      <c r="B112" s="2" t="s">
        <v>211</v>
      </c>
      <c r="C112" t="s">
        <v>16</v>
      </c>
      <c r="D112">
        <v>48</v>
      </c>
      <c r="E112" s="9">
        <v>26359</v>
      </c>
      <c r="F112" s="10">
        <v>44099</v>
      </c>
      <c r="G112" t="s">
        <v>17</v>
      </c>
      <c r="H112" t="s">
        <v>18</v>
      </c>
      <c r="I112" s="3" t="s">
        <v>210</v>
      </c>
    </row>
    <row r="113" ht="14.25" customHeight="1">
      <c r="A113">
        <v>112</v>
      </c>
      <c r="B113" s="2" t="s">
        <v>212</v>
      </c>
      <c r="C113" t="s">
        <v>16</v>
      </c>
      <c r="D113">
        <v>60</v>
      </c>
      <c r="E113" s="9">
        <v>23043</v>
      </c>
      <c r="F113" s="10">
        <v>45092</v>
      </c>
      <c r="G113" t="s">
        <v>17</v>
      </c>
      <c r="K113" t="s">
        <v>126</v>
      </c>
    </row>
    <row r="114" s="57" customFormat="1" ht="41.75" customHeight="1">
      <c r="A114" s="57">
        <f>A102+1</f>
        <v>102</v>
      </c>
      <c r="B114" s="57" t="s">
        <v>213</v>
      </c>
      <c r="C114" s="57" t="s">
        <v>16</v>
      </c>
      <c r="D114" s="57">
        <v>54</v>
      </c>
      <c r="E114" s="61">
        <v>24838</v>
      </c>
      <c r="F114" s="62" t="s">
        <v>214</v>
      </c>
      <c r="G114" s="63" t="s">
        <v>17</v>
      </c>
      <c r="H114" s="64" t="s">
        <v>215</v>
      </c>
      <c r="I114" s="64" t="s">
        <v>215</v>
      </c>
      <c r="J114" s="65"/>
    </row>
    <row r="115" s="66" customFormat="1" ht="14.25" customHeight="1">
      <c r="A115" s="66">
        <v>113</v>
      </c>
      <c r="B115" s="67" t="s">
        <v>216</v>
      </c>
      <c r="C115" s="66" t="s">
        <v>16</v>
      </c>
      <c r="I115" s="68"/>
      <c r="J115" s="69"/>
    </row>
    <row r="116" ht="14.25" customHeight="1">
      <c r="A116">
        <v>114</v>
      </c>
      <c r="B116" s="2" t="s">
        <v>217</v>
      </c>
      <c r="C116" t="s">
        <v>23</v>
      </c>
      <c r="D116">
        <v>59</v>
      </c>
      <c r="E116" s="9">
        <v>23408</v>
      </c>
      <c r="F116" s="10">
        <v>45042</v>
      </c>
      <c r="G116" t="s">
        <v>218</v>
      </c>
      <c r="H116" t="s">
        <v>18</v>
      </c>
      <c r="I116" s="3" t="s">
        <v>18</v>
      </c>
    </row>
    <row r="117" ht="14.25" customHeight="1">
      <c r="A117">
        <f t="shared" ref="A117:A147" si="7">A116+1</f>
        <v>115</v>
      </c>
      <c r="B117" s="2" t="s">
        <v>219</v>
      </c>
      <c r="C117" t="s">
        <v>23</v>
      </c>
      <c r="D117">
        <v>68</v>
      </c>
      <c r="E117" s="9">
        <v>19845</v>
      </c>
      <c r="F117" s="10">
        <v>45043</v>
      </c>
      <c r="G117" t="s">
        <v>17</v>
      </c>
      <c r="H117" t="s">
        <v>18</v>
      </c>
      <c r="I117" s="3" t="s">
        <v>18</v>
      </c>
      <c r="J117" s="4" t="s">
        <v>220</v>
      </c>
    </row>
    <row r="118" ht="14.25" customHeight="1">
      <c r="A118">
        <f t="shared" si="7"/>
        <v>116</v>
      </c>
      <c r="B118" s="2" t="s">
        <v>221</v>
      </c>
      <c r="C118" t="s">
        <v>16</v>
      </c>
      <c r="D118">
        <v>72</v>
      </c>
      <c r="E118" s="9">
        <v>18568</v>
      </c>
      <c r="F118" s="10">
        <v>45061</v>
      </c>
      <c r="G118" t="s">
        <v>17</v>
      </c>
      <c r="H118" t="s">
        <v>18</v>
      </c>
      <c r="I118" s="3" t="s">
        <v>18</v>
      </c>
    </row>
    <row r="119" ht="14.25" customHeight="1">
      <c r="A119">
        <f t="shared" si="7"/>
        <v>117</v>
      </c>
      <c r="B119" s="2" t="s">
        <v>222</v>
      </c>
      <c r="C119" t="s">
        <v>23</v>
      </c>
      <c r="D119">
        <v>14</v>
      </c>
      <c r="E119" s="9">
        <v>39692</v>
      </c>
      <c r="F119" s="10">
        <v>45079</v>
      </c>
      <c r="G119" t="s">
        <v>17</v>
      </c>
      <c r="H119" t="s">
        <v>18</v>
      </c>
      <c r="I119" s="3" t="s">
        <v>18</v>
      </c>
    </row>
    <row r="120" ht="14.25" customHeight="1">
      <c r="A120">
        <f t="shared" si="7"/>
        <v>118</v>
      </c>
      <c r="B120" s="2" t="s">
        <v>223</v>
      </c>
      <c r="C120" t="s">
        <v>23</v>
      </c>
      <c r="D120">
        <v>77</v>
      </c>
      <c r="E120" s="9">
        <v>16650</v>
      </c>
      <c r="F120" s="10">
        <v>45126</v>
      </c>
      <c r="G120" t="s">
        <v>17</v>
      </c>
      <c r="H120" t="s">
        <v>18</v>
      </c>
      <c r="I120" s="3" t="s">
        <v>18</v>
      </c>
    </row>
    <row r="121" ht="14.25" customHeight="1">
      <c r="A121">
        <f t="shared" si="7"/>
        <v>119</v>
      </c>
      <c r="B121" s="2" t="s">
        <v>224</v>
      </c>
      <c r="C121" t="s">
        <v>16</v>
      </c>
      <c r="D121">
        <v>51</v>
      </c>
      <c r="E121" s="9">
        <v>26481</v>
      </c>
      <c r="F121" s="10">
        <v>45163</v>
      </c>
      <c r="G121" t="s">
        <v>17</v>
      </c>
      <c r="H121" t="s">
        <v>18</v>
      </c>
      <c r="I121" s="3" t="s">
        <v>18</v>
      </c>
    </row>
    <row r="122" ht="41.75" customHeight="1">
      <c r="A122">
        <v>120</v>
      </c>
      <c r="B122" s="2" t="s">
        <v>225</v>
      </c>
      <c r="C122" t="s">
        <v>23</v>
      </c>
      <c r="D122">
        <v>69</v>
      </c>
      <c r="E122" s="9">
        <v>19694</v>
      </c>
      <c r="F122" s="10">
        <v>45036</v>
      </c>
      <c r="G122" s="2" t="s">
        <v>226</v>
      </c>
      <c r="H122" t="s">
        <v>25</v>
      </c>
      <c r="I122" s="3" t="s">
        <v>25</v>
      </c>
    </row>
    <row r="123" ht="14.25" customHeight="1">
      <c r="A123">
        <f t="shared" si="7"/>
        <v>121</v>
      </c>
      <c r="B123" s="2" t="s">
        <v>227</v>
      </c>
      <c r="C123" t="s">
        <v>23</v>
      </c>
      <c r="D123">
        <v>75</v>
      </c>
      <c r="E123" s="9">
        <v>17533</v>
      </c>
      <c r="F123" s="10">
        <v>45099</v>
      </c>
      <c r="G123" t="s">
        <v>228</v>
      </c>
      <c r="H123" t="s">
        <v>25</v>
      </c>
      <c r="I123" s="3" t="s">
        <v>25</v>
      </c>
    </row>
    <row r="124" ht="14.25" customHeight="1">
      <c r="A124">
        <f t="shared" si="7"/>
        <v>122</v>
      </c>
      <c r="B124" t="s">
        <v>229</v>
      </c>
      <c r="C124" t="s">
        <v>23</v>
      </c>
      <c r="D124">
        <v>79</v>
      </c>
      <c r="E124" s="9">
        <v>16316</v>
      </c>
      <c r="F124" s="10">
        <v>45112</v>
      </c>
      <c r="G124" t="s">
        <v>17</v>
      </c>
      <c r="H124" t="s">
        <v>25</v>
      </c>
      <c r="I124" s="3" t="s">
        <v>25</v>
      </c>
    </row>
    <row r="125" ht="14.25" customHeight="1">
      <c r="A125">
        <f t="shared" si="7"/>
        <v>123</v>
      </c>
      <c r="B125" t="s">
        <v>230</v>
      </c>
      <c r="C125" t="s">
        <v>23</v>
      </c>
      <c r="D125">
        <v>65</v>
      </c>
      <c r="E125" s="9">
        <v>20546</v>
      </c>
      <c r="F125" s="10">
        <v>44322</v>
      </c>
      <c r="G125" t="s">
        <v>17</v>
      </c>
      <c r="H125" t="s">
        <v>25</v>
      </c>
      <c r="I125" s="3" t="s">
        <v>25</v>
      </c>
    </row>
    <row r="126" ht="14.25" customHeight="1">
      <c r="A126">
        <f t="shared" si="7"/>
        <v>124</v>
      </c>
      <c r="B126" t="s">
        <v>231</v>
      </c>
      <c r="C126" t="s">
        <v>16</v>
      </c>
      <c r="D126">
        <v>59</v>
      </c>
      <c r="E126" s="9">
        <v>23346</v>
      </c>
      <c r="F126" s="10">
        <v>44704</v>
      </c>
      <c r="G126" t="s">
        <v>17</v>
      </c>
      <c r="H126" t="s">
        <v>25</v>
      </c>
      <c r="I126" s="3" t="s">
        <v>25</v>
      </c>
    </row>
    <row r="127" ht="14.25" customHeight="1">
      <c r="A127">
        <f t="shared" si="7"/>
        <v>125</v>
      </c>
      <c r="B127" s="2" t="s">
        <v>232</v>
      </c>
      <c r="C127" t="s">
        <v>23</v>
      </c>
      <c r="D127">
        <v>20</v>
      </c>
      <c r="E127" s="9">
        <v>37926</v>
      </c>
      <c r="F127" s="10">
        <v>45237</v>
      </c>
      <c r="G127" t="s">
        <v>73</v>
      </c>
    </row>
    <row r="128" ht="14.25" customHeight="1">
      <c r="A128">
        <f t="shared" si="7"/>
        <v>126</v>
      </c>
      <c r="B128" s="2" t="s">
        <v>233</v>
      </c>
      <c r="C128" t="s">
        <v>16</v>
      </c>
      <c r="D128">
        <v>52</v>
      </c>
      <c r="E128" s="9">
        <v>26238</v>
      </c>
      <c r="F128" s="10">
        <v>45024</v>
      </c>
      <c r="G128" t="s">
        <v>17</v>
      </c>
    </row>
    <row r="129" ht="14.25" customHeight="1">
      <c r="A129">
        <f t="shared" si="7"/>
        <v>127</v>
      </c>
      <c r="B129" s="2" t="s">
        <v>234</v>
      </c>
      <c r="C129" t="s">
        <v>16</v>
      </c>
      <c r="D129">
        <v>72</v>
      </c>
      <c r="E129" s="9">
        <v>18537</v>
      </c>
      <c r="F129" s="10">
        <v>44671</v>
      </c>
      <c r="G129" t="s">
        <v>235</v>
      </c>
    </row>
    <row r="130" ht="14.25" customHeight="1">
      <c r="A130">
        <f t="shared" si="7"/>
        <v>128</v>
      </c>
      <c r="B130" s="21" t="s">
        <v>236</v>
      </c>
      <c r="C130" t="s">
        <v>23</v>
      </c>
      <c r="D130">
        <f>2023-1942</f>
        <v>81</v>
      </c>
      <c r="E130" s="9">
        <v>15554</v>
      </c>
      <c r="F130" s="70">
        <v>45162</v>
      </c>
      <c r="G130" s="21" t="s">
        <v>237</v>
      </c>
    </row>
    <row r="131" ht="14.25" customHeight="1">
      <c r="A131">
        <f t="shared" si="7"/>
        <v>129</v>
      </c>
      <c r="B131" s="21" t="s">
        <v>238</v>
      </c>
      <c r="C131" t="s">
        <v>23</v>
      </c>
      <c r="D131">
        <f>2023-2011</f>
        <v>12</v>
      </c>
      <c r="E131" s="9">
        <v>40878</v>
      </c>
      <c r="F131" s="10">
        <v>45252</v>
      </c>
      <c r="G131" s="21" t="s">
        <v>73</v>
      </c>
    </row>
    <row r="132" ht="14.25" customHeight="1">
      <c r="A132">
        <f t="shared" si="7"/>
        <v>130</v>
      </c>
      <c r="B132" s="21" t="s">
        <v>239</v>
      </c>
      <c r="C132" t="s">
        <v>16</v>
      </c>
      <c r="D132">
        <f>2023-1961</f>
        <v>62</v>
      </c>
      <c r="E132" s="9">
        <v>22282</v>
      </c>
      <c r="F132" s="10">
        <v>45258</v>
      </c>
      <c r="G132" t="s">
        <v>17</v>
      </c>
    </row>
    <row r="133" ht="14.25" customHeight="1">
      <c r="A133">
        <f t="shared" si="7"/>
        <v>131</v>
      </c>
      <c r="B133" s="21" t="s">
        <v>240</v>
      </c>
      <c r="C133" t="s">
        <v>16</v>
      </c>
      <c r="D133">
        <f>2023-1982</f>
        <v>41</v>
      </c>
      <c r="E133" s="9">
        <v>30042</v>
      </c>
      <c r="F133" s="70">
        <v>45261</v>
      </c>
      <c r="G133" s="21" t="s">
        <v>241</v>
      </c>
      <c r="H133" t="s">
        <v>18</v>
      </c>
      <c r="I133" s="3" t="s">
        <v>242</v>
      </c>
    </row>
    <row r="134" ht="14.25" customHeight="1">
      <c r="A134">
        <f t="shared" si="7"/>
        <v>132</v>
      </c>
      <c r="B134" s="21" t="s">
        <v>243</v>
      </c>
      <c r="C134" t="s">
        <v>23</v>
      </c>
      <c r="D134">
        <f>2023-1959</f>
        <v>64</v>
      </c>
      <c r="E134" s="9">
        <v>21885</v>
      </c>
      <c r="F134" s="10">
        <v>45197</v>
      </c>
      <c r="G134" s="21" t="s">
        <v>244</v>
      </c>
    </row>
    <row r="135" ht="14.25" customHeight="1">
      <c r="A135">
        <f t="shared" si="7"/>
        <v>133</v>
      </c>
      <c r="B135" s="21" t="s">
        <v>245</v>
      </c>
      <c r="C135" t="s">
        <v>16</v>
      </c>
      <c r="D135">
        <f>2023-1967</f>
        <v>56</v>
      </c>
      <c r="E135" s="9">
        <v>24654</v>
      </c>
      <c r="F135" s="10">
        <v>45269</v>
      </c>
      <c r="G135" s="21" t="s">
        <v>17</v>
      </c>
    </row>
    <row r="136" ht="14.25" customHeight="1">
      <c r="A136">
        <f t="shared" si="7"/>
        <v>134</v>
      </c>
      <c r="B136" s="21" t="s">
        <v>246</v>
      </c>
      <c r="C136" t="s">
        <v>16</v>
      </c>
      <c r="D136">
        <f t="shared" ref="D136:D137" si="8">2023-1941</f>
        <v>82</v>
      </c>
      <c r="E136" s="35">
        <v>15036</v>
      </c>
      <c r="F136" s="13">
        <v>45197</v>
      </c>
      <c r="G136" s="71" t="s">
        <v>17</v>
      </c>
    </row>
    <row r="137" ht="14.25" customHeight="1">
      <c r="A137">
        <f t="shared" si="7"/>
        <v>135</v>
      </c>
      <c r="B137" s="21" t="s">
        <v>247</v>
      </c>
      <c r="C137" t="s">
        <v>16</v>
      </c>
      <c r="D137">
        <f t="shared" si="8"/>
        <v>82</v>
      </c>
      <c r="E137" s="35">
        <v>15036</v>
      </c>
      <c r="F137" s="13">
        <v>45203</v>
      </c>
      <c r="G137" s="71" t="s">
        <v>248</v>
      </c>
      <c r="I137" s="20" t="s">
        <v>249</v>
      </c>
    </row>
    <row r="138" ht="14.25" customHeight="1">
      <c r="A138">
        <f t="shared" si="7"/>
        <v>136</v>
      </c>
      <c r="B138" s="21" t="s">
        <v>250</v>
      </c>
      <c r="C138" t="s">
        <v>23</v>
      </c>
      <c r="D138">
        <v>60</v>
      </c>
      <c r="E138" s="35">
        <v>23071</v>
      </c>
      <c r="F138" s="13">
        <v>43052</v>
      </c>
      <c r="G138" s="71" t="s">
        <v>17</v>
      </c>
      <c r="I138" s="3" t="s">
        <v>251</v>
      </c>
    </row>
    <row r="139" ht="14.25" customHeight="1">
      <c r="A139">
        <f t="shared" si="7"/>
        <v>137</v>
      </c>
      <c r="B139" s="21" t="s">
        <v>252</v>
      </c>
      <c r="C139" t="s">
        <v>23</v>
      </c>
      <c r="D139">
        <f>2023-1984</f>
        <v>39</v>
      </c>
      <c r="E139" s="35">
        <v>30742</v>
      </c>
      <c r="F139" s="13">
        <v>45245</v>
      </c>
      <c r="G139" s="71" t="s">
        <v>17</v>
      </c>
    </row>
    <row r="140" ht="14.25" customHeight="1">
      <c r="A140">
        <f t="shared" si="7"/>
        <v>138</v>
      </c>
      <c r="B140" s="21" t="s">
        <v>253</v>
      </c>
      <c r="C140" t="s">
        <v>16</v>
      </c>
      <c r="D140">
        <v>65</v>
      </c>
      <c r="E140" s="9">
        <v>21398</v>
      </c>
      <c r="F140" s="10">
        <v>45223</v>
      </c>
      <c r="G140" s="21" t="s">
        <v>17</v>
      </c>
      <c r="I140" s="3" t="s">
        <v>254</v>
      </c>
    </row>
    <row r="141" ht="14.25" customHeight="1">
      <c r="A141">
        <f t="shared" si="7"/>
        <v>139</v>
      </c>
      <c r="B141" s="21" t="s">
        <v>255</v>
      </c>
      <c r="C141" t="s">
        <v>16</v>
      </c>
      <c r="D141">
        <f>2023-1956</f>
        <v>67</v>
      </c>
      <c r="E141" s="9">
        <v>20699</v>
      </c>
      <c r="F141" s="10">
        <v>45301</v>
      </c>
      <c r="G141" s="21" t="s">
        <v>218</v>
      </c>
      <c r="I141" s="3" t="s">
        <v>256</v>
      </c>
    </row>
    <row r="142" ht="14.25" customHeight="1">
      <c r="A142">
        <f t="shared" si="7"/>
        <v>140</v>
      </c>
      <c r="B142" s="21" t="s">
        <v>257</v>
      </c>
      <c r="C142" t="s">
        <v>16</v>
      </c>
      <c r="D142">
        <v>58</v>
      </c>
      <c r="E142" s="9">
        <v>24016</v>
      </c>
      <c r="F142" s="10">
        <v>45224</v>
      </c>
      <c r="G142" s="21" t="s">
        <v>17</v>
      </c>
    </row>
    <row r="143" ht="14.25" customHeight="1">
      <c r="A143">
        <f t="shared" si="7"/>
        <v>141</v>
      </c>
      <c r="B143" s="21" t="s">
        <v>258</v>
      </c>
      <c r="C143" t="s">
        <v>16</v>
      </c>
      <c r="D143">
        <v>69</v>
      </c>
      <c r="E143" s="9">
        <v>19815</v>
      </c>
      <c r="F143" s="10">
        <v>45316</v>
      </c>
      <c r="G143" s="21" t="s">
        <v>17</v>
      </c>
    </row>
    <row r="144" ht="14.25" customHeight="1">
      <c r="A144">
        <f t="shared" si="7"/>
        <v>142</v>
      </c>
      <c r="B144" s="21" t="s">
        <v>259</v>
      </c>
      <c r="C144" t="s">
        <v>16</v>
      </c>
      <c r="D144">
        <v>71</v>
      </c>
      <c r="E144" s="35">
        <v>18963</v>
      </c>
      <c r="G144" s="21" t="s">
        <v>260</v>
      </c>
    </row>
    <row r="145" ht="14.25" customHeight="1">
      <c r="A145">
        <f t="shared" si="7"/>
        <v>143</v>
      </c>
      <c r="B145" s="21" t="s">
        <v>261</v>
      </c>
      <c r="C145" t="s">
        <v>16</v>
      </c>
      <c r="D145">
        <v>55</v>
      </c>
      <c r="E145" s="35">
        <v>24990</v>
      </c>
      <c r="G145" s="21" t="s">
        <v>17</v>
      </c>
    </row>
    <row r="146" ht="14.25" customHeight="1">
      <c r="A146">
        <f t="shared" si="7"/>
        <v>144</v>
      </c>
      <c r="B146" s="21" t="s">
        <v>262</v>
      </c>
      <c r="C146" t="s">
        <v>16</v>
      </c>
      <c r="D146">
        <v>63</v>
      </c>
      <c r="E146" s="35">
        <v>22160</v>
      </c>
      <c r="G146" s="21" t="s">
        <v>17</v>
      </c>
    </row>
    <row r="147" ht="14.25" customHeight="1">
      <c r="A147">
        <f t="shared" si="7"/>
        <v>145</v>
      </c>
      <c r="B147" s="21" t="s">
        <v>263</v>
      </c>
      <c r="C147" t="s">
        <v>16</v>
      </c>
      <c r="G147" s="21" t="s">
        <v>17</v>
      </c>
    </row>
    <row r="158" ht="14.25" customHeight="1">
      <c r="B158" s="39"/>
    </row>
  </sheetData>
  <printOptions headings="0" gridLines="0"/>
  <pageMargins left="0.69999999999999996" right="0.69999999999999996" top="0.75" bottom="0.75" header="0.51181102362204689" footer="0.51181102362204689"/>
  <pageSetup paperSize="9" scale="100" fitToWidth="1" fitToHeight="1" pageOrder="downThenOver" orientation="portrait" usePrinterDefaults="1" blackAndWhite="0" draft="0" cellComments="none" useFirstPageNumber="0" errors="displayed" horizontalDpi="300" verticalDpi="300" copies="1"/>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topLeftCell="I1" zoomScale="75" workbookViewId="0">
      <pane ySplit="1" topLeftCell="A2" activePane="bottomLeft" state="frozen"/>
      <selection activeCell="I1" activeCellId="0" sqref="I1"/>
    </sheetView>
  </sheetViews>
  <sheetFormatPr baseColWidth="10" defaultColWidth="11.453125" defaultRowHeight="14.5"/>
  <cols>
    <col customWidth="1" min="1" max="1" style="1" width="18.90625"/>
    <col customWidth="1" min="2" max="2" style="1" width="17.36328125"/>
    <col customWidth="1" min="3" max="3" style="1" width="10.08984375"/>
    <col customWidth="1" min="4" max="4" style="1" width="29.6328125"/>
    <col customWidth="1" min="5" max="5" style="4" width="16.90625"/>
    <col customWidth="1" min="6" max="6" style="4" width="16.6328125"/>
    <col customWidth="1" min="7" max="7" style="71" width="19.6328125"/>
    <col customWidth="1" min="8" max="8" style="1" width="28"/>
    <col customWidth="1" min="9" max="9" style="1" width="42.08984375"/>
    <col customWidth="1" min="10" max="10" style="1" width="39.36328125"/>
    <col customWidth="1" min="11" max="11" style="1" width="21.453125"/>
    <col customWidth="1" min="12" max="12" style="1" width="23.90625"/>
    <col customWidth="1" min="13" max="13" style="1" width="22.90625"/>
    <col customWidth="1" min="14" max="14" style="1" width="11.36328125"/>
  </cols>
  <sheetData>
    <row r="1" s="5" customFormat="1" ht="95.5" customHeight="1">
      <c r="A1" s="5" t="s">
        <v>264</v>
      </c>
      <c r="B1" s="6" t="s">
        <v>1</v>
      </c>
      <c r="C1" s="5" t="s">
        <v>2</v>
      </c>
      <c r="D1" s="5" t="s">
        <v>3</v>
      </c>
      <c r="E1" s="8" t="s">
        <v>4</v>
      </c>
      <c r="F1" s="8" t="s">
        <v>5</v>
      </c>
      <c r="G1" s="72" t="s">
        <v>6</v>
      </c>
      <c r="H1" s="5" t="s">
        <v>265</v>
      </c>
      <c r="I1" s="5" t="s">
        <v>266</v>
      </c>
      <c r="J1" s="5" t="s">
        <v>267</v>
      </c>
      <c r="K1" s="5" t="s">
        <v>12</v>
      </c>
      <c r="L1" s="5" t="s">
        <v>13</v>
      </c>
      <c r="M1" s="5" t="s">
        <v>268</v>
      </c>
    </row>
    <row r="2" ht="109" customHeight="1">
      <c r="A2" t="s">
        <v>269</v>
      </c>
      <c r="B2" t="s">
        <v>15</v>
      </c>
      <c r="C2" t="s">
        <v>16</v>
      </c>
      <c r="D2">
        <f>2020-1954</f>
        <v>66</v>
      </c>
      <c r="E2" s="35">
        <v>19725</v>
      </c>
      <c r="F2" s="13">
        <v>44061</v>
      </c>
      <c r="G2" s="73" t="s">
        <v>17</v>
      </c>
      <c r="H2" s="4"/>
      <c r="I2" s="2" t="s">
        <v>270</v>
      </c>
      <c r="J2" s="74" t="s">
        <v>271</v>
      </c>
      <c r="K2" t="s">
        <v>20</v>
      </c>
      <c r="L2" s="10"/>
      <c r="M2" t="s">
        <v>272</v>
      </c>
      <c r="N2" s="2"/>
      <c r="O2" s="11"/>
    </row>
    <row r="3" ht="122.40000000000001" customHeight="1">
      <c r="A3" t="s">
        <v>269</v>
      </c>
      <c r="B3" t="s">
        <v>29</v>
      </c>
      <c r="C3" t="s">
        <v>16</v>
      </c>
      <c r="D3">
        <f>2021-1949</f>
        <v>72</v>
      </c>
      <c r="E3" s="35">
        <v>17899</v>
      </c>
      <c r="F3" s="13">
        <v>44319</v>
      </c>
      <c r="G3" s="73" t="s">
        <v>17</v>
      </c>
      <c r="H3" s="4"/>
      <c r="I3" s="2" t="s">
        <v>273</v>
      </c>
      <c r="J3" s="74" t="s">
        <v>274</v>
      </c>
      <c r="K3" t="s">
        <v>166</v>
      </c>
      <c r="M3" t="s">
        <v>275</v>
      </c>
      <c r="O3" s="12"/>
    </row>
    <row r="4" ht="28.399999999999999" customHeight="1">
      <c r="A4" t="s">
        <v>269</v>
      </c>
      <c r="B4" t="s">
        <v>30</v>
      </c>
      <c r="C4" t="s">
        <v>16</v>
      </c>
      <c r="D4">
        <f>2021-1952</f>
        <v>69</v>
      </c>
      <c r="E4" s="35">
        <v>19299</v>
      </c>
      <c r="F4" s="4" t="s">
        <v>31</v>
      </c>
      <c r="G4" s="73" t="s">
        <v>276</v>
      </c>
      <c r="H4" s="4"/>
      <c r="I4" s="2" t="s">
        <v>277</v>
      </c>
      <c r="J4" s="75" t="s">
        <v>278</v>
      </c>
      <c r="K4" t="s">
        <v>279</v>
      </c>
      <c r="M4" t="s">
        <v>280</v>
      </c>
      <c r="O4" s="12"/>
    </row>
    <row r="5" ht="76.5" customHeight="1">
      <c r="A5" t="s">
        <v>269</v>
      </c>
      <c r="B5" t="s">
        <v>35</v>
      </c>
      <c r="C5" t="s">
        <v>23</v>
      </c>
      <c r="D5">
        <f>2021-1940</f>
        <v>81</v>
      </c>
      <c r="E5" s="35">
        <v>14855</v>
      </c>
      <c r="F5" s="13">
        <v>44344</v>
      </c>
      <c r="G5" s="73" t="s">
        <v>276</v>
      </c>
      <c r="H5" s="4"/>
      <c r="I5" s="2" t="s">
        <v>281</v>
      </c>
      <c r="J5" s="75" t="s">
        <v>282</v>
      </c>
      <c r="K5" t="s">
        <v>166</v>
      </c>
      <c r="O5" s="12"/>
    </row>
    <row r="6" ht="55.25" customHeight="1">
      <c r="A6" t="s">
        <v>269</v>
      </c>
      <c r="B6" t="s">
        <v>45</v>
      </c>
      <c r="C6" t="s">
        <v>16</v>
      </c>
      <c r="D6" s="21">
        <v>60</v>
      </c>
      <c r="E6" s="35">
        <v>22372</v>
      </c>
      <c r="F6" s="13">
        <v>44397</v>
      </c>
      <c r="G6" s="76" t="s">
        <v>46</v>
      </c>
      <c r="H6" s="23" t="s">
        <v>126</v>
      </c>
      <c r="I6" s="2" t="s">
        <v>283</v>
      </c>
      <c r="J6" s="77" t="s">
        <v>284</v>
      </c>
      <c r="L6" t="s">
        <v>49</v>
      </c>
    </row>
    <row r="7" ht="109" customHeight="1">
      <c r="A7" t="s">
        <v>269</v>
      </c>
      <c r="B7" t="s">
        <v>52</v>
      </c>
      <c r="C7" t="s">
        <v>16</v>
      </c>
      <c r="D7">
        <v>67</v>
      </c>
      <c r="E7" s="35">
        <v>20394</v>
      </c>
      <c r="F7" s="4" t="s">
        <v>53</v>
      </c>
      <c r="G7" s="73" t="s">
        <v>276</v>
      </c>
      <c r="H7" s="4"/>
      <c r="I7" s="2" t="s">
        <v>285</v>
      </c>
      <c r="J7" s="74" t="s">
        <v>286</v>
      </c>
      <c r="K7" t="s">
        <v>166</v>
      </c>
      <c r="M7" t="s">
        <v>272</v>
      </c>
    </row>
    <row r="8" ht="28.399999999999999" customHeight="1">
      <c r="A8" t="s">
        <v>269</v>
      </c>
      <c r="B8" t="s">
        <v>55</v>
      </c>
      <c r="C8" t="s">
        <v>16</v>
      </c>
      <c r="D8">
        <v>67</v>
      </c>
      <c r="E8" s="35">
        <v>20424</v>
      </c>
      <c r="F8" s="4" t="s">
        <v>56</v>
      </c>
      <c r="G8" s="73" t="s">
        <v>17</v>
      </c>
      <c r="H8" s="4"/>
      <c r="I8" s="2" t="s">
        <v>287</v>
      </c>
      <c r="J8" s="74" t="s">
        <v>288</v>
      </c>
      <c r="K8" t="s">
        <v>289</v>
      </c>
      <c r="M8" t="s">
        <v>272</v>
      </c>
    </row>
    <row r="9" ht="55.25" customHeight="1">
      <c r="A9" t="s">
        <v>290</v>
      </c>
      <c r="B9" t="s">
        <v>62</v>
      </c>
      <c r="C9" t="s">
        <v>16</v>
      </c>
      <c r="D9">
        <v>68</v>
      </c>
      <c r="E9" s="35">
        <v>19815</v>
      </c>
      <c r="F9" s="13">
        <v>44802</v>
      </c>
      <c r="G9" s="73" t="s">
        <v>17</v>
      </c>
      <c r="H9" s="4"/>
      <c r="I9" s="2" t="s">
        <v>291</v>
      </c>
      <c r="J9" s="75" t="s">
        <v>292</v>
      </c>
      <c r="K9" t="s">
        <v>20</v>
      </c>
      <c r="M9" t="s">
        <v>293</v>
      </c>
    </row>
    <row r="10" ht="14.25" customHeight="1">
      <c r="A10" t="s">
        <v>269</v>
      </c>
      <c r="B10" t="s">
        <v>64</v>
      </c>
      <c r="C10" t="s">
        <v>23</v>
      </c>
      <c r="D10">
        <v>56</v>
      </c>
      <c r="E10" s="35">
        <v>24108</v>
      </c>
      <c r="F10" s="13">
        <v>44811</v>
      </c>
      <c r="G10" s="73" t="s">
        <v>17</v>
      </c>
      <c r="H10" s="4"/>
      <c r="I10" t="s">
        <v>294</v>
      </c>
      <c r="J10" s="75" t="s">
        <v>292</v>
      </c>
      <c r="K10" t="s">
        <v>295</v>
      </c>
    </row>
    <row r="11" ht="122.40000000000001" customHeight="1">
      <c r="A11" t="s">
        <v>269</v>
      </c>
      <c r="B11" t="s">
        <v>67</v>
      </c>
      <c r="C11" t="s">
        <v>16</v>
      </c>
      <c r="D11">
        <v>65</v>
      </c>
      <c r="E11" s="35">
        <v>20941</v>
      </c>
      <c r="F11" s="13">
        <v>44853</v>
      </c>
      <c r="G11" s="73" t="s">
        <v>17</v>
      </c>
      <c r="H11" s="4"/>
      <c r="I11" s="2" t="s">
        <v>296</v>
      </c>
      <c r="J11" s="75" t="s">
        <v>292</v>
      </c>
      <c r="K11" t="s">
        <v>20</v>
      </c>
    </row>
    <row r="12" ht="14.25" customHeight="1">
      <c r="A12" t="s">
        <v>269</v>
      </c>
      <c r="B12" t="s">
        <v>69</v>
      </c>
      <c r="C12" t="s">
        <v>16</v>
      </c>
      <c r="D12">
        <v>75</v>
      </c>
      <c r="E12" s="35">
        <v>17168</v>
      </c>
      <c r="F12" s="13">
        <v>44853</v>
      </c>
      <c r="G12" s="73" t="s">
        <v>17</v>
      </c>
      <c r="H12" s="4" t="s">
        <v>70</v>
      </c>
      <c r="I12" t="s">
        <v>297</v>
      </c>
      <c r="J12" s="75" t="s">
        <v>292</v>
      </c>
      <c r="K12" t="s">
        <v>66</v>
      </c>
    </row>
    <row r="13" ht="68.650000000000006" customHeight="1">
      <c r="A13" t="s">
        <v>269</v>
      </c>
      <c r="B13" t="s">
        <v>72</v>
      </c>
      <c r="C13" t="s">
        <v>16</v>
      </c>
      <c r="D13">
        <v>17</v>
      </c>
      <c r="E13" s="35">
        <v>38504</v>
      </c>
      <c r="F13" s="13">
        <v>44886</v>
      </c>
      <c r="G13" s="73" t="s">
        <v>83</v>
      </c>
      <c r="H13" s="4" t="s">
        <v>74</v>
      </c>
      <c r="I13" s="2" t="s">
        <v>298</v>
      </c>
      <c r="J13" s="75" t="s">
        <v>292</v>
      </c>
      <c r="K13" t="s">
        <v>166</v>
      </c>
    </row>
    <row r="14" ht="122.40000000000001" customHeight="1">
      <c r="A14" t="s">
        <v>290</v>
      </c>
      <c r="B14" t="s">
        <v>76</v>
      </c>
      <c r="C14" t="s">
        <v>16</v>
      </c>
      <c r="D14">
        <v>71</v>
      </c>
      <c r="E14" s="35">
        <v>18688</v>
      </c>
      <c r="F14" s="13">
        <v>44888</v>
      </c>
      <c r="G14" s="73" t="s">
        <v>17</v>
      </c>
      <c r="H14" s="23" t="s">
        <v>299</v>
      </c>
      <c r="I14" s="2" t="s">
        <v>300</v>
      </c>
      <c r="J14" s="75" t="s">
        <v>292</v>
      </c>
      <c r="K14" t="s">
        <v>20</v>
      </c>
      <c r="M14" t="s">
        <v>301</v>
      </c>
    </row>
    <row r="15" ht="35.149999999999999" customHeight="1">
      <c r="A15" t="s">
        <v>290</v>
      </c>
      <c r="B15" t="s">
        <v>79</v>
      </c>
      <c r="C15" t="s">
        <v>16</v>
      </c>
      <c r="D15">
        <v>66</v>
      </c>
      <c r="E15" s="35">
        <v>20729</v>
      </c>
      <c r="F15" s="13">
        <v>44900</v>
      </c>
      <c r="G15" s="73" t="s">
        <v>17</v>
      </c>
      <c r="H15" s="4" t="s">
        <v>80</v>
      </c>
      <c r="I15" s="2" t="s">
        <v>302</v>
      </c>
      <c r="J15" s="75" t="s">
        <v>292</v>
      </c>
      <c r="K15" t="s">
        <v>303</v>
      </c>
    </row>
    <row r="16" ht="14.25" customHeight="1">
      <c r="A16" t="s">
        <v>290</v>
      </c>
      <c r="B16" t="s">
        <v>92</v>
      </c>
      <c r="C16" t="s">
        <v>23</v>
      </c>
      <c r="D16">
        <v>38</v>
      </c>
      <c r="E16" s="9">
        <v>30987</v>
      </c>
      <c r="F16" s="10">
        <v>44883</v>
      </c>
      <c r="G16" t="s">
        <v>83</v>
      </c>
      <c r="H16" s="2" t="s">
        <v>304</v>
      </c>
      <c r="I16" s="2" t="s">
        <v>305</v>
      </c>
      <c r="J16" s="78" t="s">
        <v>292</v>
      </c>
      <c r="K16" t="s">
        <v>20</v>
      </c>
    </row>
    <row r="17" ht="216.40000000000001" customHeight="1">
      <c r="A17" t="s">
        <v>269</v>
      </c>
      <c r="B17" t="s">
        <v>95</v>
      </c>
      <c r="C17" t="s">
        <v>23</v>
      </c>
      <c r="D17">
        <v>11</v>
      </c>
      <c r="E17" s="35">
        <v>40878</v>
      </c>
      <c r="F17" s="13">
        <v>44903</v>
      </c>
      <c r="G17" s="73" t="s">
        <v>83</v>
      </c>
      <c r="H17" s="25" t="s">
        <v>306</v>
      </c>
      <c r="I17" s="2" t="s">
        <v>307</v>
      </c>
      <c r="J17" s="75" t="s">
        <v>292</v>
      </c>
      <c r="K17" t="s">
        <v>166</v>
      </c>
    </row>
    <row r="18" s="21" customFormat="1" ht="14.25" customHeight="1">
      <c r="A18" s="20" t="s">
        <v>290</v>
      </c>
      <c r="B18" s="20" t="s">
        <v>98</v>
      </c>
      <c r="C18" s="20" t="s">
        <v>23</v>
      </c>
      <c r="D18">
        <v>32</v>
      </c>
      <c r="E18" s="42">
        <v>32629</v>
      </c>
      <c r="F18" s="79">
        <v>44463</v>
      </c>
      <c r="G18" s="80" t="s">
        <v>73</v>
      </c>
      <c r="H18" s="28"/>
      <c r="I18" s="21" t="s">
        <v>308</v>
      </c>
      <c r="J18" s="75" t="s">
        <v>292</v>
      </c>
      <c r="K18" s="21" t="s">
        <v>66</v>
      </c>
      <c r="M18" s="21" t="s">
        <v>309</v>
      </c>
    </row>
    <row r="19" ht="135.75" customHeight="1">
      <c r="A19" t="s">
        <v>269</v>
      </c>
      <c r="B19" t="s">
        <v>100</v>
      </c>
      <c r="C19" t="s">
        <v>16</v>
      </c>
      <c r="D19">
        <v>7</v>
      </c>
      <c r="E19" s="35">
        <v>41183</v>
      </c>
      <c r="F19" s="13">
        <v>43635</v>
      </c>
      <c r="G19" s="71" t="s">
        <v>73</v>
      </c>
      <c r="H19" s="25"/>
      <c r="I19" s="2" t="s">
        <v>310</v>
      </c>
      <c r="J19" s="74" t="s">
        <v>311</v>
      </c>
      <c r="K19" s="2" t="s">
        <v>312</v>
      </c>
    </row>
    <row r="20" ht="68.650000000000006" customHeight="1">
      <c r="A20" t="s">
        <v>290</v>
      </c>
      <c r="B20" t="s">
        <v>102</v>
      </c>
      <c r="C20" t="s">
        <v>23</v>
      </c>
      <c r="D20">
        <v>20</v>
      </c>
      <c r="E20" s="35">
        <v>36192</v>
      </c>
      <c r="F20" s="13">
        <v>43796</v>
      </c>
      <c r="G20" s="71" t="s">
        <v>73</v>
      </c>
      <c r="H20" s="4"/>
      <c r="I20" s="2" t="s">
        <v>313</v>
      </c>
      <c r="J20" s="75" t="s">
        <v>314</v>
      </c>
      <c r="K20" t="s">
        <v>66</v>
      </c>
    </row>
    <row r="21" ht="109" customHeight="1">
      <c r="A21" s="81" t="s">
        <v>269</v>
      </c>
      <c r="B21" s="81" t="s">
        <v>104</v>
      </c>
      <c r="C21" t="s">
        <v>23</v>
      </c>
      <c r="D21">
        <v>24</v>
      </c>
      <c r="E21" s="35">
        <v>36831</v>
      </c>
      <c r="F21" s="13">
        <v>43710</v>
      </c>
      <c r="G21" s="71" t="s">
        <v>73</v>
      </c>
      <c r="H21" s="4"/>
      <c r="I21" s="2" t="s">
        <v>315</v>
      </c>
      <c r="J21" s="74" t="s">
        <v>316</v>
      </c>
      <c r="K21" t="s">
        <v>66</v>
      </c>
    </row>
    <row r="22" ht="216.40000000000001" customHeight="1">
      <c r="A22" t="s">
        <v>269</v>
      </c>
      <c r="B22" t="s">
        <v>118</v>
      </c>
      <c r="C22" t="s">
        <v>16</v>
      </c>
      <c r="D22">
        <v>60</v>
      </c>
      <c r="E22" s="35">
        <v>22494</v>
      </c>
      <c r="F22" s="13">
        <v>44477</v>
      </c>
      <c r="G22" s="71" t="s">
        <v>17</v>
      </c>
      <c r="H22" s="34" t="s">
        <v>317</v>
      </c>
      <c r="I22" s="2"/>
      <c r="J22" s="75" t="s">
        <v>318</v>
      </c>
    </row>
    <row r="23" ht="323.89999999999998" customHeight="1">
      <c r="A23" t="s">
        <v>269</v>
      </c>
      <c r="B23" t="s">
        <v>121</v>
      </c>
      <c r="C23" t="s">
        <v>16</v>
      </c>
      <c r="D23">
        <v>72</v>
      </c>
      <c r="E23" s="35">
        <v>18688</v>
      </c>
      <c r="F23" s="13">
        <v>44872</v>
      </c>
      <c r="G23" s="71" t="s">
        <v>17</v>
      </c>
      <c r="H23" s="23" t="s">
        <v>122</v>
      </c>
      <c r="I23" s="2" t="s">
        <v>319</v>
      </c>
      <c r="J23" s="74" t="s">
        <v>320</v>
      </c>
      <c r="K23" t="s">
        <v>321</v>
      </c>
    </row>
    <row r="24" ht="41.75" customHeight="1">
      <c r="A24" t="s">
        <v>269</v>
      </c>
      <c r="B24" s="2" t="s">
        <v>130</v>
      </c>
      <c r="C24" t="s">
        <v>16</v>
      </c>
      <c r="D24">
        <v>79</v>
      </c>
      <c r="E24" s="35">
        <v>15980</v>
      </c>
      <c r="F24" s="13">
        <v>44846</v>
      </c>
      <c r="G24" s="71" t="s">
        <v>131</v>
      </c>
      <c r="H24" s="4" t="s">
        <v>126</v>
      </c>
      <c r="I24" s="2" t="s">
        <v>322</v>
      </c>
      <c r="J24" s="74" t="s">
        <v>323</v>
      </c>
      <c r="K24" t="s">
        <v>66</v>
      </c>
    </row>
    <row r="25" ht="28.399999999999999" customHeight="1">
      <c r="A25" t="s">
        <v>269</v>
      </c>
      <c r="B25" t="s">
        <v>133</v>
      </c>
      <c r="C25" t="s">
        <v>16</v>
      </c>
      <c r="D25">
        <v>75</v>
      </c>
      <c r="E25" s="36">
        <v>17411</v>
      </c>
      <c r="F25" s="82">
        <v>44628</v>
      </c>
      <c r="G25" s="83" t="s">
        <v>60</v>
      </c>
      <c r="H25" s="4"/>
      <c r="I25" s="2" t="s">
        <v>134</v>
      </c>
      <c r="J25" s="74" t="s">
        <v>324</v>
      </c>
      <c r="K25" t="s">
        <v>325</v>
      </c>
    </row>
    <row r="26" ht="176.15000000000001" customHeight="1">
      <c r="A26" t="s">
        <v>269</v>
      </c>
      <c r="B26" t="s">
        <v>135</v>
      </c>
      <c r="C26" t="s">
        <v>16</v>
      </c>
      <c r="D26">
        <v>58</v>
      </c>
      <c r="E26" s="35">
        <v>23224</v>
      </c>
      <c r="F26" s="13">
        <v>44538</v>
      </c>
      <c r="G26" s="84" t="s">
        <v>24</v>
      </c>
      <c r="I26" s="2" t="s">
        <v>326</v>
      </c>
      <c r="J26" s="75" t="s">
        <v>327</v>
      </c>
      <c r="K26" t="s">
        <v>328</v>
      </c>
    </row>
    <row r="27" ht="55.25" customHeight="1">
      <c r="A27" t="s">
        <v>269</v>
      </c>
      <c r="B27" t="s">
        <v>149</v>
      </c>
      <c r="C27" t="s">
        <v>23</v>
      </c>
      <c r="D27">
        <v>55</v>
      </c>
      <c r="E27" s="42">
        <v>23529</v>
      </c>
      <c r="F27" s="85">
        <v>42500</v>
      </c>
      <c r="G27" s="86" t="s">
        <v>60</v>
      </c>
      <c r="H27" s="13">
        <v>43643</v>
      </c>
      <c r="I27" s="2" t="s">
        <v>329</v>
      </c>
      <c r="J27" s="75" t="s">
        <v>292</v>
      </c>
      <c r="K27" t="s">
        <v>20</v>
      </c>
    </row>
    <row r="28" ht="28.399999999999999" customHeight="1">
      <c r="A28" t="s">
        <v>269</v>
      </c>
      <c r="B28" t="s">
        <v>160</v>
      </c>
      <c r="C28" t="s">
        <v>23</v>
      </c>
      <c r="D28">
        <v>70</v>
      </c>
      <c r="E28" s="35">
        <v>18050</v>
      </c>
      <c r="F28" s="13">
        <v>43698</v>
      </c>
      <c r="G28" s="71" t="s">
        <v>60</v>
      </c>
      <c r="I28" s="2" t="s">
        <v>330</v>
      </c>
      <c r="J28" s="87" t="s">
        <v>292</v>
      </c>
      <c r="K28" t="s">
        <v>331</v>
      </c>
    </row>
    <row r="29" s="88" customFormat="1" ht="41.75" customHeight="1">
      <c r="A29" s="88" t="s">
        <v>269</v>
      </c>
      <c r="B29" s="88" t="s">
        <v>162</v>
      </c>
      <c r="C29" s="88" t="s">
        <v>23</v>
      </c>
      <c r="D29" s="88">
        <v>63</v>
      </c>
      <c r="E29" s="89">
        <v>21520</v>
      </c>
      <c r="F29" s="90">
        <v>44677</v>
      </c>
      <c r="G29" s="91" t="s">
        <v>24</v>
      </c>
      <c r="I29" s="92" t="s">
        <v>332</v>
      </c>
      <c r="J29" s="93" t="s">
        <v>292</v>
      </c>
      <c r="K29" s="88" t="s">
        <v>325</v>
      </c>
      <c r="L29" s="88" t="s">
        <v>333</v>
      </c>
    </row>
    <row r="30" ht="28.399999999999999" customHeight="1">
      <c r="A30" t="s">
        <v>269</v>
      </c>
      <c r="B30" t="s">
        <v>164</v>
      </c>
      <c r="C30" t="s">
        <v>16</v>
      </c>
      <c r="D30">
        <v>58</v>
      </c>
      <c r="E30" s="36">
        <v>22129</v>
      </c>
      <c r="F30" s="82">
        <v>43382</v>
      </c>
      <c r="G30" s="83" t="s">
        <v>24</v>
      </c>
      <c r="H30" s="4"/>
      <c r="I30" s="2" t="s">
        <v>334</v>
      </c>
      <c r="J30" s="75" t="s">
        <v>335</v>
      </c>
      <c r="K30" t="s">
        <v>166</v>
      </c>
      <c r="M30" t="s">
        <v>280</v>
      </c>
    </row>
    <row r="31" ht="41.75" customHeight="1">
      <c r="A31" t="s">
        <v>269</v>
      </c>
      <c r="B31" t="s">
        <v>170</v>
      </c>
      <c r="C31" t="s">
        <v>16</v>
      </c>
      <c r="D31">
        <v>59</v>
      </c>
      <c r="E31" s="35">
        <v>21641</v>
      </c>
      <c r="F31" s="13">
        <v>43572</v>
      </c>
      <c r="G31" s="86" t="s">
        <v>60</v>
      </c>
      <c r="H31" s="4"/>
      <c r="I31" s="2" t="s">
        <v>336</v>
      </c>
      <c r="J31" s="75" t="s">
        <v>337</v>
      </c>
      <c r="K31" t="s">
        <v>338</v>
      </c>
    </row>
    <row r="32" ht="41.75" customHeight="1">
      <c r="A32" t="s">
        <v>269</v>
      </c>
      <c r="B32" t="s">
        <v>177</v>
      </c>
      <c r="C32" t="s">
        <v>16</v>
      </c>
      <c r="D32">
        <v>70</v>
      </c>
      <c r="E32" s="36">
        <v>16193</v>
      </c>
      <c r="F32" s="82">
        <v>41991</v>
      </c>
      <c r="G32" s="83" t="s">
        <v>24</v>
      </c>
      <c r="H32" s="4" t="s">
        <v>178</v>
      </c>
      <c r="I32" s="2" t="s">
        <v>339</v>
      </c>
      <c r="J32" s="74" t="s">
        <v>340</v>
      </c>
      <c r="K32" t="s">
        <v>66</v>
      </c>
    </row>
    <row r="33" ht="28.399999999999999" customHeight="1">
      <c r="A33" t="s">
        <v>269</v>
      </c>
      <c r="B33" t="s">
        <v>180</v>
      </c>
      <c r="C33" t="s">
        <v>16</v>
      </c>
      <c r="D33">
        <v>50</v>
      </c>
      <c r="E33" s="36">
        <v>24563</v>
      </c>
      <c r="F33" s="82">
        <v>42865</v>
      </c>
      <c r="G33" s="83" t="s">
        <v>24</v>
      </c>
      <c r="H33" s="4"/>
      <c r="I33" s="2" t="s">
        <v>341</v>
      </c>
      <c r="J33" s="75" t="s">
        <v>292</v>
      </c>
      <c r="K33" t="s">
        <v>20</v>
      </c>
    </row>
    <row r="34" s="2" customFormat="1" ht="55.25" customHeight="1">
      <c r="A34" s="2" t="s">
        <v>269</v>
      </c>
      <c r="B34" s="2" t="s">
        <v>189</v>
      </c>
      <c r="C34" s="2" t="s">
        <v>16</v>
      </c>
      <c r="D34" s="2">
        <v>66</v>
      </c>
      <c r="E34" s="94">
        <v>18902</v>
      </c>
      <c r="F34" s="22">
        <v>43166</v>
      </c>
      <c r="G34" s="2" t="s">
        <v>60</v>
      </c>
      <c r="I34" s="2" t="s">
        <v>342</v>
      </c>
      <c r="J34" s="95" t="s">
        <v>343</v>
      </c>
      <c r="K34" s="2" t="s">
        <v>20</v>
      </c>
    </row>
    <row r="35" ht="55.25" customHeight="1">
      <c r="A35" t="s">
        <v>269</v>
      </c>
      <c r="B35" t="s">
        <v>191</v>
      </c>
      <c r="C35" t="s">
        <v>23</v>
      </c>
      <c r="D35">
        <v>62</v>
      </c>
      <c r="E35" s="36">
        <v>19268</v>
      </c>
      <c r="F35" s="82">
        <v>42157</v>
      </c>
      <c r="G35" s="83" t="s">
        <v>60</v>
      </c>
      <c r="H35" s="25">
        <v>0.022916666666666669</v>
      </c>
      <c r="I35" s="2" t="s">
        <v>344</v>
      </c>
      <c r="J35" s="75" t="s">
        <v>292</v>
      </c>
      <c r="K35" t="s">
        <v>20</v>
      </c>
    </row>
    <row r="36" ht="140.25" customHeight="1">
      <c r="A36" t="s">
        <v>269</v>
      </c>
      <c r="B36" t="s">
        <v>195</v>
      </c>
      <c r="C36" t="s">
        <v>16</v>
      </c>
      <c r="D36">
        <v>37</v>
      </c>
      <c r="E36" s="35">
        <v>31199</v>
      </c>
      <c r="F36" s="13">
        <v>44965</v>
      </c>
      <c r="G36" s="86" t="s">
        <v>73</v>
      </c>
      <c r="H36" s="56"/>
      <c r="I36" s="77" t="s">
        <v>345</v>
      </c>
      <c r="J36" s="75" t="s">
        <v>292</v>
      </c>
      <c r="K36" t="s">
        <v>346</v>
      </c>
    </row>
    <row r="37" s="2" customFormat="1" ht="283.5" customHeight="1">
      <c r="A37" t="s">
        <v>269</v>
      </c>
      <c r="B37" s="2" t="s">
        <v>200</v>
      </c>
      <c r="C37" s="2" t="s">
        <v>16</v>
      </c>
      <c r="D37">
        <v>63</v>
      </c>
      <c r="E37" s="9">
        <v>21641</v>
      </c>
      <c r="F37" s="10">
        <v>44841</v>
      </c>
      <c r="G37" s="2" t="s">
        <v>347</v>
      </c>
      <c r="I37" s="2" t="s">
        <v>348</v>
      </c>
    </row>
    <row r="38" ht="162.65000000000001" customHeight="1">
      <c r="A38" t="s">
        <v>269</v>
      </c>
      <c r="B38" s="21" t="s">
        <v>206</v>
      </c>
      <c r="C38" t="s">
        <v>16</v>
      </c>
      <c r="D38">
        <v>70</v>
      </c>
      <c r="E38" s="9">
        <v>18660</v>
      </c>
      <c r="F38" s="10">
        <v>44434</v>
      </c>
      <c r="G38" s="50" t="s">
        <v>349</v>
      </c>
      <c r="I38" s="77" t="s">
        <v>350</v>
      </c>
      <c r="J38" s="96" t="s">
        <v>351</v>
      </c>
      <c r="K38" t="s">
        <v>352</v>
      </c>
      <c r="M38" t="s">
        <v>353</v>
      </c>
      <c r="N38" s="75"/>
    </row>
    <row r="39" s="21" customFormat="1" ht="95.5" customHeight="1">
      <c r="A39" s="21" t="s">
        <v>269</v>
      </c>
      <c r="B39" s="21" t="s">
        <v>40</v>
      </c>
      <c r="C39" s="21" t="s">
        <v>16</v>
      </c>
      <c r="D39" s="21">
        <v>60</v>
      </c>
      <c r="E39" s="26">
        <v>22798</v>
      </c>
      <c r="F39" s="28" t="s">
        <v>41</v>
      </c>
      <c r="G39" s="3" t="s">
        <v>24</v>
      </c>
      <c r="H39" s="28"/>
      <c r="I39" s="97" t="s">
        <v>354</v>
      </c>
      <c r="J39" s="20" t="s">
        <v>355</v>
      </c>
      <c r="N39" s="98"/>
    </row>
    <row r="40" ht="203" customHeight="1">
      <c r="A40" t="s">
        <v>269</v>
      </c>
      <c r="B40" t="s">
        <v>208</v>
      </c>
      <c r="C40" t="s">
        <v>16</v>
      </c>
      <c r="D40">
        <v>79</v>
      </c>
      <c r="E40" s="4" t="s">
        <v>356</v>
      </c>
      <c r="F40" s="13">
        <v>45021</v>
      </c>
      <c r="G40" s="71" t="s">
        <v>17</v>
      </c>
      <c r="I40" s="99" t="s">
        <v>357</v>
      </c>
    </row>
    <row r="41" ht="323.89999999999998" customHeight="1">
      <c r="A41" t="s">
        <v>269</v>
      </c>
      <c r="B41" t="s">
        <v>209</v>
      </c>
      <c r="C41" t="s">
        <v>16</v>
      </c>
      <c r="D41">
        <v>82</v>
      </c>
      <c r="E41" s="9">
        <v>15250</v>
      </c>
      <c r="F41" s="10">
        <v>45029</v>
      </c>
      <c r="G41" s="71" t="s">
        <v>17</v>
      </c>
      <c r="I41" s="2" t="s">
        <v>358</v>
      </c>
    </row>
    <row r="42" ht="149.25" customHeight="1">
      <c r="A42" t="s">
        <v>269</v>
      </c>
      <c r="B42" s="2" t="s">
        <v>211</v>
      </c>
      <c r="C42" t="s">
        <v>16</v>
      </c>
      <c r="D42">
        <v>48</v>
      </c>
      <c r="E42" s="9">
        <v>26359</v>
      </c>
      <c r="F42" s="10">
        <v>44099</v>
      </c>
      <c r="G42" s="71" t="s">
        <v>17</v>
      </c>
      <c r="I42" s="2" t="s">
        <v>359</v>
      </c>
    </row>
    <row r="43" ht="176.15000000000001" customHeight="1">
      <c r="A43" t="s">
        <v>269</v>
      </c>
      <c r="B43" s="2" t="s">
        <v>212</v>
      </c>
      <c r="C43" t="s">
        <v>16</v>
      </c>
      <c r="D43">
        <v>60</v>
      </c>
      <c r="E43" s="9">
        <v>23043</v>
      </c>
      <c r="F43" s="10">
        <v>45092</v>
      </c>
      <c r="G43" s="71" t="s">
        <v>17</v>
      </c>
      <c r="I43" s="2" t="s">
        <v>360</v>
      </c>
    </row>
    <row r="44" s="20" customFormat="1" ht="58.5" customHeight="1">
      <c r="A44" s="100" t="s">
        <v>361</v>
      </c>
      <c r="B44" s="100" t="s">
        <v>213</v>
      </c>
      <c r="C44" s="100" t="s">
        <v>16</v>
      </c>
      <c r="D44" s="100">
        <v>54</v>
      </c>
      <c r="E44" s="101">
        <v>24838</v>
      </c>
      <c r="F44" s="102" t="s">
        <v>214</v>
      </c>
      <c r="G44" s="103" t="s">
        <v>17</v>
      </c>
      <c r="I44" s="104" t="s">
        <v>362</v>
      </c>
      <c r="J44" s="20" t="s">
        <v>363</v>
      </c>
    </row>
    <row r="45" ht="82" customHeight="1">
      <c r="A45" s="21" t="s">
        <v>269</v>
      </c>
      <c r="B45" t="s">
        <v>202</v>
      </c>
      <c r="C45" t="s">
        <v>16</v>
      </c>
      <c r="D45">
        <v>78</v>
      </c>
      <c r="E45" s="35">
        <v>16377</v>
      </c>
      <c r="F45" s="13">
        <v>44563</v>
      </c>
      <c r="G45" s="105" t="s">
        <v>364</v>
      </c>
      <c r="I45" s="2" t="s">
        <v>365</v>
      </c>
    </row>
    <row r="46" ht="223.25" customHeight="1">
      <c r="A46" s="21" t="s">
        <v>290</v>
      </c>
      <c r="B46" t="s">
        <v>216</v>
      </c>
      <c r="C46" t="s">
        <v>16</v>
      </c>
      <c r="D46">
        <f>2023-1972</f>
        <v>51</v>
      </c>
      <c r="E46" s="35">
        <v>26451</v>
      </c>
      <c r="F46" s="13">
        <v>45028</v>
      </c>
      <c r="G46" s="71" t="s">
        <v>366</v>
      </c>
      <c r="I46" s="2" t="s">
        <v>367</v>
      </c>
    </row>
    <row r="47" ht="189" customHeight="1">
      <c r="A47" t="s">
        <v>269</v>
      </c>
      <c r="B47" t="s">
        <v>217</v>
      </c>
      <c r="C47" t="s">
        <v>23</v>
      </c>
      <c r="D47">
        <v>59</v>
      </c>
      <c r="E47" s="35">
        <v>23408</v>
      </c>
      <c r="F47" s="13">
        <v>45042</v>
      </c>
      <c r="G47" s="71" t="s">
        <v>368</v>
      </c>
      <c r="H47" t="s">
        <v>369</v>
      </c>
      <c r="I47" s="2" t="s">
        <v>370</v>
      </c>
    </row>
    <row r="48" ht="28.399999999999999" customHeight="1">
      <c r="A48" t="s">
        <v>269</v>
      </c>
      <c r="B48" t="s">
        <v>219</v>
      </c>
      <c r="C48" t="s">
        <v>23</v>
      </c>
      <c r="D48">
        <v>68</v>
      </c>
      <c r="E48" s="35">
        <v>19845</v>
      </c>
      <c r="F48" s="4" t="s">
        <v>371</v>
      </c>
      <c r="G48" s="71" t="s">
        <v>17</v>
      </c>
      <c r="H48" s="2" t="s">
        <v>126</v>
      </c>
      <c r="I48" s="2" t="s">
        <v>372</v>
      </c>
    </row>
    <row r="49" s="21" customFormat="1" ht="14.25" customHeight="1">
      <c r="A49" s="20" t="s">
        <v>269</v>
      </c>
      <c r="B49" s="20" t="s">
        <v>221</v>
      </c>
      <c r="C49" s="20" t="s">
        <v>16</v>
      </c>
      <c r="D49" s="21">
        <v>72</v>
      </c>
      <c r="E49" s="106">
        <v>18568</v>
      </c>
      <c r="F49" s="107">
        <v>45061</v>
      </c>
      <c r="G49" s="108" t="s">
        <v>17</v>
      </c>
      <c r="I49" s="104" t="s">
        <v>373</v>
      </c>
      <c r="J49" s="20" t="s">
        <v>374</v>
      </c>
    </row>
    <row r="50" ht="95.5" customHeight="1">
      <c r="A50" t="s">
        <v>269</v>
      </c>
      <c r="B50" t="s">
        <v>222</v>
      </c>
      <c r="C50" t="s">
        <v>23</v>
      </c>
      <c r="D50">
        <v>14</v>
      </c>
      <c r="E50" s="35">
        <v>39692</v>
      </c>
      <c r="F50" s="13">
        <v>45080</v>
      </c>
      <c r="G50" s="71" t="s">
        <v>17</v>
      </c>
      <c r="I50" s="2" t="s">
        <v>375</v>
      </c>
      <c r="J50" s="20" t="s">
        <v>376</v>
      </c>
    </row>
    <row r="51" s="21" customFormat="1" ht="28.399999999999999" customHeight="1">
      <c r="A51" s="20" t="s">
        <v>269</v>
      </c>
      <c r="B51" s="20" t="s">
        <v>223</v>
      </c>
      <c r="C51" s="20" t="s">
        <v>23</v>
      </c>
      <c r="D51" s="21">
        <v>77</v>
      </c>
      <c r="E51" s="106">
        <v>16650</v>
      </c>
      <c r="F51" s="107">
        <v>45126</v>
      </c>
      <c r="G51" s="108" t="s">
        <v>17</v>
      </c>
      <c r="I51" s="104" t="s">
        <v>377</v>
      </c>
      <c r="J51" s="20" t="s">
        <v>378</v>
      </c>
    </row>
    <row r="52" ht="55.25" customHeight="1">
      <c r="A52" t="s">
        <v>269</v>
      </c>
      <c r="B52" t="s">
        <v>224</v>
      </c>
      <c r="C52" t="s">
        <v>16</v>
      </c>
      <c r="D52">
        <v>51</v>
      </c>
      <c r="E52" s="35">
        <v>26481</v>
      </c>
      <c r="F52" s="13">
        <v>45164</v>
      </c>
      <c r="G52" s="71" t="s">
        <v>17</v>
      </c>
      <c r="I52" s="2" t="s">
        <v>379</v>
      </c>
      <c r="J52" s="20" t="s">
        <v>380</v>
      </c>
    </row>
    <row r="53" ht="82" customHeight="1">
      <c r="A53" t="s">
        <v>269</v>
      </c>
      <c r="B53" t="s">
        <v>232</v>
      </c>
      <c r="C53" t="s">
        <v>23</v>
      </c>
      <c r="D53">
        <f>2023-2003</f>
        <v>20</v>
      </c>
      <c r="E53" s="35">
        <v>37926</v>
      </c>
      <c r="F53" s="13">
        <v>45237</v>
      </c>
      <c r="G53" s="71" t="s">
        <v>381</v>
      </c>
      <c r="I53" s="104" t="s">
        <v>382</v>
      </c>
      <c r="J53" s="104" t="s">
        <v>383</v>
      </c>
    </row>
    <row r="54" ht="68.650000000000006" customHeight="1">
      <c r="A54" t="s">
        <v>269</v>
      </c>
      <c r="B54" t="s">
        <v>233</v>
      </c>
      <c r="C54" t="s">
        <v>16</v>
      </c>
      <c r="D54">
        <f>2023-1971</f>
        <v>52</v>
      </c>
      <c r="E54" s="35">
        <v>26238</v>
      </c>
      <c r="F54" s="13">
        <v>45024</v>
      </c>
      <c r="G54" s="71" t="s">
        <v>17</v>
      </c>
      <c r="I54" s="2" t="s">
        <v>384</v>
      </c>
      <c r="J54" s="20" t="s">
        <v>385</v>
      </c>
    </row>
    <row r="55" ht="122.40000000000001" customHeight="1">
      <c r="A55" t="s">
        <v>269</v>
      </c>
      <c r="B55" t="s">
        <v>234</v>
      </c>
      <c r="C55" t="s">
        <v>16</v>
      </c>
      <c r="D55">
        <f>2022-1950</f>
        <v>72</v>
      </c>
      <c r="E55" s="35">
        <v>18537</v>
      </c>
      <c r="F55" s="13">
        <v>44671</v>
      </c>
      <c r="G55" s="71" t="s">
        <v>235</v>
      </c>
      <c r="I55" s="2" t="s">
        <v>386</v>
      </c>
    </row>
    <row r="56" ht="55.25" customHeight="1">
      <c r="A56" t="s">
        <v>269</v>
      </c>
      <c r="B56" s="21" t="s">
        <v>236</v>
      </c>
      <c r="C56" t="s">
        <v>23</v>
      </c>
      <c r="D56">
        <f>2023-1942</f>
        <v>81</v>
      </c>
      <c r="E56" s="9">
        <v>15554</v>
      </c>
      <c r="F56" s="70">
        <v>45162</v>
      </c>
      <c r="G56" s="21" t="s">
        <v>237</v>
      </c>
      <c r="I56" s="2" t="s">
        <v>387</v>
      </c>
    </row>
    <row r="57" ht="82" customHeight="1">
      <c r="A57" t="s">
        <v>269</v>
      </c>
      <c r="B57" s="21" t="s">
        <v>238</v>
      </c>
      <c r="C57" t="s">
        <v>23</v>
      </c>
      <c r="D57">
        <f>2023-2011</f>
        <v>12</v>
      </c>
      <c r="E57" s="9">
        <v>40878</v>
      </c>
      <c r="F57" s="10">
        <v>45252</v>
      </c>
      <c r="G57" s="21" t="s">
        <v>73</v>
      </c>
      <c r="H57" s="78" t="s">
        <v>388</v>
      </c>
      <c r="I57" s="99" t="s">
        <v>389</v>
      </c>
      <c r="J57" s="78"/>
    </row>
    <row r="58" ht="95.5" customHeight="1">
      <c r="A58" t="s">
        <v>269</v>
      </c>
      <c r="B58" s="21" t="s">
        <v>239</v>
      </c>
      <c r="C58" t="s">
        <v>16</v>
      </c>
      <c r="D58">
        <f>2023-1961</f>
        <v>62</v>
      </c>
      <c r="E58" s="9">
        <v>22282</v>
      </c>
      <c r="F58" s="10">
        <v>45258</v>
      </c>
      <c r="G58" s="71" t="s">
        <v>17</v>
      </c>
      <c r="I58" s="2" t="s">
        <v>390</v>
      </c>
      <c r="J58" s="20" t="s">
        <v>391</v>
      </c>
    </row>
    <row r="59" ht="189.5" customHeight="1">
      <c r="A59" t="s">
        <v>269</v>
      </c>
      <c r="B59" s="21" t="s">
        <v>240</v>
      </c>
      <c r="C59" t="s">
        <v>16</v>
      </c>
      <c r="D59">
        <f>2023-1982</f>
        <v>41</v>
      </c>
      <c r="E59" s="9">
        <v>30042</v>
      </c>
      <c r="F59" s="70">
        <v>45261</v>
      </c>
      <c r="G59" s="97" t="s">
        <v>392</v>
      </c>
      <c r="I59" s="2" t="s">
        <v>393</v>
      </c>
    </row>
    <row r="60" ht="250.15000000000001" customHeight="1">
      <c r="A60" t="s">
        <v>269</v>
      </c>
      <c r="B60" s="21" t="s">
        <v>243</v>
      </c>
      <c r="C60" t="s">
        <v>23</v>
      </c>
      <c r="D60">
        <f>2023-1959</f>
        <v>64</v>
      </c>
      <c r="E60" s="9">
        <v>21885</v>
      </c>
      <c r="F60" s="10">
        <v>45197</v>
      </c>
      <c r="G60" s="21" t="s">
        <v>17</v>
      </c>
      <c r="H60" s="20" t="s">
        <v>249</v>
      </c>
      <c r="I60" s="99" t="s">
        <v>394</v>
      </c>
      <c r="J60" s="21"/>
    </row>
    <row r="61" ht="55.25" customHeight="1">
      <c r="A61" t="s">
        <v>269</v>
      </c>
      <c r="B61" s="21" t="s">
        <v>395</v>
      </c>
      <c r="C61" t="s">
        <v>16</v>
      </c>
      <c r="D61">
        <f>2023-1967</f>
        <v>56</v>
      </c>
      <c r="E61" s="9">
        <v>24654</v>
      </c>
      <c r="F61" s="10">
        <v>45269</v>
      </c>
      <c r="G61" s="21" t="s">
        <v>17</v>
      </c>
      <c r="I61" s="109" t="s">
        <v>396</v>
      </c>
      <c r="J61" s="71"/>
    </row>
    <row r="62" ht="149.25" customHeight="1">
      <c r="A62" s="21" t="s">
        <v>269</v>
      </c>
      <c r="B62" s="21" t="s">
        <v>246</v>
      </c>
      <c r="C62" t="s">
        <v>16</v>
      </c>
      <c r="D62">
        <f t="shared" ref="D62:D63" si="9">2023-1941</f>
        <v>82</v>
      </c>
      <c r="E62" s="35">
        <v>15036</v>
      </c>
      <c r="F62" s="13">
        <v>45197</v>
      </c>
      <c r="G62" s="71" t="s">
        <v>17</v>
      </c>
      <c r="I62" s="109" t="s">
        <v>397</v>
      </c>
      <c r="J62" s="71"/>
    </row>
    <row r="63" ht="8.25" customHeight="1">
      <c r="A63" t="s">
        <v>269</v>
      </c>
      <c r="B63" s="21" t="s">
        <v>247</v>
      </c>
      <c r="C63" t="s">
        <v>16</v>
      </c>
      <c r="D63">
        <f t="shared" si="9"/>
        <v>82</v>
      </c>
      <c r="E63" s="35">
        <v>15036</v>
      </c>
      <c r="F63" s="13">
        <v>45203</v>
      </c>
      <c r="G63" s="71" t="s">
        <v>248</v>
      </c>
      <c r="H63" s="20" t="s">
        <v>249</v>
      </c>
      <c r="I63" s="2" t="s">
        <v>398</v>
      </c>
      <c r="J63" s="71"/>
    </row>
    <row r="64" s="21" customFormat="1" ht="55.25" customHeight="1">
      <c r="A64" s="20" t="s">
        <v>269</v>
      </c>
      <c r="B64" s="20" t="s">
        <v>250</v>
      </c>
      <c r="C64" s="20" t="s">
        <v>23</v>
      </c>
      <c r="D64" s="21">
        <v>60</v>
      </c>
      <c r="E64" s="106">
        <v>23071</v>
      </c>
      <c r="F64" s="107">
        <v>43052</v>
      </c>
      <c r="G64" s="108" t="s">
        <v>17</v>
      </c>
      <c r="H64" s="20" t="s">
        <v>251</v>
      </c>
      <c r="I64" s="104" t="s">
        <v>399</v>
      </c>
      <c r="J64" s="108"/>
    </row>
    <row r="65" ht="41.75" customHeight="1">
      <c r="A65" t="s">
        <v>269</v>
      </c>
      <c r="B65" s="21" t="s">
        <v>252</v>
      </c>
      <c r="C65" t="s">
        <v>23</v>
      </c>
      <c r="D65">
        <f>2023-1984</f>
        <v>39</v>
      </c>
      <c r="E65" s="35">
        <v>30742</v>
      </c>
      <c r="F65" s="13">
        <v>45245</v>
      </c>
      <c r="G65" s="71" t="s">
        <v>17</v>
      </c>
      <c r="I65" s="2" t="s">
        <v>400</v>
      </c>
      <c r="J65" s="71"/>
    </row>
    <row r="66" ht="14.25" customHeight="1">
      <c r="A66" t="s">
        <v>269</v>
      </c>
      <c r="B66" s="21" t="s">
        <v>253</v>
      </c>
      <c r="C66" t="s">
        <v>16</v>
      </c>
      <c r="D66">
        <v>65</v>
      </c>
      <c r="E66" s="9">
        <v>21398</v>
      </c>
      <c r="F66" s="10">
        <v>45223</v>
      </c>
      <c r="G66" s="21" t="s">
        <v>17</v>
      </c>
      <c r="H66" s="110" t="s">
        <v>254</v>
      </c>
      <c r="J66" s="71"/>
    </row>
    <row r="67" ht="14.25" customHeight="1">
      <c r="A67" t="s">
        <v>269</v>
      </c>
      <c r="B67" s="21" t="s">
        <v>255</v>
      </c>
      <c r="C67" t="s">
        <v>16</v>
      </c>
      <c r="D67">
        <f>2023-1956</f>
        <v>67</v>
      </c>
      <c r="E67" s="9">
        <v>20699</v>
      </c>
      <c r="F67" s="10">
        <v>45301</v>
      </c>
      <c r="G67" s="21" t="s">
        <v>218</v>
      </c>
      <c r="H67" s="110" t="s">
        <v>256</v>
      </c>
    </row>
    <row r="68" ht="14.25" customHeight="1">
      <c r="A68" t="s">
        <v>269</v>
      </c>
      <c r="B68" s="21" t="s">
        <v>257</v>
      </c>
      <c r="C68" t="s">
        <v>16</v>
      </c>
      <c r="D68">
        <v>58</v>
      </c>
      <c r="E68" s="9">
        <v>24016</v>
      </c>
      <c r="F68" s="10">
        <v>45224</v>
      </c>
      <c r="G68" s="21" t="s">
        <v>17</v>
      </c>
      <c r="I68" s="3"/>
    </row>
    <row r="69" ht="14.25" customHeight="1">
      <c r="A69" s="20" t="s">
        <v>401</v>
      </c>
      <c r="B69" s="21" t="s">
        <v>258</v>
      </c>
      <c r="C69" t="s">
        <v>16</v>
      </c>
      <c r="D69">
        <v>69</v>
      </c>
      <c r="E69" s="9">
        <v>19815</v>
      </c>
      <c r="F69" s="10">
        <v>45316</v>
      </c>
      <c r="G69" s="21" t="s">
        <v>17</v>
      </c>
      <c r="I69" s="3"/>
    </row>
    <row r="70" ht="14.25" customHeight="1">
      <c r="A70" t="s">
        <v>269</v>
      </c>
      <c r="B70" s="21" t="s">
        <v>259</v>
      </c>
      <c r="C70" t="s">
        <v>16</v>
      </c>
      <c r="D70">
        <v>71</v>
      </c>
      <c r="E70" s="35">
        <v>18963</v>
      </c>
      <c r="F70" s="13">
        <v>45216</v>
      </c>
      <c r="G70" s="71" t="s">
        <v>248</v>
      </c>
    </row>
    <row r="71" ht="14.25" customHeight="1">
      <c r="A71" t="s">
        <v>269</v>
      </c>
      <c r="B71" s="21" t="s">
        <v>261</v>
      </c>
      <c r="C71" t="s">
        <v>16</v>
      </c>
      <c r="D71">
        <v>55</v>
      </c>
      <c r="E71" s="35">
        <v>24990</v>
      </c>
      <c r="F71" s="13">
        <v>45306</v>
      </c>
      <c r="G71" s="71" t="s">
        <v>17</v>
      </c>
    </row>
    <row r="72" ht="14.25" customHeight="1">
      <c r="A72" t="s">
        <v>269</v>
      </c>
      <c r="B72" s="21" t="s">
        <v>262</v>
      </c>
      <c r="C72" t="s">
        <v>16</v>
      </c>
      <c r="D72">
        <v>63</v>
      </c>
      <c r="E72" s="35">
        <v>22160</v>
      </c>
      <c r="F72" s="13">
        <v>45253</v>
      </c>
      <c r="G72" s="71" t="s">
        <v>17</v>
      </c>
    </row>
    <row r="73" ht="14.25" customHeight="1">
      <c r="B73" s="21" t="s">
        <v>263</v>
      </c>
      <c r="C73" t="s">
        <v>16</v>
      </c>
    </row>
  </sheetData>
  <printOptions headings="0" gridLines="0"/>
  <pageMargins left="0.69999999999999996" right="0.69999999999999996" top="0.75" bottom="0.75" header="0.51181102362204689" footer="0.51181102362204689"/>
  <pageSetup paperSize="9" scale="100" fitToWidth="1" fitToHeight="1" pageOrder="downThenOver" orientation="portrait" usePrinterDefaults="1" blackAndWhite="0" draft="0" cellComments="none" useFirstPageNumber="0" errors="displayed" horizontalDpi="300" verticalDpi="300" copies="1"/>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filterMode="1">
    <outlinePr applyStyles="0" summaryBelow="1" summaryRight="1" showOutlineSymbols="1"/>
    <pageSetUpPr autoPageBreaks="1" fitToPage="0"/>
  </sheetPr>
  <sheetViews>
    <sheetView topLeftCell="A466" zoomScale="51" workbookViewId="0">
      <selection activeCell="B431" activeCellId="0" sqref="B431"/>
    </sheetView>
  </sheetViews>
  <sheetFormatPr baseColWidth="10" defaultColWidth="11.54296875" defaultRowHeight="14.25"/>
  <cols>
    <col customWidth="1" min="1" max="1" style="39" width="36.08984375"/>
    <col customWidth="1" min="2" max="2" style="39" width="44.36328125"/>
    <col customWidth="1" min="3" max="3" style="39" width="15.8515625"/>
    <col customWidth="1" min="4" max="4" style="111" width="13.00390625"/>
    <col customWidth="1" min="5" max="5" style="111" width="76.7265625"/>
    <col customWidth="1" min="6" max="6" style="39" width="33.90625"/>
    <col customWidth="1" min="7" max="7" style="39" width="25.36328125"/>
    <col customWidth="1" min="8" max="8" style="112" width="20.26953125"/>
    <col customWidth="1" min="9" max="9" style="112" width="10.81640625"/>
    <col bestFit="1" customWidth="1" min="10" max="10" style="111" width="33.81640625"/>
    <col bestFit="1" customWidth="1" min="11" max="11" style="39" width="24.7265625"/>
    <col bestFit="1" customWidth="1" min="12" max="12" style="39" width="19.453125"/>
    <col bestFit="1" customWidth="1" min="13" max="13" style="39" width="12.1796875"/>
    <col customWidth="1" min="14" max="14" style="39" width="22.6328125"/>
    <col bestFit="1" customWidth="1" min="15" max="15" style="39" width="11.453125"/>
    <col bestFit="1" customWidth="1" min="16" max="16" style="39" width="14.54296875"/>
    <col bestFit="1" customWidth="1" min="17" max="17" style="39" width="19.81640625"/>
    <col customWidth="1" min="18" max="18" style="39" width="16.54296875"/>
    <col customWidth="1" min="19" max="19" style="39" width="5.453125"/>
    <col customWidth="1" min="20" max="20" style="39" width="16"/>
    <col customWidth="1" min="21" max="22" style="39" width="15.7265625"/>
    <col customWidth="1" min="23" max="23" style="39" width="12.7265625"/>
    <col customWidth="1" min="24" max="24" style="39" width="7.90625"/>
    <col bestFit="1" customWidth="1" min="25" max="25" style="39" width="9.7265625"/>
    <col bestFit="1" customWidth="1" min="26" max="26" style="39" width="8"/>
    <col bestFit="1" customWidth="1" min="27" max="27" style="39" width="12.1796875"/>
    <col bestFit="1" customWidth="1" min="28" max="28" style="39" width="13.81640625"/>
    <col customWidth="1" min="29" max="29" style="39" width="5.26953125"/>
    <col customWidth="1" min="30" max="30" style="39" width="17.81640625"/>
    <col bestFit="1" customWidth="1" min="31" max="31" style="39" width="10.54296875"/>
    <col bestFit="1" customWidth="1" min="32" max="32" style="39" width="5"/>
    <col bestFit="1" customWidth="1" min="33" max="33" style="39" width="6.1796875"/>
    <col bestFit="1" customWidth="1" min="34" max="34" style="39" width="4.453125"/>
    <col bestFit="1" customWidth="1" min="35" max="35" style="39" width="5.26953125"/>
    <col bestFit="1" customWidth="1" min="36" max="36" style="39" width="8.453125"/>
    <col bestFit="1" customWidth="1" min="37" max="37" style="39" width="8"/>
    <col bestFit="1" customWidth="1" min="38" max="38" style="39" width="4.453125"/>
    <col customWidth="1" min="39" max="39" style="39" width="11.453125"/>
    <col customWidth="1" min="40" max="40" style="39" width="6.6328125"/>
    <col customWidth="1" min="41" max="41" style="39" width="12"/>
    <col bestFit="1" customWidth="1" min="42" max="42" style="39" width="17.36328125"/>
    <col bestFit="1" customWidth="1" min="43" max="43" style="39" width="10.7265625"/>
    <col customWidth="1" min="44" max="44" style="39" width="8"/>
    <col bestFit="1" customWidth="1" min="45" max="45" style="39" width="11.54296875"/>
    <col bestFit="1" customWidth="1" min="46" max="46" style="39" width="13.90625"/>
    <col customWidth="1" min="47" max="47" style="39" width="17.54296875"/>
    <col customWidth="1" min="48" max="48" style="39" width="9.26953125"/>
    <col bestFit="1" customWidth="1" min="49" max="49" style="39" width="8"/>
    <col bestFit="1" customWidth="1" min="50" max="50" style="39" width="7.36328125"/>
    <col customWidth="1" min="51" max="51" style="39" width="8"/>
    <col customWidth="1" min="52" max="52" style="39" width="13.7265625"/>
    <col customWidth="1" min="53" max="53" style="39" width="14.08984375"/>
    <col customWidth="1" min="54" max="54" style="39" width="15.54296875"/>
    <col bestFit="1" customWidth="1" min="55" max="55" style="39" width="7.54296875"/>
    <col bestFit="1" customWidth="1" min="56" max="56" style="39" width="13.08984375"/>
    <col bestFit="1" customWidth="1" min="57" max="57" style="39" width="13.90625"/>
    <col customWidth="1" min="58" max="58" style="39" width="38.26953125"/>
    <col customWidth="1" min="59" max="59" style="39" width="24"/>
    <col customWidth="1" min="60" max="60" style="39" width="21.1796875"/>
    <col customWidth="1" min="61" max="61" style="39" width="11.7265625"/>
    <col min="62" max="62" style="39" width="11.54296875"/>
    <col bestFit="1" min="63" max="63" style="39" width="24.54296875"/>
    <col bestFit="1" min="64" max="64" style="39" width="21.36328125"/>
    <col min="65" max="16384" style="39" width="11.54296875"/>
  </cols>
  <sheetData>
    <row r="1" ht="14.25" customHeight="1">
      <c r="D1" s="39"/>
      <c r="M1" s="113" t="s">
        <v>402</v>
      </c>
      <c r="N1" s="113"/>
      <c r="O1" s="113"/>
      <c r="P1" s="113"/>
      <c r="Q1" s="113"/>
      <c r="R1" s="113"/>
      <c r="S1" s="113"/>
      <c r="T1" s="113"/>
      <c r="U1" s="113"/>
      <c r="V1" s="113"/>
      <c r="W1" s="113"/>
      <c r="X1" s="113"/>
      <c r="Y1" s="113"/>
      <c r="Z1" s="113"/>
      <c r="AA1" s="113"/>
      <c r="AB1" s="113"/>
      <c r="AC1" s="113"/>
      <c r="AD1" s="113"/>
      <c r="AE1" s="113" t="s">
        <v>403</v>
      </c>
      <c r="AF1" s="113"/>
      <c r="AG1" s="113"/>
      <c r="AH1" s="113"/>
      <c r="AI1" s="113"/>
      <c r="AJ1" s="113"/>
      <c r="AK1" s="113"/>
      <c r="AL1" s="113"/>
      <c r="AM1" s="113"/>
      <c r="AN1" s="113"/>
      <c r="AO1" s="113"/>
      <c r="AP1" s="113"/>
      <c r="AQ1" s="114"/>
      <c r="AR1" s="115" t="s">
        <v>404</v>
      </c>
      <c r="AS1" s="115"/>
      <c r="AT1" s="115"/>
      <c r="AU1" s="115"/>
      <c r="AV1" s="115"/>
      <c r="AW1" s="115"/>
      <c r="AX1" s="115"/>
      <c r="AY1" s="115"/>
      <c r="AZ1" s="115"/>
      <c r="BA1" s="115"/>
      <c r="BB1" s="115"/>
      <c r="BC1" s="115"/>
      <c r="BD1" s="115"/>
      <c r="BE1" s="115"/>
      <c r="BF1" s="116" t="s">
        <v>405</v>
      </c>
      <c r="BG1" s="116"/>
      <c r="BH1" s="116"/>
      <c r="BI1" s="116"/>
      <c r="BJ1" s="116"/>
      <c r="BK1" s="113" t="s">
        <v>406</v>
      </c>
      <c r="BL1" s="113"/>
      <c r="BM1" s="113"/>
    </row>
    <row r="2" ht="45" customHeight="1">
      <c r="D2" s="39"/>
      <c r="M2" s="117" t="s">
        <v>407</v>
      </c>
      <c r="N2" s="117"/>
      <c r="O2" s="117"/>
      <c r="P2" s="117"/>
      <c r="Q2" s="117"/>
      <c r="R2" s="117"/>
      <c r="S2" s="117"/>
      <c r="T2" s="117"/>
      <c r="U2" s="117"/>
      <c r="V2" s="118" t="s">
        <v>408</v>
      </c>
      <c r="W2" s="118"/>
      <c r="X2" s="118"/>
      <c r="Y2" s="117" t="s">
        <v>409</v>
      </c>
      <c r="Z2" s="117"/>
      <c r="AA2" s="118" t="s">
        <v>410</v>
      </c>
      <c r="AB2" s="118"/>
      <c r="AC2" s="118"/>
      <c r="AD2" s="118"/>
      <c r="AE2" s="119" t="s">
        <v>411</v>
      </c>
      <c r="AF2" s="119"/>
      <c r="AG2" s="119"/>
      <c r="AH2" s="119"/>
      <c r="AI2" s="119"/>
      <c r="AJ2" s="119"/>
      <c r="AK2" s="119"/>
      <c r="AL2" s="120" t="s">
        <v>412</v>
      </c>
      <c r="AM2" s="120"/>
      <c r="AN2" s="120"/>
      <c r="AO2" s="119" t="s">
        <v>413</v>
      </c>
      <c r="AP2" s="119"/>
      <c r="AQ2" s="121"/>
      <c r="AR2" s="122" t="s">
        <v>410</v>
      </c>
      <c r="AS2" s="122"/>
      <c r="AT2" s="122"/>
      <c r="AU2" s="122"/>
      <c r="AV2" s="120" t="s">
        <v>414</v>
      </c>
      <c r="AW2" s="120"/>
      <c r="AX2" s="120"/>
      <c r="AY2" s="122" t="s">
        <v>415</v>
      </c>
      <c r="AZ2" s="122"/>
      <c r="BA2" s="122"/>
      <c r="BB2" s="122"/>
      <c r="BC2" s="122"/>
      <c r="BD2" s="122"/>
      <c r="BE2" s="122"/>
      <c r="BF2" s="123" t="s">
        <v>416</v>
      </c>
      <c r="BG2" s="123"/>
      <c r="BH2" s="123"/>
      <c r="BI2" s="124" t="s">
        <v>417</v>
      </c>
      <c r="BJ2" s="124" t="s">
        <v>418</v>
      </c>
      <c r="BK2" s="125" t="s">
        <v>419</v>
      </c>
      <c r="BL2" s="125" t="s">
        <v>420</v>
      </c>
      <c r="BM2" s="125" t="s">
        <v>421</v>
      </c>
    </row>
    <row r="3" ht="42.5" customHeight="1">
      <c r="D3" s="39"/>
      <c r="M3" s="126" t="s">
        <v>422</v>
      </c>
      <c r="N3" s="39"/>
      <c r="O3" s="39"/>
      <c r="P3" s="39"/>
      <c r="Q3" s="127" t="s">
        <v>423</v>
      </c>
      <c r="R3" s="127"/>
      <c r="S3" s="127"/>
      <c r="T3" s="127"/>
      <c r="U3" s="128" t="s">
        <v>424</v>
      </c>
      <c r="V3" s="129" t="s">
        <v>425</v>
      </c>
      <c r="W3" s="129" t="s">
        <v>426</v>
      </c>
      <c r="X3" s="130" t="s">
        <v>427</v>
      </c>
      <c r="Y3" s="98" t="s">
        <v>428</v>
      </c>
      <c r="Z3" s="12" t="s">
        <v>429</v>
      </c>
      <c r="AA3" s="39" t="s">
        <v>430</v>
      </c>
      <c r="AB3" s="39" t="s">
        <v>431</v>
      </c>
      <c r="AC3" s="39"/>
      <c r="AD3" s="39"/>
      <c r="AE3" s="39" t="s">
        <v>432</v>
      </c>
      <c r="AF3" s="39" t="s">
        <v>433</v>
      </c>
      <c r="AG3" s="39" t="s">
        <v>434</v>
      </c>
      <c r="AH3" s="39" t="s">
        <v>435</v>
      </c>
      <c r="AI3" s="39" t="s">
        <v>436</v>
      </c>
      <c r="AJ3" s="39" t="s">
        <v>437</v>
      </c>
      <c r="AK3" s="39" t="s">
        <v>438</v>
      </c>
      <c r="AL3" s="39" t="s">
        <v>439</v>
      </c>
      <c r="AM3" s="39" t="s">
        <v>440</v>
      </c>
      <c r="AN3" s="12" t="s">
        <v>441</v>
      </c>
      <c r="AO3" s="12" t="s">
        <v>442</v>
      </c>
      <c r="AP3" s="12" t="s">
        <v>443</v>
      </c>
      <c r="AQ3" s="39" t="s">
        <v>444</v>
      </c>
      <c r="AR3" s="111" t="s">
        <v>445</v>
      </c>
      <c r="AS3" s="111"/>
      <c r="AT3" s="111"/>
      <c r="AU3" s="111" t="s">
        <v>446</v>
      </c>
      <c r="AV3" s="39" t="s">
        <v>66</v>
      </c>
      <c r="AW3" s="39" t="s">
        <v>447</v>
      </c>
      <c r="AX3" s="39" t="s">
        <v>448</v>
      </c>
      <c r="AY3" s="39" t="s">
        <v>449</v>
      </c>
      <c r="AZ3" s="39" t="s">
        <v>450</v>
      </c>
      <c r="BA3" s="39" t="s">
        <v>451</v>
      </c>
      <c r="BB3" s="39" t="s">
        <v>452</v>
      </c>
      <c r="BC3" s="39" t="s">
        <v>453</v>
      </c>
      <c r="BD3" s="39" t="s">
        <v>454</v>
      </c>
      <c r="BE3" s="39" t="s">
        <v>455</v>
      </c>
      <c r="BF3" s="39" t="s">
        <v>456</v>
      </c>
      <c r="BG3" s="111" t="s">
        <v>457</v>
      </c>
      <c r="BH3" s="111" t="s">
        <v>458</v>
      </c>
    </row>
    <row r="4" ht="36" customHeight="1">
      <c r="B4" s="131" t="s">
        <v>459</v>
      </c>
      <c r="C4" s="132" t="s">
        <v>460</v>
      </c>
      <c r="D4" s="133" t="s">
        <v>461</v>
      </c>
      <c r="E4" s="132" t="s">
        <v>266</v>
      </c>
      <c r="F4" s="39" t="s">
        <v>462</v>
      </c>
      <c r="G4" s="131" t="s">
        <v>463</v>
      </c>
      <c r="H4" s="134" t="s">
        <v>464</v>
      </c>
      <c r="I4" s="134" t="s">
        <v>465</v>
      </c>
      <c r="J4" s="111" t="s">
        <v>466</v>
      </c>
      <c r="K4" s="133" t="s">
        <v>467</v>
      </c>
      <c r="L4" s="133" t="s">
        <v>12</v>
      </c>
      <c r="M4" s="126" t="s">
        <v>468</v>
      </c>
      <c r="N4" s="126" t="s">
        <v>469</v>
      </c>
      <c r="O4" s="135" t="s">
        <v>470</v>
      </c>
      <c r="P4" s="135" t="s">
        <v>471</v>
      </c>
      <c r="Q4" s="39" t="s">
        <v>472</v>
      </c>
      <c r="R4" s="39" t="s">
        <v>473</v>
      </c>
      <c r="S4" s="111" t="s">
        <v>474</v>
      </c>
      <c r="T4" s="111" t="s">
        <v>475</v>
      </c>
      <c r="V4" s="129"/>
      <c r="AB4" s="39" t="s">
        <v>476</v>
      </c>
      <c r="AC4" s="39" t="s">
        <v>474</v>
      </c>
      <c r="AD4" s="111" t="s">
        <v>477</v>
      </c>
      <c r="AR4" s="39" t="s">
        <v>478</v>
      </c>
      <c r="AS4" s="39" t="s">
        <v>479</v>
      </c>
      <c r="AT4" s="39" t="s">
        <v>480</v>
      </c>
    </row>
    <row r="5" s="136" customFormat="1" ht="105" customHeight="1">
      <c r="A5" s="137" t="s">
        <v>481</v>
      </c>
      <c r="B5" s="136" t="s">
        <v>482</v>
      </c>
      <c r="C5" s="136" t="s">
        <v>15</v>
      </c>
      <c r="D5" s="138" t="s">
        <v>483</v>
      </c>
      <c r="E5" s="139" t="s">
        <v>484</v>
      </c>
      <c r="F5" s="111" t="s">
        <v>485</v>
      </c>
      <c r="G5" s="139" t="s">
        <v>486</v>
      </c>
      <c r="H5" s="140"/>
      <c r="I5" s="140"/>
      <c r="J5" s="111" t="s">
        <v>487</v>
      </c>
      <c r="K5" s="141">
        <v>2</v>
      </c>
      <c r="L5" s="136" t="s">
        <v>447</v>
      </c>
      <c r="M5" s="136">
        <v>0</v>
      </c>
      <c r="N5" s="136">
        <v>0</v>
      </c>
      <c r="O5" s="136">
        <v>0</v>
      </c>
      <c r="P5" s="142">
        <v>0</v>
      </c>
      <c r="Q5" s="136">
        <v>1</v>
      </c>
      <c r="R5" s="136">
        <v>0</v>
      </c>
      <c r="S5" s="136">
        <v>1</v>
      </c>
      <c r="T5" s="142">
        <v>1</v>
      </c>
      <c r="U5" s="136">
        <v>1</v>
      </c>
      <c r="V5" s="136">
        <v>1</v>
      </c>
      <c r="W5" s="136">
        <v>0</v>
      </c>
      <c r="X5" s="136">
        <v>0</v>
      </c>
      <c r="Y5" s="136">
        <v>1</v>
      </c>
      <c r="Z5" s="136">
        <v>0</v>
      </c>
      <c r="AA5" s="136">
        <v>0</v>
      </c>
      <c r="AB5" s="136">
        <v>1</v>
      </c>
      <c r="AC5" s="136">
        <v>1</v>
      </c>
      <c r="AD5" s="136">
        <v>0</v>
      </c>
      <c r="AE5" s="136">
        <v>1</v>
      </c>
      <c r="AF5" s="136">
        <v>1</v>
      </c>
      <c r="AG5" s="136">
        <v>0</v>
      </c>
      <c r="AH5" s="136">
        <v>0</v>
      </c>
      <c r="AI5" s="136">
        <v>0</v>
      </c>
      <c r="AJ5" s="136">
        <v>1</v>
      </c>
      <c r="AK5" s="136">
        <v>1</v>
      </c>
      <c r="AL5" s="136">
        <v>1</v>
      </c>
      <c r="AM5" s="136">
        <v>1</v>
      </c>
      <c r="AN5" s="136">
        <v>0</v>
      </c>
      <c r="AO5" s="136">
        <v>0</v>
      </c>
      <c r="AP5" s="136">
        <v>1</v>
      </c>
      <c r="AQ5" s="136">
        <v>1</v>
      </c>
      <c r="AR5" s="136">
        <v>0</v>
      </c>
      <c r="AS5" s="136">
        <v>1</v>
      </c>
      <c r="AT5" s="136">
        <v>0</v>
      </c>
      <c r="AU5" s="136">
        <v>1</v>
      </c>
      <c r="AV5" s="136">
        <v>0</v>
      </c>
      <c r="AW5" s="136">
        <v>1</v>
      </c>
      <c r="AX5" s="136">
        <v>0</v>
      </c>
      <c r="AY5" s="136">
        <v>0</v>
      </c>
      <c r="AZ5" s="136">
        <v>0</v>
      </c>
      <c r="BA5" s="136">
        <v>0</v>
      </c>
      <c r="BB5" s="136">
        <v>1</v>
      </c>
      <c r="BC5" s="136">
        <v>1</v>
      </c>
      <c r="BD5" s="136">
        <v>0</v>
      </c>
      <c r="BE5" s="136">
        <v>0</v>
      </c>
      <c r="BF5" s="136">
        <v>0</v>
      </c>
      <c r="BG5" s="136">
        <v>1</v>
      </c>
      <c r="BH5" s="136">
        <v>0</v>
      </c>
      <c r="BI5" s="136">
        <v>0</v>
      </c>
      <c r="BJ5" s="136">
        <v>0</v>
      </c>
    </row>
    <row r="6" s="143" customFormat="1" ht="14.25" hidden="1" customHeight="1">
      <c r="A6" s="144"/>
      <c r="B6" s="143"/>
      <c r="C6" s="143"/>
      <c r="D6" s="144"/>
      <c r="E6" s="141" t="s">
        <v>488</v>
      </c>
      <c r="F6" s="145" t="s">
        <v>489</v>
      </c>
      <c r="G6" s="141"/>
      <c r="H6" s="141"/>
      <c r="I6" s="141"/>
      <c r="J6" s="145"/>
      <c r="K6" s="144"/>
      <c r="L6" s="143" t="s">
        <v>66</v>
      </c>
      <c r="M6" s="143">
        <v>0</v>
      </c>
      <c r="N6" s="143">
        <v>0</v>
      </c>
      <c r="O6" s="143">
        <v>0</v>
      </c>
      <c r="P6" s="142">
        <v>0</v>
      </c>
      <c r="Q6" s="143">
        <v>0</v>
      </c>
      <c r="R6" s="143">
        <v>0</v>
      </c>
      <c r="S6" s="143">
        <v>0</v>
      </c>
      <c r="T6" s="142">
        <v>0</v>
      </c>
      <c r="U6" s="143">
        <v>0</v>
      </c>
      <c r="V6" s="143">
        <v>0</v>
      </c>
      <c r="W6" s="143">
        <v>0</v>
      </c>
      <c r="X6" s="143">
        <v>0</v>
      </c>
      <c r="Y6" s="143">
        <v>0</v>
      </c>
      <c r="Z6" s="143">
        <v>0</v>
      </c>
      <c r="AA6" s="143">
        <v>0</v>
      </c>
      <c r="AB6" s="143">
        <v>0</v>
      </c>
      <c r="AC6" s="143">
        <v>0</v>
      </c>
      <c r="AD6" s="143">
        <v>0</v>
      </c>
      <c r="AE6" s="143">
        <v>0</v>
      </c>
      <c r="AF6" s="143">
        <v>0</v>
      </c>
      <c r="AG6" s="143">
        <v>0</v>
      </c>
      <c r="AH6" s="143">
        <v>0</v>
      </c>
      <c r="AI6" s="143">
        <v>0</v>
      </c>
      <c r="AJ6" s="143">
        <v>0</v>
      </c>
      <c r="AK6" s="143">
        <v>0</v>
      </c>
      <c r="AL6" s="143">
        <v>0</v>
      </c>
      <c r="AM6" s="143">
        <v>0</v>
      </c>
      <c r="AN6" s="136">
        <v>0</v>
      </c>
      <c r="AO6" s="143">
        <v>0</v>
      </c>
      <c r="AP6" s="143">
        <v>0</v>
      </c>
      <c r="AQ6" s="143">
        <v>1</v>
      </c>
      <c r="AR6" s="143">
        <v>0</v>
      </c>
      <c r="AS6" s="143">
        <v>1</v>
      </c>
      <c r="AT6" s="143">
        <v>0</v>
      </c>
      <c r="AU6" s="143">
        <v>0</v>
      </c>
      <c r="AV6" s="143">
        <v>1</v>
      </c>
      <c r="AW6" s="143">
        <v>0</v>
      </c>
      <c r="AX6" s="143">
        <v>0</v>
      </c>
      <c r="AY6" s="143">
        <v>0</v>
      </c>
      <c r="AZ6" s="143">
        <v>0</v>
      </c>
      <c r="BA6" s="143">
        <v>0</v>
      </c>
      <c r="BB6" s="143">
        <v>0</v>
      </c>
      <c r="BC6" s="143">
        <v>0</v>
      </c>
      <c r="BD6" s="143">
        <v>0</v>
      </c>
      <c r="BE6" s="143">
        <v>0</v>
      </c>
      <c r="BF6" s="143">
        <v>1</v>
      </c>
      <c r="BG6" s="143">
        <v>0</v>
      </c>
      <c r="BH6" s="143">
        <v>0</v>
      </c>
      <c r="BI6" s="143">
        <v>1</v>
      </c>
      <c r="BJ6" s="143">
        <v>0</v>
      </c>
    </row>
    <row r="7" s="136" customFormat="1" ht="28.5" customHeight="1">
      <c r="A7" s="137" t="s">
        <v>481</v>
      </c>
      <c r="B7" s="136" t="s">
        <v>482</v>
      </c>
      <c r="C7" s="146" t="s">
        <v>29</v>
      </c>
      <c r="D7" s="147" t="s">
        <v>483</v>
      </c>
      <c r="E7" s="148" t="s">
        <v>490</v>
      </c>
      <c r="F7" s="111" t="s">
        <v>491</v>
      </c>
      <c r="G7" s="148" t="s">
        <v>486</v>
      </c>
      <c r="H7" s="149"/>
      <c r="I7" s="149"/>
      <c r="J7" s="111"/>
      <c r="K7" s="150">
        <v>3</v>
      </c>
      <c r="L7" s="136" t="s">
        <v>492</v>
      </c>
      <c r="M7" s="136">
        <v>0</v>
      </c>
      <c r="N7" s="136">
        <v>0</v>
      </c>
      <c r="O7" s="136">
        <v>0</v>
      </c>
      <c r="P7" s="142">
        <v>0</v>
      </c>
      <c r="Q7" s="136">
        <v>1</v>
      </c>
      <c r="R7" s="136">
        <v>0</v>
      </c>
      <c r="S7" s="136">
        <v>1</v>
      </c>
      <c r="T7" s="142">
        <v>1</v>
      </c>
      <c r="U7" s="136">
        <v>0</v>
      </c>
      <c r="V7" s="136">
        <v>1</v>
      </c>
      <c r="W7" s="136">
        <v>0</v>
      </c>
      <c r="X7" s="136">
        <v>0</v>
      </c>
      <c r="Y7" s="136">
        <v>1</v>
      </c>
      <c r="Z7" s="136">
        <v>0</v>
      </c>
      <c r="AA7" s="136">
        <v>0</v>
      </c>
      <c r="AB7" s="136">
        <v>1</v>
      </c>
      <c r="AC7" s="136">
        <v>1</v>
      </c>
      <c r="AD7" s="136">
        <v>0</v>
      </c>
      <c r="AE7" s="136">
        <v>1</v>
      </c>
      <c r="AF7" s="136">
        <v>1</v>
      </c>
      <c r="AG7" s="136">
        <v>1</v>
      </c>
      <c r="AH7" s="136">
        <v>1</v>
      </c>
      <c r="AI7" s="136">
        <v>1</v>
      </c>
      <c r="AJ7" s="136">
        <v>0</v>
      </c>
      <c r="AK7" s="136">
        <v>0</v>
      </c>
      <c r="AL7" s="136">
        <v>1</v>
      </c>
      <c r="AM7" s="136">
        <v>1</v>
      </c>
      <c r="AN7" s="136">
        <v>1</v>
      </c>
      <c r="AO7" s="136">
        <v>0</v>
      </c>
      <c r="AP7" s="136">
        <v>1</v>
      </c>
      <c r="AQ7" s="136">
        <v>1</v>
      </c>
      <c r="AR7" s="136">
        <v>0</v>
      </c>
      <c r="AS7" s="136">
        <v>0</v>
      </c>
      <c r="AT7" s="136">
        <v>0</v>
      </c>
      <c r="AU7" s="136">
        <v>1</v>
      </c>
      <c r="AV7" s="136">
        <v>0</v>
      </c>
      <c r="AW7" s="136">
        <v>1</v>
      </c>
      <c r="AX7" s="136">
        <v>0</v>
      </c>
      <c r="AY7" s="136">
        <v>0</v>
      </c>
      <c r="AZ7" s="136">
        <v>0</v>
      </c>
      <c r="BA7" s="136">
        <v>0</v>
      </c>
      <c r="BB7" s="136">
        <v>1</v>
      </c>
      <c r="BC7" s="136">
        <v>0</v>
      </c>
      <c r="BD7" s="136">
        <v>1</v>
      </c>
      <c r="BE7" s="136">
        <v>0</v>
      </c>
      <c r="BF7" s="136">
        <v>0</v>
      </c>
      <c r="BG7" s="136">
        <v>0</v>
      </c>
      <c r="BH7" s="136">
        <v>0</v>
      </c>
      <c r="BI7" s="136">
        <v>0</v>
      </c>
      <c r="BJ7" s="136">
        <v>0</v>
      </c>
    </row>
    <row r="8" s="136" customFormat="1" ht="28.5" hidden="1" customHeight="1">
      <c r="A8" s="39"/>
      <c r="D8" s="151"/>
      <c r="E8" s="148" t="s">
        <v>493</v>
      </c>
      <c r="F8" s="111" t="s">
        <v>494</v>
      </c>
      <c r="G8" s="148" t="s">
        <v>486</v>
      </c>
      <c r="H8" s="148"/>
      <c r="I8" s="148"/>
      <c r="J8" s="111"/>
      <c r="L8" s="136" t="s">
        <v>492</v>
      </c>
      <c r="M8" s="136">
        <v>0</v>
      </c>
      <c r="N8" s="136">
        <v>0</v>
      </c>
      <c r="O8" s="136">
        <v>0</v>
      </c>
      <c r="P8" s="142">
        <v>0</v>
      </c>
      <c r="Q8" s="136">
        <v>1</v>
      </c>
      <c r="R8" s="136">
        <v>0</v>
      </c>
      <c r="S8" s="136">
        <v>1</v>
      </c>
      <c r="T8" s="142">
        <v>1</v>
      </c>
      <c r="U8" s="136">
        <v>0</v>
      </c>
      <c r="V8" s="136">
        <v>1</v>
      </c>
      <c r="W8" s="136">
        <v>0</v>
      </c>
      <c r="X8" s="136">
        <v>0</v>
      </c>
      <c r="Y8" s="136">
        <v>1</v>
      </c>
      <c r="Z8" s="136">
        <v>0</v>
      </c>
      <c r="AA8" s="136">
        <v>0</v>
      </c>
      <c r="AB8" s="136">
        <v>1</v>
      </c>
      <c r="AC8" s="136">
        <v>1</v>
      </c>
      <c r="AD8" s="136">
        <v>0</v>
      </c>
      <c r="AE8" s="136">
        <v>1</v>
      </c>
      <c r="AF8" s="136">
        <v>1</v>
      </c>
      <c r="AG8" s="136">
        <v>1</v>
      </c>
      <c r="AH8" s="136">
        <v>1</v>
      </c>
      <c r="AI8" s="136">
        <v>0</v>
      </c>
      <c r="AJ8" s="136">
        <v>0</v>
      </c>
      <c r="AK8" s="136">
        <v>0</v>
      </c>
      <c r="AL8" s="136">
        <v>1</v>
      </c>
      <c r="AM8" s="136">
        <v>1</v>
      </c>
      <c r="AN8" s="136">
        <v>0</v>
      </c>
      <c r="AO8" s="136">
        <v>0</v>
      </c>
      <c r="AP8" s="136">
        <v>1</v>
      </c>
      <c r="AQ8" s="136">
        <v>1</v>
      </c>
      <c r="AR8" s="136">
        <v>0</v>
      </c>
      <c r="AS8" s="136">
        <v>0</v>
      </c>
      <c r="AT8" s="136">
        <v>0</v>
      </c>
      <c r="AU8" s="136">
        <v>1</v>
      </c>
      <c r="AV8" s="136">
        <v>0</v>
      </c>
      <c r="AW8" s="136">
        <v>1</v>
      </c>
      <c r="AX8" s="136">
        <v>0</v>
      </c>
      <c r="AY8" s="136">
        <v>0</v>
      </c>
      <c r="AZ8" s="136">
        <v>0</v>
      </c>
      <c r="BA8" s="136">
        <v>0</v>
      </c>
      <c r="BB8" s="136">
        <v>1</v>
      </c>
      <c r="BC8" s="136">
        <v>0</v>
      </c>
      <c r="BD8" s="136">
        <v>1</v>
      </c>
      <c r="BE8" s="136">
        <v>0</v>
      </c>
      <c r="BF8" s="136">
        <v>0</v>
      </c>
      <c r="BG8" s="136">
        <v>0</v>
      </c>
      <c r="BH8" s="136">
        <v>0</v>
      </c>
      <c r="BI8" s="136">
        <v>0</v>
      </c>
      <c r="BJ8" s="136">
        <v>0</v>
      </c>
    </row>
    <row r="9" s="136" customFormat="1" ht="28.399999999999999" hidden="1" customHeight="1">
      <c r="B9" s="143"/>
      <c r="D9" s="151"/>
      <c r="E9" s="148" t="s">
        <v>495</v>
      </c>
      <c r="F9" s="111" t="s">
        <v>496</v>
      </c>
      <c r="G9" s="152" t="s">
        <v>486</v>
      </c>
      <c r="H9" s="148"/>
      <c r="I9" s="148"/>
      <c r="J9" s="111"/>
      <c r="L9" s="136" t="s">
        <v>492</v>
      </c>
      <c r="M9" s="136">
        <v>0</v>
      </c>
      <c r="N9" s="136">
        <v>0</v>
      </c>
      <c r="O9" s="136">
        <v>0</v>
      </c>
      <c r="P9" s="142">
        <v>0</v>
      </c>
      <c r="Q9" s="136">
        <v>1</v>
      </c>
      <c r="R9" s="136">
        <v>0</v>
      </c>
      <c r="S9" s="136">
        <v>0</v>
      </c>
      <c r="T9" s="142">
        <v>1</v>
      </c>
      <c r="U9" s="136">
        <v>0</v>
      </c>
      <c r="V9" s="136">
        <v>1</v>
      </c>
      <c r="W9" s="136">
        <v>0</v>
      </c>
      <c r="X9" s="136">
        <v>0</v>
      </c>
      <c r="Y9" s="136">
        <v>1</v>
      </c>
      <c r="Z9" s="136">
        <v>0</v>
      </c>
      <c r="AA9" s="136">
        <v>0</v>
      </c>
      <c r="AB9" s="136">
        <v>1</v>
      </c>
      <c r="AC9" s="136">
        <v>0</v>
      </c>
      <c r="AD9" s="136">
        <v>0</v>
      </c>
      <c r="AE9" s="136">
        <v>0</v>
      </c>
      <c r="AF9" s="136">
        <v>0</v>
      </c>
      <c r="AG9" s="136">
        <v>1</v>
      </c>
      <c r="AH9" s="136">
        <v>1</v>
      </c>
      <c r="AI9" s="136">
        <v>0</v>
      </c>
      <c r="AJ9" s="136">
        <v>0</v>
      </c>
      <c r="AK9" s="136">
        <v>0</v>
      </c>
      <c r="AL9" s="136">
        <v>1</v>
      </c>
      <c r="AM9" s="136">
        <v>1</v>
      </c>
      <c r="AN9" s="136">
        <v>0</v>
      </c>
      <c r="AO9" s="136">
        <v>1</v>
      </c>
      <c r="AP9" s="136">
        <v>0</v>
      </c>
      <c r="AQ9" s="136">
        <v>0</v>
      </c>
      <c r="AR9" s="136">
        <v>0</v>
      </c>
      <c r="AS9" s="136">
        <v>0</v>
      </c>
      <c r="AT9" s="136">
        <v>0</v>
      </c>
      <c r="AU9" s="136">
        <v>0</v>
      </c>
      <c r="AV9" s="136">
        <v>0</v>
      </c>
      <c r="AW9" s="136">
        <v>0</v>
      </c>
      <c r="AX9" s="136">
        <v>0</v>
      </c>
      <c r="AY9" s="136">
        <v>0</v>
      </c>
      <c r="AZ9" s="136">
        <v>0</v>
      </c>
      <c r="BA9" s="136">
        <v>0</v>
      </c>
      <c r="BB9" s="136">
        <v>0</v>
      </c>
      <c r="BC9" s="136">
        <v>0</v>
      </c>
      <c r="BD9" s="136">
        <v>0</v>
      </c>
      <c r="BE9" s="136">
        <v>0</v>
      </c>
      <c r="BF9" s="136">
        <v>0</v>
      </c>
      <c r="BG9" s="136">
        <v>0</v>
      </c>
      <c r="BH9" s="136">
        <v>0</v>
      </c>
      <c r="BI9" s="136">
        <v>0</v>
      </c>
      <c r="BJ9" s="136">
        <v>0</v>
      </c>
    </row>
    <row r="10" s="153" customFormat="1" ht="28.399999999999999" customHeight="1">
      <c r="A10" s="137" t="s">
        <v>481</v>
      </c>
      <c r="B10" s="153" t="s">
        <v>482</v>
      </c>
      <c r="C10" s="153" t="s">
        <v>30</v>
      </c>
      <c r="D10" s="154" t="s">
        <v>24</v>
      </c>
      <c r="E10" s="155" t="s">
        <v>277</v>
      </c>
      <c r="F10" s="156" t="s">
        <v>497</v>
      </c>
      <c r="G10" s="155" t="s">
        <v>498</v>
      </c>
      <c r="H10" s="157"/>
      <c r="I10" s="157"/>
      <c r="J10" s="156" t="s">
        <v>499</v>
      </c>
      <c r="K10" s="155">
        <v>1</v>
      </c>
      <c r="L10" s="153" t="s">
        <v>279</v>
      </c>
      <c r="M10" s="153">
        <v>0</v>
      </c>
      <c r="N10" s="153">
        <v>0</v>
      </c>
      <c r="O10" s="153">
        <v>1</v>
      </c>
      <c r="P10" s="142">
        <v>1</v>
      </c>
      <c r="Q10" s="153">
        <v>0</v>
      </c>
      <c r="R10" s="153">
        <v>0</v>
      </c>
      <c r="S10" s="153">
        <v>0</v>
      </c>
      <c r="T10" s="142">
        <v>0</v>
      </c>
      <c r="U10" s="153">
        <v>0</v>
      </c>
      <c r="V10" s="153">
        <v>1</v>
      </c>
      <c r="W10" s="153">
        <v>0</v>
      </c>
      <c r="X10" s="153">
        <v>1</v>
      </c>
      <c r="Y10" s="153">
        <v>0</v>
      </c>
      <c r="Z10" s="153">
        <v>1</v>
      </c>
      <c r="AA10" s="153">
        <v>1</v>
      </c>
      <c r="AB10" s="153">
        <v>0</v>
      </c>
      <c r="AC10" s="153">
        <v>0</v>
      </c>
      <c r="AD10" s="153">
        <v>0</v>
      </c>
      <c r="AE10" s="153">
        <v>0</v>
      </c>
      <c r="AF10" s="153">
        <v>0</v>
      </c>
      <c r="AG10" s="153">
        <v>0</v>
      </c>
      <c r="AH10" s="153">
        <v>0</v>
      </c>
      <c r="AI10" s="153">
        <v>1</v>
      </c>
      <c r="AJ10" s="153">
        <v>1</v>
      </c>
      <c r="AK10" s="153">
        <v>0</v>
      </c>
      <c r="AL10" s="153">
        <v>1</v>
      </c>
      <c r="AM10" s="153">
        <v>1</v>
      </c>
      <c r="AN10" s="136">
        <v>0</v>
      </c>
      <c r="AO10" s="153">
        <v>1</v>
      </c>
      <c r="AP10" s="153">
        <v>0</v>
      </c>
      <c r="AQ10" s="153">
        <v>0</v>
      </c>
      <c r="AR10" s="153">
        <v>0</v>
      </c>
      <c r="AS10" s="153">
        <v>0</v>
      </c>
      <c r="AT10" s="153">
        <v>0</v>
      </c>
      <c r="AU10" s="153">
        <v>0</v>
      </c>
      <c r="AV10" s="153">
        <v>0</v>
      </c>
      <c r="AW10" s="153">
        <v>0</v>
      </c>
      <c r="AX10" s="153">
        <v>0</v>
      </c>
      <c r="AY10" s="153">
        <v>0</v>
      </c>
      <c r="AZ10" s="153">
        <v>0</v>
      </c>
      <c r="BA10" s="153">
        <v>0</v>
      </c>
      <c r="BB10" s="153">
        <v>0</v>
      </c>
      <c r="BC10" s="153">
        <v>0</v>
      </c>
      <c r="BD10" s="153">
        <v>0</v>
      </c>
      <c r="BE10" s="153">
        <v>0</v>
      </c>
      <c r="BF10" s="153">
        <v>0</v>
      </c>
      <c r="BG10" s="153">
        <v>0</v>
      </c>
      <c r="BH10" s="153">
        <v>0</v>
      </c>
      <c r="BI10" s="153">
        <v>0</v>
      </c>
      <c r="BJ10" s="153">
        <v>0</v>
      </c>
    </row>
    <row r="11" s="136" customFormat="1" ht="28.5" customHeight="1">
      <c r="A11" s="137" t="s">
        <v>481</v>
      </c>
      <c r="B11" s="146" t="s">
        <v>482</v>
      </c>
      <c r="C11" s="153" t="s">
        <v>35</v>
      </c>
      <c r="D11" s="154" t="s">
        <v>24</v>
      </c>
      <c r="E11" s="148" t="s">
        <v>500</v>
      </c>
      <c r="F11" s="111" t="s">
        <v>491</v>
      </c>
      <c r="G11" s="158" t="s">
        <v>486</v>
      </c>
      <c r="H11" s="159"/>
      <c r="I11" s="159"/>
      <c r="J11" s="111"/>
      <c r="K11" s="150">
        <v>2</v>
      </c>
      <c r="L11" s="136" t="s">
        <v>492</v>
      </c>
      <c r="M11" s="136">
        <v>0</v>
      </c>
      <c r="N11" s="136">
        <v>0</v>
      </c>
      <c r="O11" s="136">
        <v>0</v>
      </c>
      <c r="P11" s="142">
        <v>0</v>
      </c>
      <c r="Q11" s="136">
        <v>1</v>
      </c>
      <c r="R11" s="136">
        <v>0</v>
      </c>
      <c r="S11" s="136">
        <v>0</v>
      </c>
      <c r="T11" s="142">
        <v>1</v>
      </c>
      <c r="U11" s="136">
        <v>0</v>
      </c>
      <c r="V11" s="136">
        <v>1</v>
      </c>
      <c r="W11" s="136">
        <v>0</v>
      </c>
      <c r="X11" s="136">
        <v>0</v>
      </c>
      <c r="Y11" s="136">
        <v>1</v>
      </c>
      <c r="Z11" s="136">
        <v>0</v>
      </c>
      <c r="AA11" s="136">
        <v>0</v>
      </c>
      <c r="AB11" s="136">
        <v>1</v>
      </c>
      <c r="AC11" s="136">
        <v>0</v>
      </c>
      <c r="AD11" s="136">
        <v>0</v>
      </c>
      <c r="AE11" s="136">
        <v>1</v>
      </c>
      <c r="AF11" s="136">
        <v>1</v>
      </c>
      <c r="AG11" s="136">
        <v>1</v>
      </c>
      <c r="AH11" s="136">
        <v>1</v>
      </c>
      <c r="AI11" s="136">
        <v>0</v>
      </c>
      <c r="AJ11" s="136">
        <v>0</v>
      </c>
      <c r="AK11" s="136">
        <v>0</v>
      </c>
      <c r="AL11" s="136">
        <v>1</v>
      </c>
      <c r="AM11" s="136">
        <v>1</v>
      </c>
      <c r="AN11" s="136">
        <v>0</v>
      </c>
      <c r="AO11" s="136">
        <v>1</v>
      </c>
      <c r="AP11" s="136">
        <v>0</v>
      </c>
      <c r="AQ11" s="136">
        <v>1</v>
      </c>
      <c r="AR11" s="136">
        <v>0</v>
      </c>
      <c r="AS11" s="136">
        <v>1</v>
      </c>
      <c r="AT11" s="136">
        <v>0</v>
      </c>
      <c r="AU11" s="136">
        <v>0</v>
      </c>
      <c r="AV11" s="136">
        <v>0</v>
      </c>
      <c r="AW11" s="136">
        <v>0</v>
      </c>
      <c r="AX11" s="136">
        <v>1</v>
      </c>
      <c r="AY11" s="136">
        <v>0</v>
      </c>
      <c r="AZ11" s="136">
        <v>0</v>
      </c>
      <c r="BA11" s="136">
        <v>0</v>
      </c>
      <c r="BB11" s="136">
        <v>0</v>
      </c>
      <c r="BC11" s="136">
        <v>0</v>
      </c>
      <c r="BD11" s="136">
        <v>0</v>
      </c>
      <c r="BE11" s="136">
        <v>1</v>
      </c>
      <c r="BF11" s="136">
        <v>0</v>
      </c>
      <c r="BG11" s="136">
        <v>0</v>
      </c>
      <c r="BH11" s="136">
        <v>0</v>
      </c>
      <c r="BI11" s="136">
        <v>0</v>
      </c>
      <c r="BJ11" s="136">
        <v>0</v>
      </c>
    </row>
    <row r="12" s="143" customFormat="1" ht="28.5" hidden="1" customHeight="1">
      <c r="A12" s="144"/>
      <c r="B12" s="160"/>
      <c r="C12" s="144"/>
      <c r="D12" s="144"/>
      <c r="E12" s="152" t="s">
        <v>501</v>
      </c>
      <c r="F12" s="145" t="s">
        <v>502</v>
      </c>
      <c r="G12" s="161"/>
      <c r="H12" s="161"/>
      <c r="I12" s="161"/>
      <c r="J12" s="145"/>
      <c r="K12" s="141"/>
      <c r="L12" s="143" t="s">
        <v>492</v>
      </c>
      <c r="M12" s="143">
        <v>1</v>
      </c>
      <c r="N12" s="143">
        <v>0</v>
      </c>
      <c r="O12" s="143">
        <v>0</v>
      </c>
      <c r="P12" s="162">
        <v>1</v>
      </c>
      <c r="Q12" s="143">
        <v>0</v>
      </c>
      <c r="R12" s="143">
        <v>0</v>
      </c>
      <c r="S12" s="143">
        <v>0</v>
      </c>
      <c r="T12" s="162">
        <v>0</v>
      </c>
      <c r="U12" s="143">
        <v>0</v>
      </c>
      <c r="V12" s="143">
        <v>1</v>
      </c>
      <c r="W12" s="143">
        <v>0</v>
      </c>
      <c r="X12" s="143">
        <v>0</v>
      </c>
      <c r="Y12" s="143">
        <v>0</v>
      </c>
      <c r="Z12" s="143">
        <v>1</v>
      </c>
      <c r="AA12" s="143">
        <v>0</v>
      </c>
      <c r="AB12" s="143">
        <v>0</v>
      </c>
      <c r="AC12" s="143">
        <v>1</v>
      </c>
      <c r="AD12" s="143">
        <v>0</v>
      </c>
      <c r="AE12" s="143">
        <v>1</v>
      </c>
      <c r="AF12" s="143">
        <v>0</v>
      </c>
      <c r="AG12" s="143">
        <v>0</v>
      </c>
      <c r="AH12" s="143">
        <v>1</v>
      </c>
      <c r="AI12" s="143">
        <v>0</v>
      </c>
      <c r="AJ12" s="143">
        <v>0</v>
      </c>
      <c r="AK12" s="143">
        <v>0</v>
      </c>
      <c r="AL12" s="143">
        <v>1</v>
      </c>
      <c r="AM12" s="143">
        <v>1</v>
      </c>
      <c r="AN12" s="143">
        <v>0</v>
      </c>
      <c r="AO12" s="143">
        <v>1</v>
      </c>
      <c r="AP12" s="143">
        <v>0</v>
      </c>
      <c r="AQ12" s="143">
        <v>1</v>
      </c>
      <c r="AR12" s="143">
        <v>0</v>
      </c>
      <c r="AS12" s="143">
        <v>1</v>
      </c>
      <c r="AT12" s="143">
        <v>0</v>
      </c>
      <c r="AU12" s="143">
        <v>0</v>
      </c>
      <c r="AV12" s="143">
        <v>0</v>
      </c>
      <c r="AW12" s="143">
        <v>1</v>
      </c>
      <c r="AX12" s="143">
        <v>0</v>
      </c>
      <c r="AY12" s="143">
        <v>0</v>
      </c>
      <c r="AZ12" s="143">
        <v>0</v>
      </c>
      <c r="BA12" s="143">
        <v>1</v>
      </c>
      <c r="BB12" s="143">
        <v>0</v>
      </c>
      <c r="BC12" s="143">
        <v>0</v>
      </c>
      <c r="BD12" s="143">
        <v>0</v>
      </c>
      <c r="BE12" s="143">
        <v>0</v>
      </c>
      <c r="BF12" s="143">
        <v>0</v>
      </c>
      <c r="BG12" s="143">
        <v>1</v>
      </c>
      <c r="BH12" s="143">
        <v>0</v>
      </c>
      <c r="BI12" s="143">
        <v>0</v>
      </c>
      <c r="BJ12" s="143">
        <v>0</v>
      </c>
    </row>
    <row r="13" s="136" customFormat="1" ht="14.25" customHeight="1">
      <c r="A13" s="137" t="s">
        <v>481</v>
      </c>
      <c r="B13" s="163" t="s">
        <v>482</v>
      </c>
      <c r="C13" s="164" t="s">
        <v>40</v>
      </c>
      <c r="D13" s="165" t="s">
        <v>24</v>
      </c>
      <c r="E13" s="166" t="s">
        <v>503</v>
      </c>
      <c r="F13" s="167" t="s">
        <v>504</v>
      </c>
      <c r="G13" s="168" t="s">
        <v>486</v>
      </c>
      <c r="H13" s="169"/>
      <c r="I13" s="169"/>
      <c r="J13" s="167"/>
      <c r="K13" s="155">
        <v>5</v>
      </c>
      <c r="L13" s="136" t="s">
        <v>66</v>
      </c>
      <c r="M13" s="136">
        <v>1</v>
      </c>
      <c r="P13" s="136">
        <v>1</v>
      </c>
      <c r="V13" s="136">
        <v>1</v>
      </c>
      <c r="Z13" s="136">
        <v>1</v>
      </c>
      <c r="AA13" s="136">
        <v>1</v>
      </c>
      <c r="AE13" s="136">
        <v>1</v>
      </c>
      <c r="AJ13" s="136">
        <v>1</v>
      </c>
      <c r="AL13" s="136">
        <v>1</v>
      </c>
      <c r="AO13" s="136">
        <v>1</v>
      </c>
      <c r="BI13" s="136">
        <v>1</v>
      </c>
    </row>
    <row r="14" s="136" customFormat="1" ht="14.25" hidden="1" customHeight="1">
      <c r="B14" s="146"/>
      <c r="C14" s="136"/>
      <c r="E14" s="166" t="s">
        <v>505</v>
      </c>
      <c r="F14" s="170" t="s">
        <v>506</v>
      </c>
      <c r="G14" s="168"/>
      <c r="H14" s="168"/>
      <c r="I14" s="168"/>
      <c r="J14" s="170"/>
      <c r="L14" s="171" t="s">
        <v>66</v>
      </c>
      <c r="M14" s="136">
        <v>1</v>
      </c>
      <c r="N14" s="136">
        <v>0</v>
      </c>
      <c r="O14" s="136">
        <v>0</v>
      </c>
      <c r="P14" s="142">
        <v>1</v>
      </c>
      <c r="Q14" s="136">
        <v>0</v>
      </c>
      <c r="R14" s="136">
        <v>0</v>
      </c>
      <c r="S14" s="136">
        <v>0</v>
      </c>
      <c r="T14" s="142">
        <v>0</v>
      </c>
      <c r="U14" s="136">
        <v>0</v>
      </c>
      <c r="V14" s="136">
        <v>1</v>
      </c>
      <c r="W14" s="136">
        <v>0</v>
      </c>
      <c r="X14" s="136">
        <v>1</v>
      </c>
      <c r="Y14" s="136">
        <v>0</v>
      </c>
      <c r="Z14" s="136">
        <v>1</v>
      </c>
      <c r="AA14" s="136">
        <v>1</v>
      </c>
      <c r="AB14" s="136">
        <v>0</v>
      </c>
      <c r="AC14" s="136">
        <v>0</v>
      </c>
      <c r="AD14" s="136">
        <v>0</v>
      </c>
      <c r="AE14" s="136">
        <v>0</v>
      </c>
      <c r="AF14" s="136">
        <v>0</v>
      </c>
      <c r="AG14" s="136">
        <v>1</v>
      </c>
      <c r="AH14" s="136">
        <v>1</v>
      </c>
      <c r="AI14" s="136">
        <v>0</v>
      </c>
      <c r="AJ14" s="136">
        <v>0</v>
      </c>
      <c r="AK14" s="136">
        <v>0</v>
      </c>
      <c r="AL14" s="136">
        <v>1</v>
      </c>
      <c r="AM14" s="136">
        <v>0</v>
      </c>
      <c r="AN14" s="136">
        <v>0</v>
      </c>
      <c r="AO14" s="136">
        <v>0</v>
      </c>
      <c r="AP14" s="136">
        <v>1</v>
      </c>
      <c r="AQ14" s="136">
        <v>0</v>
      </c>
      <c r="AR14" s="136">
        <v>0</v>
      </c>
      <c r="AS14" s="136">
        <v>0</v>
      </c>
      <c r="AT14" s="136">
        <v>0</v>
      </c>
      <c r="AU14" s="136">
        <v>0</v>
      </c>
      <c r="AV14" s="136">
        <v>0</v>
      </c>
      <c r="AW14" s="136">
        <v>0</v>
      </c>
      <c r="AX14" s="136">
        <v>0</v>
      </c>
      <c r="AY14" s="136">
        <v>0</v>
      </c>
      <c r="AZ14" s="136">
        <v>0</v>
      </c>
      <c r="BA14" s="136">
        <v>0</v>
      </c>
      <c r="BB14" s="136">
        <v>0</v>
      </c>
      <c r="BC14" s="136">
        <v>0</v>
      </c>
      <c r="BD14" s="136">
        <v>0</v>
      </c>
      <c r="BE14" s="136">
        <v>0</v>
      </c>
      <c r="BF14" s="136">
        <v>0</v>
      </c>
      <c r="BG14" s="136">
        <v>0</v>
      </c>
      <c r="BH14" s="136">
        <v>0</v>
      </c>
      <c r="BI14" s="136">
        <v>1</v>
      </c>
      <c r="BJ14" s="136">
        <v>0</v>
      </c>
    </row>
    <row r="15" s="136" customFormat="1" ht="28.399999999999999" hidden="1" customHeight="1">
      <c r="B15" s="136"/>
      <c r="C15" s="136"/>
      <c r="E15" s="139" t="s">
        <v>507</v>
      </c>
      <c r="F15" s="172" t="s">
        <v>508</v>
      </c>
      <c r="G15" s="139"/>
      <c r="H15" s="139"/>
      <c r="I15" s="139"/>
      <c r="J15" s="139"/>
      <c r="L15" s="136" t="s">
        <v>447</v>
      </c>
      <c r="M15" s="136">
        <v>0</v>
      </c>
      <c r="N15" s="136">
        <v>0</v>
      </c>
      <c r="O15" s="136">
        <v>0</v>
      </c>
      <c r="P15" s="142">
        <v>0</v>
      </c>
      <c r="Q15" s="136">
        <v>1</v>
      </c>
      <c r="R15" s="136">
        <v>0</v>
      </c>
      <c r="S15" s="136">
        <v>0</v>
      </c>
      <c r="T15" s="142">
        <v>1</v>
      </c>
      <c r="U15" s="136">
        <v>0</v>
      </c>
      <c r="V15" s="136">
        <v>1</v>
      </c>
      <c r="W15" s="136">
        <v>0</v>
      </c>
      <c r="X15" s="136">
        <v>0</v>
      </c>
      <c r="Y15" s="136">
        <v>1</v>
      </c>
      <c r="Z15" s="136">
        <v>0</v>
      </c>
      <c r="AA15" s="136">
        <v>0</v>
      </c>
      <c r="AB15" s="136">
        <v>1</v>
      </c>
      <c r="AC15" s="136">
        <v>0</v>
      </c>
      <c r="AD15" s="136">
        <v>0</v>
      </c>
      <c r="AE15" s="136">
        <v>1</v>
      </c>
      <c r="AF15" s="136">
        <v>1</v>
      </c>
      <c r="AG15" s="136">
        <v>1</v>
      </c>
      <c r="AH15" s="136">
        <v>0</v>
      </c>
      <c r="AI15" s="136">
        <v>0</v>
      </c>
      <c r="AJ15" s="136">
        <v>0</v>
      </c>
      <c r="AK15" s="136">
        <v>1</v>
      </c>
      <c r="AL15" s="136">
        <v>1</v>
      </c>
      <c r="AM15" s="136">
        <v>1</v>
      </c>
      <c r="AN15" s="136">
        <v>0</v>
      </c>
      <c r="AO15" s="136">
        <v>0</v>
      </c>
      <c r="AP15" s="136">
        <v>1</v>
      </c>
      <c r="AQ15" s="136">
        <v>1</v>
      </c>
      <c r="AR15" s="136">
        <v>0</v>
      </c>
      <c r="AS15" s="136">
        <v>0</v>
      </c>
      <c r="AT15" s="136">
        <v>0</v>
      </c>
      <c r="AU15" s="136">
        <v>1</v>
      </c>
      <c r="AV15" s="136">
        <v>0</v>
      </c>
      <c r="AW15" s="136">
        <v>1</v>
      </c>
      <c r="AX15" s="136">
        <v>0</v>
      </c>
      <c r="AY15" s="136">
        <v>0</v>
      </c>
      <c r="AZ15" s="136">
        <v>1</v>
      </c>
      <c r="BA15" s="136">
        <v>0</v>
      </c>
      <c r="BB15" s="136">
        <v>0</v>
      </c>
      <c r="BC15" s="136">
        <v>0</v>
      </c>
      <c r="BD15" s="136">
        <v>0</v>
      </c>
      <c r="BE15" s="136">
        <v>0</v>
      </c>
      <c r="BF15" s="136">
        <v>0</v>
      </c>
      <c r="BG15" s="136">
        <v>1</v>
      </c>
      <c r="BH15" s="136">
        <v>0</v>
      </c>
      <c r="BI15" s="136">
        <v>0</v>
      </c>
      <c r="BJ15" s="136">
        <v>0</v>
      </c>
    </row>
    <row r="16" s="136" customFormat="1" ht="14.25" hidden="1" customHeight="1">
      <c r="B16" s="136"/>
      <c r="C16" s="136"/>
      <c r="E16" s="111" t="s">
        <v>509</v>
      </c>
      <c r="F16" s="172" t="s">
        <v>510</v>
      </c>
      <c r="G16" s="111"/>
      <c r="H16" s="111"/>
      <c r="I16" s="111"/>
      <c r="J16" s="139"/>
      <c r="L16" s="136" t="s">
        <v>325</v>
      </c>
      <c r="M16" s="136">
        <v>1</v>
      </c>
      <c r="P16" s="142">
        <v>1</v>
      </c>
      <c r="T16" s="142"/>
      <c r="V16" s="136">
        <v>1</v>
      </c>
      <c r="Z16" s="136">
        <v>1</v>
      </c>
      <c r="AA16" s="136">
        <v>1</v>
      </c>
      <c r="AE16" s="136">
        <v>1</v>
      </c>
      <c r="AF16" s="136">
        <v>1</v>
      </c>
      <c r="AH16" s="136">
        <v>1</v>
      </c>
      <c r="AL16" s="136">
        <v>0</v>
      </c>
      <c r="AM16" s="136">
        <v>1</v>
      </c>
      <c r="AP16" s="136">
        <v>1</v>
      </c>
    </row>
    <row r="17" s="143" customFormat="1" ht="14.25" hidden="1" customHeight="1">
      <c r="A17" s="144"/>
      <c r="B17" s="144"/>
      <c r="C17" s="144"/>
      <c r="D17" s="144"/>
      <c r="E17" s="141" t="s">
        <v>511</v>
      </c>
      <c r="F17" s="173" t="s">
        <v>512</v>
      </c>
      <c r="G17" s="141"/>
      <c r="H17" s="141"/>
      <c r="I17" s="141"/>
      <c r="J17" s="145"/>
      <c r="K17" s="144"/>
      <c r="L17" s="143" t="s">
        <v>325</v>
      </c>
      <c r="M17" s="143">
        <v>1</v>
      </c>
      <c r="N17" s="143">
        <v>0</v>
      </c>
      <c r="O17" s="143">
        <v>0</v>
      </c>
      <c r="P17" s="162">
        <v>1</v>
      </c>
      <c r="Q17" s="143">
        <v>0</v>
      </c>
      <c r="R17" s="143">
        <v>0</v>
      </c>
      <c r="S17" s="143">
        <v>0</v>
      </c>
      <c r="T17" s="162">
        <v>0</v>
      </c>
      <c r="U17" s="143">
        <v>0</v>
      </c>
      <c r="V17" s="143">
        <v>1</v>
      </c>
      <c r="W17" s="143">
        <v>0</v>
      </c>
      <c r="X17" s="143">
        <v>0</v>
      </c>
      <c r="Y17" s="143">
        <v>0</v>
      </c>
      <c r="Z17" s="143">
        <v>1</v>
      </c>
      <c r="AA17" s="143">
        <v>1</v>
      </c>
      <c r="AB17" s="143">
        <v>0</v>
      </c>
      <c r="AC17" s="143">
        <v>0</v>
      </c>
      <c r="AD17" s="143">
        <v>0</v>
      </c>
      <c r="AE17" s="143">
        <v>1</v>
      </c>
      <c r="AF17" s="143">
        <v>0</v>
      </c>
      <c r="AG17" s="143">
        <v>1</v>
      </c>
      <c r="AH17" s="143">
        <v>0</v>
      </c>
      <c r="AI17" s="143">
        <v>0</v>
      </c>
      <c r="AJ17" s="143">
        <v>0</v>
      </c>
      <c r="AK17" s="143">
        <v>0</v>
      </c>
      <c r="AL17" s="143">
        <v>1</v>
      </c>
      <c r="AM17" s="143">
        <v>0</v>
      </c>
      <c r="AN17" s="143">
        <v>1</v>
      </c>
      <c r="AO17" s="143">
        <v>1</v>
      </c>
      <c r="AP17" s="143">
        <v>0</v>
      </c>
      <c r="AQ17" s="143">
        <v>0</v>
      </c>
      <c r="AR17" s="143">
        <v>0</v>
      </c>
      <c r="AS17" s="143">
        <v>0</v>
      </c>
      <c r="AT17" s="143">
        <v>0</v>
      </c>
      <c r="AU17" s="143">
        <v>0</v>
      </c>
      <c r="AV17" s="143">
        <v>0</v>
      </c>
      <c r="AW17" s="143">
        <v>0</v>
      </c>
      <c r="AX17" s="143">
        <v>0</v>
      </c>
      <c r="AY17" s="143">
        <v>0</v>
      </c>
      <c r="AZ17" s="143">
        <v>0</v>
      </c>
      <c r="BA17" s="143">
        <v>0</v>
      </c>
      <c r="BB17" s="143">
        <v>0</v>
      </c>
      <c r="BC17" s="143">
        <v>0</v>
      </c>
      <c r="BD17" s="143">
        <v>0</v>
      </c>
      <c r="BE17" s="143">
        <v>0</v>
      </c>
      <c r="BF17" s="143">
        <v>0</v>
      </c>
      <c r="BG17" s="143">
        <v>0</v>
      </c>
      <c r="BH17" s="143">
        <v>1</v>
      </c>
      <c r="BI17" s="143">
        <v>0</v>
      </c>
      <c r="BJ17" s="143">
        <v>0</v>
      </c>
    </row>
    <row r="18" s="174" customFormat="1" ht="28.399999999999999" hidden="1" customHeight="1">
      <c r="A18" s="137" t="s">
        <v>481</v>
      </c>
      <c r="B18" s="174" t="s">
        <v>513</v>
      </c>
      <c r="C18" s="174" t="s">
        <v>45</v>
      </c>
      <c r="D18" s="175" t="s">
        <v>514</v>
      </c>
      <c r="E18" s="176" t="s">
        <v>515</v>
      </c>
      <c r="F18" s="111" t="s">
        <v>516</v>
      </c>
      <c r="G18" s="176" t="s">
        <v>498</v>
      </c>
      <c r="H18" s="176">
        <v>11145</v>
      </c>
      <c r="I18" s="176">
        <v>11148</v>
      </c>
      <c r="J18" s="111"/>
      <c r="K18" s="177">
        <v>3</v>
      </c>
      <c r="L18" s="174" t="s">
        <v>325</v>
      </c>
      <c r="M18" s="174">
        <v>0</v>
      </c>
      <c r="N18" s="174">
        <v>1</v>
      </c>
      <c r="O18" s="174">
        <v>0</v>
      </c>
      <c r="P18" s="142">
        <v>1</v>
      </c>
      <c r="Q18" s="174">
        <v>0</v>
      </c>
      <c r="R18" s="174">
        <v>0</v>
      </c>
      <c r="S18" s="174">
        <v>0</v>
      </c>
      <c r="T18" s="142">
        <v>0</v>
      </c>
      <c r="U18" s="174">
        <v>0</v>
      </c>
      <c r="V18" s="174">
        <v>1</v>
      </c>
      <c r="W18" s="174">
        <v>0</v>
      </c>
      <c r="X18" s="174">
        <v>0</v>
      </c>
      <c r="Y18" s="174">
        <v>0</v>
      </c>
      <c r="Z18" s="174">
        <v>1</v>
      </c>
      <c r="AA18" s="174">
        <v>1</v>
      </c>
      <c r="AB18" s="174">
        <v>0</v>
      </c>
      <c r="AC18" s="174">
        <v>0</v>
      </c>
      <c r="AD18" s="174">
        <v>0</v>
      </c>
      <c r="AE18" s="174">
        <v>1</v>
      </c>
      <c r="AF18" s="174">
        <v>1</v>
      </c>
      <c r="AG18" s="174">
        <v>0</v>
      </c>
      <c r="AH18" s="174">
        <v>0</v>
      </c>
      <c r="AI18" s="174">
        <v>1</v>
      </c>
      <c r="AJ18" s="174">
        <v>0</v>
      </c>
      <c r="AK18" s="174">
        <v>0</v>
      </c>
      <c r="AL18" s="174">
        <v>1</v>
      </c>
      <c r="AM18" s="174">
        <v>1</v>
      </c>
      <c r="AN18" s="174">
        <v>0</v>
      </c>
      <c r="AO18" s="174">
        <v>0</v>
      </c>
      <c r="AP18" s="174">
        <v>1</v>
      </c>
      <c r="AQ18" s="174">
        <v>0</v>
      </c>
      <c r="AR18" s="174">
        <v>0</v>
      </c>
      <c r="AS18" s="174">
        <v>0</v>
      </c>
      <c r="AT18" s="174">
        <v>0</v>
      </c>
      <c r="AU18" s="174">
        <v>0</v>
      </c>
      <c r="AV18" s="174">
        <v>0</v>
      </c>
      <c r="AW18" s="174">
        <v>0</v>
      </c>
      <c r="AX18" s="174">
        <v>0</v>
      </c>
      <c r="AY18" s="174">
        <v>0</v>
      </c>
      <c r="AZ18" s="174">
        <v>0</v>
      </c>
      <c r="BA18" s="174">
        <v>0</v>
      </c>
      <c r="BB18" s="174">
        <v>0</v>
      </c>
      <c r="BC18" s="174">
        <v>0</v>
      </c>
      <c r="BD18" s="174">
        <v>0</v>
      </c>
      <c r="BE18" s="174">
        <v>0</v>
      </c>
      <c r="BF18" s="174">
        <v>0</v>
      </c>
      <c r="BG18" s="174">
        <v>0</v>
      </c>
      <c r="BH18" s="174">
        <v>0</v>
      </c>
      <c r="BI18" s="174">
        <v>0</v>
      </c>
      <c r="BJ18" s="174">
        <v>0</v>
      </c>
    </row>
    <row r="19" s="174" customFormat="1" ht="14.25" hidden="1" customHeight="1">
      <c r="B19" s="178"/>
      <c r="C19" s="178"/>
      <c r="D19" s="175"/>
      <c r="E19" s="176" t="s">
        <v>517</v>
      </c>
      <c r="F19" s="111" t="s">
        <v>518</v>
      </c>
      <c r="G19" s="176" t="s">
        <v>498</v>
      </c>
      <c r="H19" s="176">
        <v>15701</v>
      </c>
      <c r="I19" s="176">
        <v>15703</v>
      </c>
      <c r="J19" s="111"/>
      <c r="L19" s="174" t="s">
        <v>447</v>
      </c>
      <c r="M19" s="174">
        <v>0</v>
      </c>
      <c r="N19" s="174">
        <v>0</v>
      </c>
      <c r="O19" s="174">
        <v>0</v>
      </c>
      <c r="P19" s="142">
        <v>0</v>
      </c>
      <c r="Q19" s="174">
        <v>0</v>
      </c>
      <c r="R19" s="174">
        <v>0</v>
      </c>
      <c r="S19" s="174">
        <v>0</v>
      </c>
      <c r="T19" s="142">
        <v>0</v>
      </c>
      <c r="U19" s="174">
        <v>0</v>
      </c>
      <c r="V19" s="174">
        <v>0</v>
      </c>
      <c r="W19" s="174">
        <v>0</v>
      </c>
      <c r="X19" s="174">
        <v>0</v>
      </c>
      <c r="Y19" s="174">
        <v>0</v>
      </c>
      <c r="Z19" s="174">
        <v>0</v>
      </c>
      <c r="AA19" s="174">
        <v>0</v>
      </c>
      <c r="AB19" s="174">
        <v>0</v>
      </c>
      <c r="AC19" s="174">
        <v>0</v>
      </c>
      <c r="AD19" s="174">
        <v>0</v>
      </c>
      <c r="AE19" s="174">
        <v>0</v>
      </c>
      <c r="AF19" s="174">
        <v>0</v>
      </c>
      <c r="AG19" s="174">
        <v>0</v>
      </c>
      <c r="AH19" s="174">
        <v>0</v>
      </c>
      <c r="AI19" s="174">
        <v>0</v>
      </c>
      <c r="AJ19" s="174">
        <v>0</v>
      </c>
      <c r="AK19" s="174">
        <v>0</v>
      </c>
      <c r="AL19" s="174">
        <v>0</v>
      </c>
      <c r="AM19" s="174">
        <v>0</v>
      </c>
      <c r="AN19" s="174">
        <v>1</v>
      </c>
      <c r="AO19" s="174">
        <v>0</v>
      </c>
      <c r="AP19" s="174">
        <v>0</v>
      </c>
      <c r="AQ19" s="174">
        <v>0</v>
      </c>
      <c r="AR19" s="174">
        <v>0</v>
      </c>
      <c r="AS19" s="174">
        <v>0</v>
      </c>
      <c r="AT19" s="174">
        <v>0</v>
      </c>
      <c r="AU19" s="174">
        <v>0</v>
      </c>
      <c r="AV19" s="174">
        <v>0</v>
      </c>
      <c r="AW19" s="174">
        <v>0</v>
      </c>
      <c r="AX19" s="174">
        <v>0</v>
      </c>
      <c r="AY19" s="174">
        <v>0</v>
      </c>
      <c r="AZ19" s="174">
        <v>0</v>
      </c>
      <c r="BA19" s="174">
        <v>0</v>
      </c>
      <c r="BB19" s="174">
        <v>0</v>
      </c>
      <c r="BC19" s="174">
        <v>0</v>
      </c>
      <c r="BD19" s="174">
        <v>0</v>
      </c>
      <c r="BE19" s="174">
        <v>0</v>
      </c>
      <c r="BF19" s="174">
        <v>0</v>
      </c>
      <c r="BG19" s="174">
        <v>1</v>
      </c>
      <c r="BH19" s="174">
        <v>0</v>
      </c>
      <c r="BI19" s="174">
        <v>0</v>
      </c>
      <c r="BJ19" s="174">
        <v>0</v>
      </c>
    </row>
    <row r="20" s="174" customFormat="1" ht="28.399999999999999" hidden="1" customHeight="1">
      <c r="B20" s="179"/>
      <c r="C20" s="178"/>
      <c r="D20" s="175"/>
      <c r="E20" s="176" t="s">
        <v>519</v>
      </c>
      <c r="F20" s="111" t="s">
        <v>516</v>
      </c>
      <c r="G20" s="180" t="s">
        <v>498</v>
      </c>
      <c r="H20" s="176">
        <v>15789</v>
      </c>
      <c r="I20" s="176">
        <v>15792</v>
      </c>
      <c r="J20" s="111"/>
      <c r="K20" s="144"/>
      <c r="L20" s="174" t="s">
        <v>325</v>
      </c>
      <c r="M20" s="174">
        <v>0</v>
      </c>
      <c r="N20" s="174">
        <v>0</v>
      </c>
      <c r="O20" s="174">
        <v>1</v>
      </c>
      <c r="P20" s="142">
        <v>0</v>
      </c>
      <c r="Q20" s="174">
        <v>0</v>
      </c>
      <c r="R20" s="174">
        <v>0</v>
      </c>
      <c r="S20" s="174">
        <v>0</v>
      </c>
      <c r="T20" s="142">
        <v>0</v>
      </c>
      <c r="U20" s="174">
        <v>0</v>
      </c>
      <c r="V20" s="174">
        <v>1</v>
      </c>
      <c r="W20" s="174">
        <v>0</v>
      </c>
      <c r="X20" s="174">
        <v>1</v>
      </c>
      <c r="Y20" s="174">
        <v>0</v>
      </c>
      <c r="Z20" s="174">
        <v>1</v>
      </c>
      <c r="AA20" s="174">
        <v>1</v>
      </c>
      <c r="AB20" s="174">
        <v>0</v>
      </c>
      <c r="AC20" s="174">
        <v>0</v>
      </c>
      <c r="AD20" s="174">
        <v>0</v>
      </c>
      <c r="AE20" s="174">
        <v>0</v>
      </c>
      <c r="AF20" s="174">
        <v>0</v>
      </c>
      <c r="AG20" s="174">
        <v>0</v>
      </c>
      <c r="AH20" s="174">
        <v>0</v>
      </c>
      <c r="AI20" s="174">
        <v>0</v>
      </c>
      <c r="AJ20" s="174">
        <v>0</v>
      </c>
      <c r="AK20" s="174">
        <v>1</v>
      </c>
      <c r="AL20" s="174">
        <v>1</v>
      </c>
      <c r="AM20" s="174">
        <v>0</v>
      </c>
      <c r="AN20" s="174">
        <v>0</v>
      </c>
      <c r="AO20" s="174">
        <v>1</v>
      </c>
      <c r="AP20" s="174">
        <v>0</v>
      </c>
      <c r="AQ20" s="174">
        <v>0</v>
      </c>
      <c r="AR20" s="174">
        <v>0</v>
      </c>
      <c r="AS20" s="174">
        <v>0</v>
      </c>
      <c r="AT20" s="174">
        <v>0</v>
      </c>
      <c r="AU20" s="174">
        <v>0</v>
      </c>
      <c r="AV20" s="174">
        <v>0</v>
      </c>
      <c r="AW20" s="174">
        <v>0</v>
      </c>
      <c r="AX20" s="174">
        <v>0</v>
      </c>
      <c r="AY20" s="174">
        <v>0</v>
      </c>
      <c r="AZ20" s="174">
        <v>0</v>
      </c>
      <c r="BA20" s="174">
        <v>0</v>
      </c>
      <c r="BB20" s="174">
        <v>0</v>
      </c>
      <c r="BC20" s="174">
        <v>0</v>
      </c>
      <c r="BD20" s="174">
        <v>0</v>
      </c>
      <c r="BE20" s="174">
        <v>0</v>
      </c>
      <c r="BF20" s="174">
        <v>0</v>
      </c>
      <c r="BG20" s="174">
        <v>0</v>
      </c>
      <c r="BH20" s="174">
        <v>1</v>
      </c>
      <c r="BI20" s="174">
        <v>0</v>
      </c>
      <c r="BJ20" s="174">
        <v>0</v>
      </c>
    </row>
    <row r="21" s="181" customFormat="1" ht="42.75" customHeight="1">
      <c r="A21" s="137" t="s">
        <v>481</v>
      </c>
      <c r="B21" s="174" t="s">
        <v>482</v>
      </c>
      <c r="C21" s="181" t="s">
        <v>52</v>
      </c>
      <c r="D21" s="182" t="s">
        <v>24</v>
      </c>
      <c r="E21" s="183" t="s">
        <v>520</v>
      </c>
      <c r="F21" s="184" t="s">
        <v>521</v>
      </c>
      <c r="G21" s="176" t="s">
        <v>486</v>
      </c>
      <c r="H21" s="185"/>
      <c r="I21" s="185"/>
      <c r="J21" s="184" t="s">
        <v>522</v>
      </c>
      <c r="K21" s="177">
        <v>4</v>
      </c>
      <c r="L21" s="181" t="s">
        <v>492</v>
      </c>
      <c r="M21" s="181">
        <v>1</v>
      </c>
      <c r="N21" s="181">
        <v>0</v>
      </c>
      <c r="O21" s="181">
        <v>0</v>
      </c>
      <c r="P21" s="142">
        <v>1</v>
      </c>
      <c r="Q21" s="181">
        <v>0</v>
      </c>
      <c r="R21" s="181">
        <v>0</v>
      </c>
      <c r="S21" s="181">
        <v>0</v>
      </c>
      <c r="T21" s="142">
        <v>0</v>
      </c>
      <c r="U21" s="181">
        <v>0</v>
      </c>
      <c r="V21" s="181">
        <v>1</v>
      </c>
      <c r="W21" s="181">
        <v>0</v>
      </c>
      <c r="X21" s="181">
        <v>0</v>
      </c>
      <c r="Y21" s="181">
        <v>0</v>
      </c>
      <c r="Z21" s="181">
        <v>1</v>
      </c>
      <c r="AA21" s="181">
        <v>1</v>
      </c>
      <c r="AB21" s="181">
        <v>0</v>
      </c>
      <c r="AC21" s="181">
        <v>0</v>
      </c>
      <c r="AD21" s="181">
        <v>0</v>
      </c>
      <c r="AE21" s="181">
        <v>0</v>
      </c>
      <c r="AF21" s="181">
        <v>1</v>
      </c>
      <c r="AG21" s="181">
        <v>1</v>
      </c>
      <c r="AH21" s="181">
        <v>1</v>
      </c>
      <c r="AI21" s="181">
        <v>0</v>
      </c>
      <c r="AJ21" s="181">
        <v>1</v>
      </c>
      <c r="AK21" s="181">
        <v>1</v>
      </c>
      <c r="AL21" s="181">
        <v>1</v>
      </c>
      <c r="AM21" s="181">
        <v>0</v>
      </c>
      <c r="AN21" s="181">
        <v>0</v>
      </c>
      <c r="AO21" s="181">
        <v>0</v>
      </c>
      <c r="AP21" s="181">
        <v>1</v>
      </c>
      <c r="AQ21" s="181">
        <v>0</v>
      </c>
      <c r="AR21" s="181">
        <v>0</v>
      </c>
      <c r="AS21" s="181">
        <v>0</v>
      </c>
      <c r="AT21" s="181">
        <v>0</v>
      </c>
      <c r="AU21" s="181">
        <v>0</v>
      </c>
      <c r="AV21" s="181">
        <v>0</v>
      </c>
      <c r="AW21" s="181">
        <v>0</v>
      </c>
      <c r="AX21" s="181">
        <v>0</v>
      </c>
      <c r="AY21" s="181">
        <v>0</v>
      </c>
      <c r="AZ21" s="181">
        <v>0</v>
      </c>
      <c r="BA21" s="181">
        <v>0</v>
      </c>
      <c r="BB21" s="181">
        <v>0</v>
      </c>
      <c r="BC21" s="181">
        <v>0</v>
      </c>
      <c r="BD21" s="181">
        <v>0</v>
      </c>
      <c r="BE21" s="181">
        <v>0</v>
      </c>
      <c r="BF21" s="181">
        <v>0</v>
      </c>
      <c r="BG21" s="181">
        <v>1</v>
      </c>
      <c r="BH21" s="181">
        <v>0</v>
      </c>
      <c r="BI21" s="181">
        <v>0</v>
      </c>
      <c r="BJ21" s="181">
        <v>0</v>
      </c>
    </row>
    <row r="22" s="174" customFormat="1" ht="28.399999999999999" hidden="1" customHeight="1">
      <c r="D22" s="186"/>
      <c r="E22" s="187" t="s">
        <v>523</v>
      </c>
      <c r="F22" s="111" t="s">
        <v>491</v>
      </c>
      <c r="G22" s="187" t="s">
        <v>486</v>
      </c>
      <c r="H22" s="187">
        <v>19</v>
      </c>
      <c r="I22" s="187">
        <v>44</v>
      </c>
      <c r="J22" s="111"/>
      <c r="L22" s="174" t="s">
        <v>447</v>
      </c>
      <c r="M22" s="174">
        <v>0</v>
      </c>
      <c r="N22" s="174">
        <v>1</v>
      </c>
      <c r="O22" s="174">
        <v>0</v>
      </c>
      <c r="P22" s="142">
        <v>1</v>
      </c>
      <c r="Q22" s="174">
        <v>0</v>
      </c>
      <c r="R22" s="174">
        <v>0</v>
      </c>
      <c r="S22" s="174">
        <v>0</v>
      </c>
      <c r="T22" s="142">
        <v>0</v>
      </c>
      <c r="U22" s="174">
        <v>0</v>
      </c>
      <c r="V22" s="174">
        <v>1</v>
      </c>
      <c r="W22" s="174">
        <v>0</v>
      </c>
      <c r="X22" s="174">
        <v>0</v>
      </c>
      <c r="Y22" s="174">
        <v>1</v>
      </c>
      <c r="Z22" s="174">
        <v>0</v>
      </c>
      <c r="AA22" s="174">
        <v>1</v>
      </c>
      <c r="AB22" s="174">
        <v>0</v>
      </c>
      <c r="AC22" s="174">
        <v>0</v>
      </c>
      <c r="AD22" s="174">
        <v>0</v>
      </c>
      <c r="AE22" s="174">
        <v>1</v>
      </c>
      <c r="AF22" s="174">
        <v>1</v>
      </c>
      <c r="AG22" s="174">
        <v>1</v>
      </c>
      <c r="AH22" s="174">
        <v>1</v>
      </c>
      <c r="AI22" s="174">
        <v>0</v>
      </c>
      <c r="AJ22" s="174">
        <v>0</v>
      </c>
      <c r="AK22" s="174">
        <v>0</v>
      </c>
      <c r="AL22" s="174">
        <v>1</v>
      </c>
      <c r="AM22" s="174">
        <v>0</v>
      </c>
      <c r="AN22" s="174">
        <v>0</v>
      </c>
      <c r="AO22" s="174">
        <v>0</v>
      </c>
      <c r="AP22" s="174">
        <v>1</v>
      </c>
      <c r="AQ22" s="174">
        <v>0</v>
      </c>
      <c r="AR22" s="174">
        <v>0</v>
      </c>
      <c r="AS22" s="174">
        <v>0</v>
      </c>
      <c r="AT22" s="174">
        <v>0</v>
      </c>
      <c r="AU22" s="174">
        <v>0</v>
      </c>
      <c r="AV22" s="174">
        <v>0</v>
      </c>
      <c r="AW22" s="174">
        <v>0</v>
      </c>
      <c r="AX22" s="174">
        <v>0</v>
      </c>
      <c r="AY22" s="174">
        <v>0</v>
      </c>
      <c r="AZ22" s="174">
        <v>0</v>
      </c>
      <c r="BA22" s="174">
        <v>0</v>
      </c>
      <c r="BB22" s="174">
        <v>0</v>
      </c>
      <c r="BC22" s="174">
        <v>0</v>
      </c>
      <c r="BD22" s="174">
        <v>0</v>
      </c>
      <c r="BE22" s="174">
        <v>0</v>
      </c>
      <c r="BF22" s="174">
        <v>0</v>
      </c>
      <c r="BG22" s="174">
        <v>1</v>
      </c>
      <c r="BH22" s="174">
        <v>0</v>
      </c>
      <c r="BI22" s="174">
        <v>0</v>
      </c>
      <c r="BJ22" s="174">
        <v>0</v>
      </c>
    </row>
    <row r="23" s="174" customFormat="1" ht="28.399999999999999" hidden="1" customHeight="1">
      <c r="D23" s="186"/>
      <c r="E23" s="187" t="s">
        <v>524</v>
      </c>
      <c r="F23" s="111" t="s">
        <v>525</v>
      </c>
      <c r="G23" s="187" t="s">
        <v>486</v>
      </c>
      <c r="H23" s="187">
        <v>16</v>
      </c>
      <c r="I23" s="187">
        <v>39</v>
      </c>
      <c r="J23" s="176"/>
      <c r="L23" s="174" t="s">
        <v>325</v>
      </c>
      <c r="M23" s="174">
        <v>0</v>
      </c>
      <c r="N23" s="174">
        <v>0</v>
      </c>
      <c r="O23" s="174">
        <v>1</v>
      </c>
      <c r="P23" s="142">
        <v>1</v>
      </c>
      <c r="Q23" s="174">
        <v>0</v>
      </c>
      <c r="R23" s="174">
        <v>0</v>
      </c>
      <c r="S23" s="174">
        <v>0</v>
      </c>
      <c r="T23" s="142">
        <v>0</v>
      </c>
      <c r="U23" s="174">
        <v>0</v>
      </c>
      <c r="V23" s="174">
        <v>1</v>
      </c>
      <c r="W23" s="174">
        <v>0</v>
      </c>
      <c r="X23" s="174">
        <v>1</v>
      </c>
      <c r="Y23" s="174">
        <v>1</v>
      </c>
      <c r="Z23" s="174">
        <v>0</v>
      </c>
      <c r="AA23" s="174">
        <v>1</v>
      </c>
      <c r="AB23" s="174">
        <v>0</v>
      </c>
      <c r="AC23" s="174">
        <v>0</v>
      </c>
      <c r="AD23" s="174">
        <v>0</v>
      </c>
      <c r="AE23" s="174">
        <v>1</v>
      </c>
      <c r="AF23" s="174">
        <v>1</v>
      </c>
      <c r="AG23" s="174">
        <v>1</v>
      </c>
      <c r="AH23" s="174">
        <v>1</v>
      </c>
      <c r="AI23" s="174">
        <v>0</v>
      </c>
      <c r="AJ23" s="174">
        <v>0</v>
      </c>
      <c r="AK23" s="174">
        <v>0</v>
      </c>
      <c r="AL23" s="174">
        <v>0</v>
      </c>
      <c r="AM23" s="174">
        <v>0</v>
      </c>
      <c r="AN23" s="174">
        <v>1</v>
      </c>
      <c r="AO23" s="174">
        <v>0</v>
      </c>
      <c r="AP23" s="174">
        <v>1</v>
      </c>
      <c r="AQ23" s="174">
        <v>0</v>
      </c>
      <c r="AR23" s="174">
        <v>0</v>
      </c>
      <c r="AS23" s="174">
        <v>0</v>
      </c>
      <c r="AT23" s="174">
        <v>0</v>
      </c>
      <c r="AU23" s="174">
        <v>0</v>
      </c>
      <c r="AV23" s="174">
        <v>0</v>
      </c>
      <c r="AW23" s="174">
        <v>0</v>
      </c>
      <c r="AX23" s="174">
        <v>0</v>
      </c>
      <c r="AY23" s="174">
        <v>0</v>
      </c>
      <c r="AZ23" s="174">
        <v>0</v>
      </c>
      <c r="BA23" s="174">
        <v>0</v>
      </c>
      <c r="BB23" s="174">
        <v>0</v>
      </c>
      <c r="BC23" s="174">
        <v>0</v>
      </c>
      <c r="BD23" s="174">
        <v>0</v>
      </c>
      <c r="BE23" s="174">
        <v>0</v>
      </c>
      <c r="BF23" s="174">
        <v>0</v>
      </c>
      <c r="BG23" s="174">
        <v>0</v>
      </c>
      <c r="BH23" s="174">
        <v>0</v>
      </c>
      <c r="BI23" s="174">
        <v>0</v>
      </c>
      <c r="BJ23" s="174">
        <v>0</v>
      </c>
    </row>
    <row r="24" s="188" customFormat="1" ht="28.5" hidden="1" customHeight="1">
      <c r="A24" s="144"/>
      <c r="D24" s="189"/>
      <c r="E24" s="190" t="s">
        <v>526</v>
      </c>
      <c r="F24" s="145" t="s">
        <v>527</v>
      </c>
      <c r="G24" s="190" t="s">
        <v>486</v>
      </c>
      <c r="H24" s="190"/>
      <c r="I24" s="190"/>
      <c r="J24" s="145"/>
      <c r="K24" s="144"/>
      <c r="L24" s="188" t="s">
        <v>447</v>
      </c>
      <c r="M24" s="188">
        <v>0</v>
      </c>
      <c r="N24" s="188">
        <v>1</v>
      </c>
      <c r="O24" s="188">
        <v>0</v>
      </c>
      <c r="P24" s="142">
        <v>1</v>
      </c>
      <c r="Q24" s="188">
        <v>0</v>
      </c>
      <c r="R24" s="188">
        <v>0</v>
      </c>
      <c r="S24" s="188">
        <v>0</v>
      </c>
      <c r="T24" s="142">
        <v>0</v>
      </c>
      <c r="U24" s="188">
        <v>0</v>
      </c>
      <c r="V24" s="188">
        <v>1</v>
      </c>
      <c r="W24" s="188">
        <v>0</v>
      </c>
      <c r="X24" s="188">
        <v>1</v>
      </c>
      <c r="Y24" s="188">
        <v>0</v>
      </c>
      <c r="Z24" s="188">
        <v>1</v>
      </c>
      <c r="AA24" s="188">
        <v>1</v>
      </c>
      <c r="AB24" s="188">
        <v>0</v>
      </c>
      <c r="AC24" s="188">
        <v>0</v>
      </c>
      <c r="AD24" s="188">
        <v>0</v>
      </c>
      <c r="AE24" s="188">
        <v>1</v>
      </c>
      <c r="AF24" s="188">
        <v>1</v>
      </c>
      <c r="AG24" s="188">
        <v>1</v>
      </c>
      <c r="AH24" s="188">
        <v>1</v>
      </c>
      <c r="AI24" s="188">
        <v>0</v>
      </c>
      <c r="AJ24" s="188">
        <v>0</v>
      </c>
      <c r="AK24" s="188">
        <v>0</v>
      </c>
      <c r="AL24" s="188">
        <v>1</v>
      </c>
      <c r="AM24" s="188">
        <v>0</v>
      </c>
      <c r="AN24" s="188">
        <v>0</v>
      </c>
      <c r="AO24" s="188">
        <v>0</v>
      </c>
      <c r="AP24" s="188">
        <v>1</v>
      </c>
      <c r="AQ24" s="188">
        <v>1</v>
      </c>
      <c r="AR24" s="188">
        <v>0</v>
      </c>
      <c r="AS24" s="188">
        <v>1</v>
      </c>
      <c r="AT24" s="188">
        <v>0</v>
      </c>
      <c r="AU24" s="188">
        <v>0</v>
      </c>
      <c r="AV24" s="188">
        <v>0</v>
      </c>
      <c r="AW24" s="188">
        <v>1</v>
      </c>
      <c r="AX24" s="188">
        <v>0</v>
      </c>
      <c r="AY24" s="188">
        <v>0</v>
      </c>
      <c r="AZ24" s="188">
        <v>0</v>
      </c>
      <c r="BA24" s="188">
        <v>0</v>
      </c>
      <c r="BB24" s="188">
        <v>0</v>
      </c>
      <c r="BC24" s="188">
        <v>0</v>
      </c>
      <c r="BD24" s="188">
        <v>0</v>
      </c>
      <c r="BE24" s="188">
        <v>0</v>
      </c>
      <c r="BF24" s="188">
        <v>0</v>
      </c>
      <c r="BG24" s="188">
        <v>1</v>
      </c>
      <c r="BH24" s="188">
        <v>0</v>
      </c>
      <c r="BI24" s="188">
        <v>0</v>
      </c>
      <c r="BJ24" s="188">
        <v>0</v>
      </c>
    </row>
    <row r="25" s="143" customFormat="1" ht="28.5" customHeight="1">
      <c r="A25" s="137" t="s">
        <v>481</v>
      </c>
      <c r="B25" s="153" t="s">
        <v>482</v>
      </c>
      <c r="C25" s="143" t="s">
        <v>55</v>
      </c>
      <c r="D25" s="138" t="s">
        <v>17</v>
      </c>
      <c r="E25" s="141" t="s">
        <v>528</v>
      </c>
      <c r="F25" s="145" t="s">
        <v>529</v>
      </c>
      <c r="G25" s="155" t="s">
        <v>498</v>
      </c>
      <c r="H25" s="191"/>
      <c r="I25" s="191"/>
      <c r="J25" s="192" t="s">
        <v>530</v>
      </c>
      <c r="K25" s="141">
        <v>1</v>
      </c>
      <c r="L25" s="143" t="s">
        <v>325</v>
      </c>
      <c r="M25" s="143">
        <v>0</v>
      </c>
      <c r="N25" s="143">
        <v>1</v>
      </c>
      <c r="O25" s="143">
        <v>0</v>
      </c>
      <c r="P25" s="142">
        <v>1</v>
      </c>
      <c r="Q25" s="143">
        <v>0</v>
      </c>
      <c r="R25" s="143">
        <v>0</v>
      </c>
      <c r="S25" s="143">
        <v>0</v>
      </c>
      <c r="T25" s="142">
        <v>0</v>
      </c>
      <c r="U25" s="143">
        <v>0</v>
      </c>
      <c r="V25" s="143">
        <v>1</v>
      </c>
      <c r="W25" s="143">
        <v>0</v>
      </c>
      <c r="X25" s="143">
        <v>0</v>
      </c>
      <c r="Y25" s="143">
        <v>0</v>
      </c>
      <c r="Z25" s="143">
        <v>1</v>
      </c>
      <c r="AA25" s="143">
        <v>1</v>
      </c>
      <c r="AB25" s="143">
        <v>0</v>
      </c>
      <c r="AC25" s="143">
        <v>0</v>
      </c>
      <c r="AD25" s="143">
        <v>0</v>
      </c>
      <c r="AE25" s="143">
        <v>1</v>
      </c>
      <c r="AF25" s="143">
        <v>1</v>
      </c>
      <c r="AG25" s="143">
        <v>1</v>
      </c>
      <c r="AH25" s="143">
        <v>1</v>
      </c>
      <c r="AI25" s="143">
        <v>1</v>
      </c>
      <c r="AJ25" s="143">
        <v>1</v>
      </c>
      <c r="AK25" s="143">
        <v>1</v>
      </c>
      <c r="AL25" s="143">
        <v>1</v>
      </c>
      <c r="AM25" s="143">
        <v>0</v>
      </c>
      <c r="AN25" s="143">
        <v>0</v>
      </c>
      <c r="AO25" s="143">
        <v>0</v>
      </c>
      <c r="AP25" s="143">
        <v>1</v>
      </c>
      <c r="AQ25" s="143">
        <v>1</v>
      </c>
      <c r="AR25" s="143">
        <v>0</v>
      </c>
      <c r="AS25" s="143">
        <v>0</v>
      </c>
      <c r="AT25" s="143">
        <v>0</v>
      </c>
      <c r="AU25" s="143">
        <v>1</v>
      </c>
      <c r="AV25" s="143">
        <v>0</v>
      </c>
      <c r="AW25" s="143">
        <v>0</v>
      </c>
      <c r="AX25" s="143">
        <v>1</v>
      </c>
      <c r="AY25" s="143">
        <v>0</v>
      </c>
      <c r="AZ25" s="143">
        <v>0</v>
      </c>
      <c r="BA25" s="143">
        <v>0</v>
      </c>
      <c r="BB25" s="143">
        <v>0</v>
      </c>
      <c r="BC25" s="143">
        <v>0</v>
      </c>
      <c r="BD25" s="143">
        <v>0</v>
      </c>
      <c r="BE25" s="143">
        <v>1</v>
      </c>
      <c r="BF25" s="143">
        <v>0</v>
      </c>
      <c r="BG25" s="143">
        <v>0</v>
      </c>
      <c r="BH25" s="143">
        <v>0</v>
      </c>
      <c r="BI25" s="143">
        <v>0</v>
      </c>
      <c r="BJ25" s="143">
        <v>0</v>
      </c>
    </row>
    <row r="26" s="136" customFormat="1" ht="28.5" customHeight="1">
      <c r="A26" s="137" t="s">
        <v>481</v>
      </c>
      <c r="B26" s="136" t="s">
        <v>482</v>
      </c>
      <c r="C26" s="146" t="s">
        <v>62</v>
      </c>
      <c r="D26" s="147" t="s">
        <v>17</v>
      </c>
      <c r="E26" s="148" t="s">
        <v>531</v>
      </c>
      <c r="F26" s="111" t="s">
        <v>508</v>
      </c>
      <c r="G26" s="148" t="s">
        <v>486</v>
      </c>
      <c r="H26" s="149"/>
      <c r="I26" s="149"/>
      <c r="J26" s="111"/>
      <c r="K26" s="150">
        <v>2</v>
      </c>
      <c r="L26" s="136" t="s">
        <v>447</v>
      </c>
      <c r="M26" s="136">
        <v>0</v>
      </c>
      <c r="N26" s="136">
        <v>0</v>
      </c>
      <c r="O26" s="136">
        <v>0</v>
      </c>
      <c r="P26" s="142">
        <v>0</v>
      </c>
      <c r="Q26" s="136">
        <v>1</v>
      </c>
      <c r="R26" s="136">
        <v>0</v>
      </c>
      <c r="S26" s="136">
        <v>0</v>
      </c>
      <c r="T26" s="142">
        <v>1</v>
      </c>
      <c r="U26" s="136">
        <v>0</v>
      </c>
      <c r="V26" s="136">
        <v>1</v>
      </c>
      <c r="W26" s="136">
        <v>0</v>
      </c>
      <c r="X26" s="136">
        <v>0</v>
      </c>
      <c r="Y26" s="136">
        <v>1</v>
      </c>
      <c r="Z26" s="136">
        <v>0</v>
      </c>
      <c r="AA26" s="136">
        <v>0</v>
      </c>
      <c r="AB26" s="136">
        <v>1</v>
      </c>
      <c r="AC26" s="136">
        <v>0</v>
      </c>
      <c r="AD26" s="136">
        <v>0</v>
      </c>
      <c r="AE26" s="136">
        <v>1</v>
      </c>
      <c r="AF26" s="136">
        <v>1</v>
      </c>
      <c r="AG26" s="136">
        <v>0</v>
      </c>
      <c r="AH26" s="136">
        <v>0</v>
      </c>
      <c r="AI26" s="136">
        <v>0</v>
      </c>
      <c r="AJ26" s="136">
        <v>1</v>
      </c>
      <c r="AK26" s="136">
        <v>1</v>
      </c>
      <c r="AL26" s="136">
        <v>1</v>
      </c>
      <c r="AM26" s="136">
        <v>0</v>
      </c>
      <c r="AN26" s="136">
        <v>0</v>
      </c>
      <c r="AO26" s="136">
        <v>0</v>
      </c>
      <c r="AP26" s="136">
        <v>1</v>
      </c>
      <c r="AQ26" s="136">
        <v>1</v>
      </c>
      <c r="AR26" s="136">
        <v>0</v>
      </c>
      <c r="AS26" s="136">
        <v>0</v>
      </c>
      <c r="AT26" s="136">
        <v>0</v>
      </c>
      <c r="AU26" s="136">
        <v>1</v>
      </c>
      <c r="AV26" s="136">
        <v>0</v>
      </c>
      <c r="AW26" s="136">
        <v>0</v>
      </c>
      <c r="AX26" s="136">
        <v>1</v>
      </c>
      <c r="AY26" s="136">
        <v>0</v>
      </c>
      <c r="AZ26" s="136">
        <v>1</v>
      </c>
      <c r="BA26" s="136">
        <v>0</v>
      </c>
      <c r="BB26" s="136">
        <v>0</v>
      </c>
      <c r="BC26" s="136">
        <v>0</v>
      </c>
      <c r="BD26" s="136">
        <v>0</v>
      </c>
      <c r="BE26" s="136">
        <v>0</v>
      </c>
      <c r="BF26" s="136">
        <v>0</v>
      </c>
      <c r="BG26" s="136">
        <v>0</v>
      </c>
      <c r="BH26" s="136">
        <v>0</v>
      </c>
      <c r="BI26" s="136">
        <v>0</v>
      </c>
      <c r="BJ26" s="136">
        <v>0</v>
      </c>
    </row>
    <row r="27" s="143" customFormat="1" ht="28.5" hidden="1" customHeight="1">
      <c r="A27" s="144"/>
      <c r="D27" s="138"/>
      <c r="E27" s="193" t="s">
        <v>532</v>
      </c>
      <c r="F27" s="145" t="s">
        <v>533</v>
      </c>
      <c r="G27" s="193" t="s">
        <v>486</v>
      </c>
      <c r="H27" s="193"/>
      <c r="I27" s="193"/>
      <c r="J27" s="145"/>
      <c r="K27" s="141"/>
      <c r="L27" s="143" t="s">
        <v>447</v>
      </c>
      <c r="M27" s="143">
        <v>0</v>
      </c>
      <c r="N27" s="143">
        <v>0</v>
      </c>
      <c r="O27" s="143">
        <v>0</v>
      </c>
      <c r="P27" s="142">
        <v>0</v>
      </c>
      <c r="Q27" s="143">
        <v>1</v>
      </c>
      <c r="R27" s="143">
        <v>0</v>
      </c>
      <c r="S27" s="143">
        <v>0</v>
      </c>
      <c r="T27" s="142">
        <v>1</v>
      </c>
      <c r="U27" s="143">
        <v>0</v>
      </c>
      <c r="V27" s="143">
        <v>1</v>
      </c>
      <c r="W27" s="143">
        <v>0</v>
      </c>
      <c r="X27" s="143">
        <v>0</v>
      </c>
      <c r="Y27" s="143">
        <v>1</v>
      </c>
      <c r="Z27" s="143">
        <v>0</v>
      </c>
      <c r="AA27" s="143">
        <v>0</v>
      </c>
      <c r="AB27" s="143">
        <v>1</v>
      </c>
      <c r="AC27" s="143">
        <v>0</v>
      </c>
      <c r="AD27" s="143">
        <v>0</v>
      </c>
      <c r="AE27" s="143">
        <v>1</v>
      </c>
      <c r="AF27" s="143">
        <v>1</v>
      </c>
      <c r="AG27" s="143">
        <v>0</v>
      </c>
      <c r="AH27" s="143">
        <v>0</v>
      </c>
      <c r="AI27" s="143">
        <v>0</v>
      </c>
      <c r="AJ27" s="143">
        <v>0</v>
      </c>
      <c r="AK27" s="143">
        <v>1</v>
      </c>
      <c r="AL27" s="143">
        <v>1</v>
      </c>
      <c r="AM27" s="143">
        <v>0</v>
      </c>
      <c r="AN27" s="143">
        <v>0</v>
      </c>
      <c r="AO27" s="143">
        <v>1</v>
      </c>
      <c r="AP27" s="143">
        <v>0</v>
      </c>
      <c r="AQ27" s="143">
        <v>1</v>
      </c>
      <c r="AR27" s="143">
        <v>0</v>
      </c>
      <c r="AS27" s="143">
        <v>0</v>
      </c>
      <c r="AT27" s="143">
        <v>0</v>
      </c>
      <c r="AU27" s="143">
        <v>1</v>
      </c>
      <c r="AV27" s="143">
        <v>0</v>
      </c>
      <c r="AW27" s="143">
        <v>0</v>
      </c>
      <c r="AX27" s="143">
        <v>1</v>
      </c>
      <c r="AY27" s="143">
        <v>0</v>
      </c>
      <c r="AZ27" s="143">
        <v>0</v>
      </c>
      <c r="BA27" s="143">
        <v>0</v>
      </c>
      <c r="BB27" s="143">
        <v>0</v>
      </c>
      <c r="BC27" s="143">
        <v>0</v>
      </c>
      <c r="BD27" s="143">
        <v>0</v>
      </c>
      <c r="BE27" s="143">
        <v>0</v>
      </c>
      <c r="BF27" s="143">
        <v>0</v>
      </c>
      <c r="BG27" s="143">
        <v>0</v>
      </c>
      <c r="BH27" s="143">
        <v>0</v>
      </c>
      <c r="BI27" s="143">
        <v>0</v>
      </c>
      <c r="BJ27" s="143">
        <v>0</v>
      </c>
    </row>
    <row r="28" s="153" customFormat="1" ht="28.399999999999999" customHeight="1">
      <c r="A28" s="137" t="s">
        <v>481</v>
      </c>
      <c r="B28" s="153" t="s">
        <v>482</v>
      </c>
      <c r="C28" s="153" t="s">
        <v>64</v>
      </c>
      <c r="D28" s="194" t="s">
        <v>17</v>
      </c>
      <c r="E28" s="155" t="s">
        <v>534</v>
      </c>
      <c r="F28" s="156" t="s">
        <v>535</v>
      </c>
      <c r="G28" s="155" t="s">
        <v>498</v>
      </c>
      <c r="H28" s="157"/>
      <c r="I28" s="157"/>
      <c r="J28" s="156"/>
      <c r="K28" s="153">
        <v>1</v>
      </c>
      <c r="L28" s="153" t="s">
        <v>66</v>
      </c>
      <c r="M28" s="153">
        <v>1</v>
      </c>
      <c r="N28" s="153">
        <v>0</v>
      </c>
      <c r="O28" s="153">
        <v>0</v>
      </c>
      <c r="P28" s="162">
        <v>1</v>
      </c>
      <c r="Q28" s="153">
        <v>0</v>
      </c>
      <c r="R28" s="153">
        <v>0</v>
      </c>
      <c r="S28" s="153">
        <v>0</v>
      </c>
      <c r="T28" s="162">
        <v>0</v>
      </c>
      <c r="U28" s="153">
        <v>0</v>
      </c>
      <c r="V28" s="153">
        <v>0</v>
      </c>
      <c r="W28" s="153">
        <v>1</v>
      </c>
      <c r="X28" s="153">
        <v>0</v>
      </c>
      <c r="Y28" s="153">
        <v>0</v>
      </c>
      <c r="Z28" s="153">
        <v>1</v>
      </c>
      <c r="AA28" s="153">
        <v>1</v>
      </c>
      <c r="AB28" s="153">
        <v>0</v>
      </c>
      <c r="AC28" s="153">
        <v>0</v>
      </c>
      <c r="AD28" s="153">
        <v>0</v>
      </c>
      <c r="AE28" s="153">
        <v>1</v>
      </c>
      <c r="AF28" s="153">
        <v>1</v>
      </c>
      <c r="AG28" s="153">
        <v>1</v>
      </c>
      <c r="AH28" s="153">
        <v>0</v>
      </c>
      <c r="AI28" s="153">
        <v>0</v>
      </c>
      <c r="AJ28" s="153">
        <v>0</v>
      </c>
      <c r="AK28" s="153">
        <v>0</v>
      </c>
      <c r="AL28" s="153">
        <v>0</v>
      </c>
      <c r="AM28" s="153">
        <v>1</v>
      </c>
      <c r="AN28" s="153">
        <v>0</v>
      </c>
      <c r="AO28" s="153">
        <v>0</v>
      </c>
      <c r="AP28" s="153">
        <v>1</v>
      </c>
      <c r="AQ28" s="153">
        <v>1</v>
      </c>
      <c r="AR28" s="153">
        <v>0</v>
      </c>
      <c r="AS28" s="153">
        <v>0</v>
      </c>
      <c r="AT28" s="153">
        <v>0</v>
      </c>
      <c r="AU28" s="153">
        <v>1</v>
      </c>
      <c r="AV28" s="153">
        <v>1</v>
      </c>
      <c r="AW28" s="153">
        <v>0</v>
      </c>
      <c r="AX28" s="153">
        <v>0</v>
      </c>
      <c r="AY28" s="153">
        <v>0</v>
      </c>
      <c r="AZ28" s="153">
        <v>1</v>
      </c>
      <c r="BA28" s="153">
        <v>0</v>
      </c>
      <c r="BB28" s="153">
        <v>0</v>
      </c>
      <c r="BC28" s="153">
        <v>0</v>
      </c>
      <c r="BD28" s="153">
        <v>0</v>
      </c>
      <c r="BE28" s="153">
        <v>0</v>
      </c>
      <c r="BF28" s="153">
        <v>1</v>
      </c>
      <c r="BG28" s="153">
        <v>0</v>
      </c>
      <c r="BH28" s="153">
        <v>0</v>
      </c>
      <c r="BI28" s="153">
        <v>0</v>
      </c>
      <c r="BJ28" s="153">
        <v>0</v>
      </c>
    </row>
    <row r="29" s="136" customFormat="1" ht="96" customHeight="1">
      <c r="A29" s="137" t="s">
        <v>481</v>
      </c>
      <c r="B29" s="136" t="s">
        <v>482</v>
      </c>
      <c r="C29" s="136" t="s">
        <v>67</v>
      </c>
      <c r="D29" s="151" t="s">
        <v>17</v>
      </c>
      <c r="E29" s="139" t="s">
        <v>536</v>
      </c>
      <c r="F29" s="111"/>
      <c r="G29" s="139" t="s">
        <v>486</v>
      </c>
      <c r="H29" s="140"/>
      <c r="I29" s="140"/>
      <c r="J29" s="111" t="s">
        <v>537</v>
      </c>
      <c r="K29" s="136">
        <v>2</v>
      </c>
      <c r="L29" s="136" t="s">
        <v>325</v>
      </c>
      <c r="M29" s="136">
        <v>0</v>
      </c>
      <c r="N29" s="136">
        <v>1</v>
      </c>
      <c r="O29" s="136">
        <v>0</v>
      </c>
      <c r="P29" s="142">
        <v>1</v>
      </c>
      <c r="Q29" s="136">
        <v>0</v>
      </c>
      <c r="R29" s="136">
        <v>0</v>
      </c>
      <c r="S29" s="136">
        <v>0</v>
      </c>
      <c r="T29" s="142">
        <v>0</v>
      </c>
      <c r="U29" s="136">
        <v>0</v>
      </c>
      <c r="V29" s="136">
        <v>1</v>
      </c>
      <c r="W29" s="136">
        <v>0</v>
      </c>
      <c r="X29" s="136">
        <v>0</v>
      </c>
      <c r="Y29" s="136">
        <v>0</v>
      </c>
      <c r="Z29" s="136">
        <v>1</v>
      </c>
      <c r="AA29" s="136">
        <v>1</v>
      </c>
      <c r="AB29" s="136">
        <v>0</v>
      </c>
      <c r="AC29" s="136">
        <v>0</v>
      </c>
      <c r="AD29" s="136">
        <v>0</v>
      </c>
      <c r="AE29" s="136">
        <v>1</v>
      </c>
      <c r="AF29" s="136">
        <v>1</v>
      </c>
      <c r="AG29" s="136">
        <v>1</v>
      </c>
      <c r="AH29" s="136">
        <v>0</v>
      </c>
      <c r="AI29" s="136">
        <v>1</v>
      </c>
      <c r="AJ29" s="136">
        <v>0</v>
      </c>
      <c r="AL29" s="136">
        <v>1</v>
      </c>
      <c r="AM29" s="136">
        <v>0</v>
      </c>
      <c r="AN29" s="136">
        <v>0</v>
      </c>
      <c r="AO29" s="136">
        <v>1</v>
      </c>
      <c r="AP29" s="136">
        <v>0</v>
      </c>
      <c r="AQ29" s="136">
        <v>0</v>
      </c>
      <c r="AR29" s="136">
        <v>0</v>
      </c>
      <c r="AS29" s="136">
        <v>0</v>
      </c>
      <c r="AT29" s="136">
        <v>0</v>
      </c>
      <c r="AU29" s="136">
        <v>0</v>
      </c>
      <c r="AV29" s="136">
        <v>0</v>
      </c>
      <c r="AW29" s="136">
        <v>0</v>
      </c>
      <c r="AX29" s="136">
        <v>0</v>
      </c>
      <c r="AY29" s="136">
        <v>0</v>
      </c>
      <c r="AZ29" s="136">
        <v>0</v>
      </c>
      <c r="BB29" s="136">
        <v>0</v>
      </c>
      <c r="BC29" s="136">
        <v>0</v>
      </c>
      <c r="BD29" s="136">
        <v>0</v>
      </c>
      <c r="BE29" s="136">
        <v>0</v>
      </c>
      <c r="BF29" s="136">
        <v>0</v>
      </c>
      <c r="BG29" s="136">
        <v>0</v>
      </c>
      <c r="BH29" s="136">
        <v>0</v>
      </c>
      <c r="BI29" s="136">
        <v>0</v>
      </c>
      <c r="BJ29" s="136">
        <v>0</v>
      </c>
    </row>
    <row r="30" s="142" customFormat="1" ht="108" hidden="1" customHeight="1">
      <c r="B30" s="162"/>
      <c r="D30" s="195"/>
      <c r="E30" s="196" t="s">
        <v>538</v>
      </c>
      <c r="F30" s="196" t="s">
        <v>539</v>
      </c>
      <c r="G30" s="197" t="s">
        <v>486</v>
      </c>
      <c r="H30" s="196"/>
      <c r="I30" s="196"/>
      <c r="J30" s="196"/>
      <c r="L30" s="142" t="s">
        <v>447</v>
      </c>
      <c r="M30" s="142">
        <v>0</v>
      </c>
      <c r="N30" s="142">
        <v>0</v>
      </c>
      <c r="O30" s="142">
        <v>0</v>
      </c>
      <c r="P30" s="142">
        <v>0</v>
      </c>
      <c r="Q30" s="142">
        <v>1</v>
      </c>
      <c r="R30" s="142">
        <v>1</v>
      </c>
      <c r="S30" s="142">
        <v>0</v>
      </c>
      <c r="T30" s="142">
        <v>1</v>
      </c>
      <c r="U30" s="142">
        <v>0</v>
      </c>
      <c r="V30" s="142">
        <v>1</v>
      </c>
      <c r="W30" s="142">
        <v>0</v>
      </c>
      <c r="X30" s="142">
        <v>0</v>
      </c>
      <c r="Y30" s="142">
        <v>1</v>
      </c>
      <c r="Z30" s="142">
        <v>0</v>
      </c>
      <c r="AA30" s="142">
        <v>0</v>
      </c>
      <c r="AB30" s="142">
        <v>1</v>
      </c>
      <c r="AC30" s="142">
        <v>0</v>
      </c>
      <c r="AD30" s="142">
        <v>0</v>
      </c>
      <c r="AE30" s="142">
        <v>1</v>
      </c>
      <c r="AF30" s="142">
        <v>1</v>
      </c>
      <c r="AG30" s="142">
        <v>1</v>
      </c>
      <c r="AH30" s="142">
        <v>0</v>
      </c>
      <c r="AI30" s="142">
        <v>1</v>
      </c>
      <c r="AJ30" s="142">
        <v>1</v>
      </c>
      <c r="AK30" s="142">
        <v>1</v>
      </c>
      <c r="AL30" s="142">
        <v>0</v>
      </c>
      <c r="AM30" s="142">
        <v>1</v>
      </c>
      <c r="AN30" s="142">
        <v>0</v>
      </c>
      <c r="AO30" s="142">
        <v>0</v>
      </c>
      <c r="AP30" s="142">
        <v>1</v>
      </c>
      <c r="AQ30" s="142">
        <v>1</v>
      </c>
      <c r="AR30" s="142">
        <v>0</v>
      </c>
      <c r="AS30" s="142">
        <v>0</v>
      </c>
      <c r="AT30" s="142">
        <v>1</v>
      </c>
      <c r="AU30" s="142">
        <v>0</v>
      </c>
      <c r="AV30" s="142">
        <v>0</v>
      </c>
      <c r="AW30" s="142">
        <v>1</v>
      </c>
      <c r="AX30" s="142">
        <v>0</v>
      </c>
      <c r="AY30" s="142">
        <v>0</v>
      </c>
      <c r="AZ30" s="142">
        <v>0</v>
      </c>
      <c r="BA30" s="142">
        <v>0</v>
      </c>
      <c r="BB30" s="142">
        <v>0</v>
      </c>
      <c r="BC30" s="142">
        <v>0</v>
      </c>
      <c r="BD30" s="142">
        <v>0</v>
      </c>
      <c r="BE30" s="142">
        <v>0</v>
      </c>
      <c r="BF30" s="142">
        <v>0</v>
      </c>
      <c r="BG30" s="142">
        <v>0</v>
      </c>
      <c r="BH30" s="142">
        <v>0</v>
      </c>
      <c r="BI30" s="142">
        <v>0</v>
      </c>
      <c r="BJ30" s="142">
        <v>0</v>
      </c>
    </row>
    <row r="31" s="146" customFormat="1" ht="28.399999999999999" customHeight="1">
      <c r="A31" s="137" t="s">
        <v>481</v>
      </c>
      <c r="B31" s="136" t="s">
        <v>482</v>
      </c>
      <c r="C31" s="146" t="s">
        <v>69</v>
      </c>
      <c r="D31" s="147" t="s">
        <v>17</v>
      </c>
      <c r="E31" s="150" t="s">
        <v>540</v>
      </c>
      <c r="F31" s="184" t="s">
        <v>541</v>
      </c>
      <c r="G31" s="139" t="s">
        <v>498</v>
      </c>
      <c r="H31" s="198"/>
      <c r="I31" s="198"/>
      <c r="J31" s="184"/>
      <c r="K31" s="146">
        <v>2</v>
      </c>
      <c r="L31" s="146" t="s">
        <v>325</v>
      </c>
      <c r="M31" s="146">
        <v>1</v>
      </c>
      <c r="N31" s="146">
        <v>0</v>
      </c>
      <c r="O31" s="146">
        <v>0</v>
      </c>
      <c r="P31" s="199">
        <v>1</v>
      </c>
      <c r="Q31" s="146">
        <v>0</v>
      </c>
      <c r="R31" s="146">
        <v>0</v>
      </c>
      <c r="S31" s="146">
        <v>0</v>
      </c>
      <c r="T31" s="199">
        <v>0</v>
      </c>
      <c r="U31" s="146">
        <v>0</v>
      </c>
      <c r="V31" s="146">
        <v>0</v>
      </c>
      <c r="W31" s="146">
        <v>1</v>
      </c>
      <c r="X31" s="146">
        <v>0</v>
      </c>
      <c r="Y31" s="146">
        <v>0</v>
      </c>
      <c r="Z31" s="146">
        <v>1</v>
      </c>
      <c r="AA31" s="146">
        <v>1</v>
      </c>
      <c r="AB31" s="146">
        <v>0</v>
      </c>
      <c r="AC31" s="146">
        <v>0</v>
      </c>
      <c r="AD31" s="146">
        <v>0</v>
      </c>
      <c r="AE31" s="146">
        <v>0</v>
      </c>
      <c r="AF31" s="146">
        <v>0</v>
      </c>
      <c r="AG31" s="146">
        <v>1</v>
      </c>
      <c r="AH31" s="146">
        <v>0</v>
      </c>
      <c r="AI31" s="146">
        <v>0</v>
      </c>
      <c r="AJ31" s="146">
        <v>0</v>
      </c>
      <c r="AK31" s="146">
        <v>0</v>
      </c>
      <c r="AL31" s="146">
        <v>1</v>
      </c>
      <c r="AM31" s="146">
        <v>0</v>
      </c>
      <c r="AN31" s="146">
        <v>0</v>
      </c>
      <c r="AO31" s="146">
        <v>1</v>
      </c>
      <c r="AP31" s="146">
        <v>0</v>
      </c>
      <c r="AQ31" s="146">
        <v>1</v>
      </c>
      <c r="AR31" s="146">
        <v>0</v>
      </c>
      <c r="AS31" s="146">
        <v>0</v>
      </c>
      <c r="AT31" s="146">
        <v>0</v>
      </c>
      <c r="AU31" s="146">
        <v>1</v>
      </c>
      <c r="AV31" s="146">
        <v>0</v>
      </c>
      <c r="AW31" s="146">
        <v>0</v>
      </c>
      <c r="AX31" s="146">
        <v>1</v>
      </c>
      <c r="AY31" s="146">
        <v>0</v>
      </c>
      <c r="AZ31" s="146">
        <v>0</v>
      </c>
      <c r="BA31" s="146">
        <v>0</v>
      </c>
      <c r="BB31" s="146">
        <v>0</v>
      </c>
      <c r="BC31" s="146">
        <v>0</v>
      </c>
      <c r="BD31" s="146">
        <v>0</v>
      </c>
      <c r="BE31" s="146">
        <v>0</v>
      </c>
      <c r="BF31" s="146">
        <v>0</v>
      </c>
      <c r="BG31" s="146">
        <v>0</v>
      </c>
      <c r="BH31" s="146">
        <v>0</v>
      </c>
      <c r="BI31" s="146">
        <v>0</v>
      </c>
      <c r="BJ31" s="146">
        <v>0</v>
      </c>
    </row>
    <row r="32" s="143" customFormat="1" ht="28.399999999999999" hidden="1" customHeight="1">
      <c r="A32" s="144"/>
      <c r="D32" s="138"/>
      <c r="E32" s="141" t="s">
        <v>297</v>
      </c>
      <c r="F32" s="144" t="s">
        <v>542</v>
      </c>
      <c r="G32" s="141" t="s">
        <v>498</v>
      </c>
      <c r="H32" s="141"/>
      <c r="I32" s="141"/>
      <c r="J32" s="145"/>
      <c r="L32" s="143" t="s">
        <v>66</v>
      </c>
      <c r="M32" s="143">
        <v>0</v>
      </c>
      <c r="N32" s="143">
        <v>1</v>
      </c>
      <c r="O32" s="143">
        <v>0</v>
      </c>
      <c r="P32" s="142">
        <v>1</v>
      </c>
      <c r="Q32" s="143">
        <v>0</v>
      </c>
      <c r="R32" s="143">
        <v>0</v>
      </c>
      <c r="S32" s="143">
        <v>0</v>
      </c>
      <c r="T32" s="142">
        <v>0</v>
      </c>
      <c r="U32" s="143">
        <v>0</v>
      </c>
      <c r="V32" s="143">
        <v>1</v>
      </c>
      <c r="W32" s="143">
        <v>0</v>
      </c>
      <c r="X32" s="143">
        <v>1</v>
      </c>
      <c r="Y32" s="143">
        <v>0</v>
      </c>
      <c r="Z32" s="143">
        <v>1</v>
      </c>
      <c r="AA32" s="143">
        <v>1</v>
      </c>
      <c r="AB32" s="143">
        <v>0</v>
      </c>
      <c r="AC32" s="143">
        <v>0</v>
      </c>
      <c r="AD32" s="143">
        <v>0</v>
      </c>
      <c r="AE32" s="143">
        <v>1</v>
      </c>
      <c r="AF32" s="143">
        <v>0</v>
      </c>
      <c r="AG32" s="143">
        <v>0</v>
      </c>
      <c r="AH32" s="143">
        <v>0</v>
      </c>
      <c r="AI32" s="143">
        <v>1</v>
      </c>
      <c r="AJ32" s="143">
        <v>0</v>
      </c>
      <c r="AK32" s="143">
        <v>0</v>
      </c>
      <c r="AL32" s="143">
        <v>1</v>
      </c>
      <c r="AM32" s="143">
        <v>0</v>
      </c>
      <c r="AN32" s="143">
        <v>0</v>
      </c>
      <c r="AO32" s="143">
        <v>0</v>
      </c>
      <c r="AP32" s="143">
        <v>1</v>
      </c>
      <c r="AQ32" s="143">
        <v>1</v>
      </c>
      <c r="AR32" s="143">
        <v>0</v>
      </c>
      <c r="AS32" s="143">
        <v>0</v>
      </c>
      <c r="AT32" s="143">
        <v>0</v>
      </c>
      <c r="AU32" s="143">
        <v>1</v>
      </c>
      <c r="AV32" s="143">
        <v>1</v>
      </c>
      <c r="AW32" s="143">
        <v>0</v>
      </c>
      <c r="AX32" s="143">
        <v>0</v>
      </c>
      <c r="AY32" s="143">
        <v>0</v>
      </c>
      <c r="AZ32" s="143">
        <v>0</v>
      </c>
      <c r="BA32" s="143">
        <v>0</v>
      </c>
      <c r="BB32" s="143">
        <v>0</v>
      </c>
      <c r="BC32" s="143">
        <v>0</v>
      </c>
      <c r="BD32" s="143">
        <v>0</v>
      </c>
      <c r="BE32" s="143">
        <v>0</v>
      </c>
      <c r="BF32" s="143">
        <v>0</v>
      </c>
      <c r="BG32" s="143">
        <v>0</v>
      </c>
      <c r="BH32" s="143">
        <v>0</v>
      </c>
      <c r="BI32" s="143">
        <v>1</v>
      </c>
      <c r="BJ32" s="143">
        <v>0</v>
      </c>
    </row>
    <row r="33" s="136" customFormat="1" ht="28.5" hidden="1" customHeight="1">
      <c r="A33" s="200" t="s">
        <v>481</v>
      </c>
      <c r="B33" s="153" t="s">
        <v>513</v>
      </c>
      <c r="C33" s="146" t="s">
        <v>72</v>
      </c>
      <c r="D33" s="147" t="s">
        <v>83</v>
      </c>
      <c r="E33" s="148" t="s">
        <v>543</v>
      </c>
      <c r="F33" s="111" t="s">
        <v>544</v>
      </c>
      <c r="G33" s="161" t="s">
        <v>486</v>
      </c>
      <c r="H33" s="161"/>
      <c r="I33" s="161"/>
      <c r="J33" s="111"/>
      <c r="K33" s="150">
        <v>2</v>
      </c>
      <c r="L33" s="136" t="s">
        <v>447</v>
      </c>
      <c r="M33" s="136">
        <v>0</v>
      </c>
      <c r="N33" s="136">
        <v>1</v>
      </c>
      <c r="O33" s="136">
        <v>0</v>
      </c>
      <c r="P33" s="142">
        <v>1</v>
      </c>
      <c r="Q33" s="136">
        <v>0</v>
      </c>
      <c r="R33" s="136">
        <v>0</v>
      </c>
      <c r="S33" s="136">
        <v>0</v>
      </c>
      <c r="T33" s="142">
        <v>0</v>
      </c>
      <c r="U33" s="136">
        <v>0</v>
      </c>
      <c r="V33" s="136">
        <v>1</v>
      </c>
      <c r="W33" s="136">
        <v>0</v>
      </c>
      <c r="X33" s="136">
        <v>0</v>
      </c>
      <c r="Y33" s="136">
        <v>1</v>
      </c>
      <c r="Z33" s="136">
        <v>0</v>
      </c>
      <c r="AA33" s="136">
        <v>1</v>
      </c>
      <c r="AB33" s="136">
        <v>0</v>
      </c>
      <c r="AC33" s="136">
        <v>0</v>
      </c>
      <c r="AD33" s="136">
        <v>0</v>
      </c>
      <c r="AE33" s="136">
        <v>1</v>
      </c>
      <c r="AF33" s="136">
        <v>1</v>
      </c>
      <c r="AG33" s="136">
        <v>1</v>
      </c>
      <c r="AH33" s="136">
        <v>0</v>
      </c>
      <c r="AI33" s="136">
        <v>0</v>
      </c>
      <c r="AJ33" s="136">
        <v>1</v>
      </c>
      <c r="AK33" s="136">
        <v>1</v>
      </c>
      <c r="AL33" s="136">
        <v>1</v>
      </c>
      <c r="AM33" s="136">
        <v>0</v>
      </c>
      <c r="AN33" s="136">
        <v>0</v>
      </c>
      <c r="AO33" s="136">
        <v>1</v>
      </c>
      <c r="AP33" s="136">
        <v>0</v>
      </c>
      <c r="AQ33" s="136">
        <v>1</v>
      </c>
      <c r="AR33" s="136">
        <v>0</v>
      </c>
      <c r="AS33" s="136">
        <v>0</v>
      </c>
      <c r="AT33" s="136">
        <v>1</v>
      </c>
      <c r="AU33" s="136">
        <v>0</v>
      </c>
      <c r="AV33" s="136">
        <v>0</v>
      </c>
      <c r="AW33" s="136">
        <v>0</v>
      </c>
      <c r="AX33" s="136">
        <v>1</v>
      </c>
      <c r="AY33" s="136">
        <v>0</v>
      </c>
      <c r="AZ33" s="136">
        <v>0</v>
      </c>
      <c r="BA33" s="136">
        <v>0</v>
      </c>
      <c r="BB33" s="136">
        <v>0</v>
      </c>
      <c r="BC33" s="136">
        <v>0</v>
      </c>
      <c r="BD33" s="136">
        <v>1</v>
      </c>
      <c r="BE33" s="136">
        <v>0</v>
      </c>
      <c r="BF33" s="136">
        <v>0</v>
      </c>
      <c r="BG33" s="136">
        <v>1</v>
      </c>
      <c r="BH33" s="136">
        <v>0</v>
      </c>
      <c r="BI33" s="136">
        <v>0</v>
      </c>
      <c r="BJ33" s="136">
        <v>0</v>
      </c>
    </row>
    <row r="34" s="136" customFormat="1" ht="28.5" hidden="1" customHeight="1">
      <c r="B34" s="153"/>
      <c r="C34" s="146"/>
      <c r="D34" s="147"/>
      <c r="E34" s="201" t="s">
        <v>545</v>
      </c>
      <c r="F34" s="111" t="s">
        <v>546</v>
      </c>
      <c r="G34" s="202" t="s">
        <v>486</v>
      </c>
      <c r="H34" s="202"/>
      <c r="I34" s="202"/>
      <c r="J34" s="128" t="s">
        <v>547</v>
      </c>
      <c r="K34" s="150"/>
      <c r="L34" s="136" t="s">
        <v>492</v>
      </c>
      <c r="M34" s="136">
        <v>0</v>
      </c>
      <c r="N34" s="136">
        <v>0</v>
      </c>
      <c r="O34" s="136">
        <v>0</v>
      </c>
      <c r="P34" s="142">
        <v>0</v>
      </c>
      <c r="Q34" s="136">
        <v>0</v>
      </c>
      <c r="R34" s="136">
        <v>1</v>
      </c>
      <c r="S34" s="136">
        <v>0</v>
      </c>
      <c r="T34" s="142">
        <v>1</v>
      </c>
      <c r="U34" s="136">
        <v>0</v>
      </c>
      <c r="V34" s="136">
        <v>1</v>
      </c>
      <c r="W34" s="136">
        <v>0</v>
      </c>
      <c r="X34" s="136">
        <v>0</v>
      </c>
      <c r="Y34" s="136">
        <v>1</v>
      </c>
      <c r="Z34" s="136">
        <v>0</v>
      </c>
      <c r="AA34" s="136">
        <v>0</v>
      </c>
      <c r="AB34" s="136">
        <v>0</v>
      </c>
      <c r="AC34" s="136">
        <v>1</v>
      </c>
      <c r="AD34" s="136">
        <v>0</v>
      </c>
      <c r="AE34" s="136">
        <v>1</v>
      </c>
      <c r="AF34" s="136">
        <v>1</v>
      </c>
      <c r="AG34" s="136">
        <v>0</v>
      </c>
      <c r="AH34" s="136">
        <v>0</v>
      </c>
      <c r="AI34" s="136">
        <v>1</v>
      </c>
      <c r="AJ34" s="136">
        <v>1</v>
      </c>
      <c r="AK34" s="136">
        <v>0</v>
      </c>
      <c r="AL34" s="136">
        <v>0</v>
      </c>
      <c r="AM34" s="136">
        <v>1</v>
      </c>
      <c r="AN34" s="136">
        <v>0</v>
      </c>
      <c r="AO34" s="136">
        <v>1</v>
      </c>
      <c r="AP34" s="136">
        <v>0</v>
      </c>
      <c r="AQ34" s="136">
        <v>1</v>
      </c>
      <c r="AR34" s="136">
        <v>0</v>
      </c>
      <c r="AS34" s="136">
        <v>1</v>
      </c>
      <c r="AT34" s="136">
        <v>0</v>
      </c>
      <c r="AU34" s="136">
        <v>0</v>
      </c>
      <c r="AV34" s="136">
        <v>0</v>
      </c>
      <c r="AW34" s="136">
        <v>1</v>
      </c>
      <c r="AX34" s="136">
        <v>0</v>
      </c>
      <c r="AY34" s="136">
        <v>0</v>
      </c>
      <c r="AZ34" s="136">
        <v>0</v>
      </c>
      <c r="BA34" s="136">
        <v>0</v>
      </c>
      <c r="BB34" s="136">
        <v>0</v>
      </c>
      <c r="BC34" s="136">
        <v>0</v>
      </c>
      <c r="BD34" s="136">
        <v>1</v>
      </c>
      <c r="BE34" s="136">
        <v>0</v>
      </c>
      <c r="BF34" s="136">
        <v>0</v>
      </c>
      <c r="BG34" s="136">
        <v>0</v>
      </c>
      <c r="BH34" s="136">
        <v>0</v>
      </c>
      <c r="BI34" s="136">
        <v>0</v>
      </c>
      <c r="BJ34" s="136">
        <v>0</v>
      </c>
    </row>
    <row r="35" s="181" customFormat="1" ht="30.75" hidden="1" customHeight="1">
      <c r="A35" s="137" t="s">
        <v>481</v>
      </c>
      <c r="B35" s="174" t="s">
        <v>513</v>
      </c>
      <c r="C35" s="181" t="s">
        <v>76</v>
      </c>
      <c r="D35" s="182" t="s">
        <v>17</v>
      </c>
      <c r="E35" s="203" t="s">
        <v>548</v>
      </c>
      <c r="F35" s="184" t="s">
        <v>516</v>
      </c>
      <c r="G35" s="187" t="s">
        <v>498</v>
      </c>
      <c r="H35" s="187">
        <v>4759</v>
      </c>
      <c r="I35" s="187">
        <v>4762</v>
      </c>
      <c r="J35" s="184"/>
      <c r="K35" s="183">
        <v>27</v>
      </c>
      <c r="L35" s="181" t="s">
        <v>447</v>
      </c>
      <c r="M35" s="181">
        <v>1</v>
      </c>
      <c r="N35" s="181">
        <v>0</v>
      </c>
      <c r="O35" s="181">
        <v>0</v>
      </c>
      <c r="P35" s="142">
        <v>0</v>
      </c>
      <c r="Q35" s="181">
        <v>0</v>
      </c>
      <c r="R35" s="181">
        <v>0</v>
      </c>
      <c r="S35" s="181">
        <v>0</v>
      </c>
      <c r="T35" s="142">
        <v>0</v>
      </c>
      <c r="U35" s="181">
        <v>0</v>
      </c>
      <c r="V35" s="181">
        <v>0</v>
      </c>
      <c r="W35" s="181">
        <v>0</v>
      </c>
      <c r="X35" s="181">
        <v>0</v>
      </c>
      <c r="Y35" s="181">
        <v>0</v>
      </c>
      <c r="Z35" s="181">
        <v>0</v>
      </c>
      <c r="AA35" s="181">
        <v>0</v>
      </c>
      <c r="AB35" s="181">
        <v>0</v>
      </c>
      <c r="AC35" s="181">
        <v>0</v>
      </c>
      <c r="AD35" s="181">
        <v>0</v>
      </c>
      <c r="AE35" s="181">
        <v>0</v>
      </c>
      <c r="AF35" s="181">
        <v>0</v>
      </c>
      <c r="AG35" s="181">
        <v>0</v>
      </c>
      <c r="AH35" s="181">
        <v>0</v>
      </c>
      <c r="AI35" s="181">
        <v>0</v>
      </c>
      <c r="AJ35" s="181">
        <v>0</v>
      </c>
      <c r="AK35" s="181">
        <v>0</v>
      </c>
      <c r="AL35" s="181">
        <v>0</v>
      </c>
      <c r="AM35" s="181">
        <v>0</v>
      </c>
      <c r="AN35" s="181">
        <v>0</v>
      </c>
      <c r="AO35" s="181">
        <v>0</v>
      </c>
      <c r="AP35" s="181">
        <v>0</v>
      </c>
      <c r="AQ35" s="181">
        <v>1</v>
      </c>
      <c r="AR35" s="181">
        <v>0</v>
      </c>
      <c r="AS35" s="181">
        <v>1</v>
      </c>
      <c r="AT35" s="181">
        <v>0</v>
      </c>
      <c r="AU35" s="181">
        <v>0</v>
      </c>
      <c r="AV35" s="181">
        <v>0</v>
      </c>
      <c r="AW35" s="181">
        <v>0</v>
      </c>
      <c r="AX35" s="181">
        <v>1</v>
      </c>
      <c r="AY35" s="181">
        <v>0</v>
      </c>
      <c r="AZ35" s="181">
        <v>0</v>
      </c>
      <c r="BA35" s="181">
        <v>0</v>
      </c>
      <c r="BB35" s="181">
        <v>1</v>
      </c>
      <c r="BC35" s="181">
        <v>0</v>
      </c>
      <c r="BD35" s="181">
        <v>0</v>
      </c>
      <c r="BE35" s="181">
        <v>0</v>
      </c>
      <c r="BF35" s="181">
        <v>0</v>
      </c>
      <c r="BG35" s="181">
        <v>0</v>
      </c>
      <c r="BH35" s="181">
        <v>0</v>
      </c>
      <c r="BI35" s="181">
        <v>0</v>
      </c>
      <c r="BJ35" s="181">
        <v>0</v>
      </c>
    </row>
    <row r="36" s="174" customFormat="1" ht="30.75" hidden="1" customHeight="1">
      <c r="D36" s="186"/>
      <c r="E36" s="176" t="s">
        <v>549</v>
      </c>
      <c r="F36" s="111" t="s">
        <v>550</v>
      </c>
      <c r="G36" s="176" t="s">
        <v>498</v>
      </c>
      <c r="H36" s="176">
        <v>4820</v>
      </c>
      <c r="I36" s="176">
        <v>4850</v>
      </c>
      <c r="J36" s="111"/>
      <c r="K36" s="176"/>
      <c r="L36" s="174" t="s">
        <v>325</v>
      </c>
      <c r="M36" s="174">
        <v>1</v>
      </c>
      <c r="N36" s="174">
        <v>0</v>
      </c>
      <c r="O36" s="174">
        <v>0</v>
      </c>
      <c r="P36" s="142">
        <v>1</v>
      </c>
      <c r="Q36" s="174">
        <v>0</v>
      </c>
      <c r="R36" s="174">
        <v>0</v>
      </c>
      <c r="S36" s="174">
        <v>0</v>
      </c>
      <c r="T36" s="142">
        <v>0</v>
      </c>
      <c r="U36" s="174">
        <v>0</v>
      </c>
      <c r="V36" s="174">
        <v>1</v>
      </c>
      <c r="W36" s="174">
        <v>0</v>
      </c>
      <c r="X36" s="174">
        <v>1</v>
      </c>
      <c r="Y36" s="174">
        <v>0</v>
      </c>
      <c r="Z36" s="174">
        <v>1</v>
      </c>
      <c r="AA36" s="174">
        <v>0</v>
      </c>
      <c r="AB36" s="174">
        <v>0</v>
      </c>
      <c r="AC36" s="174">
        <v>0</v>
      </c>
      <c r="AD36" s="174">
        <v>0</v>
      </c>
      <c r="AE36" s="174">
        <v>1</v>
      </c>
      <c r="AF36" s="174">
        <v>1</v>
      </c>
      <c r="AG36" s="174">
        <v>0</v>
      </c>
      <c r="AH36" s="174">
        <v>0</v>
      </c>
      <c r="AI36" s="174">
        <v>0</v>
      </c>
      <c r="AJ36" s="174">
        <v>0</v>
      </c>
      <c r="AK36" s="174">
        <v>0</v>
      </c>
      <c r="AL36" s="174">
        <v>1</v>
      </c>
      <c r="AM36" s="174">
        <v>0</v>
      </c>
      <c r="AN36" s="174">
        <v>0</v>
      </c>
      <c r="AO36" s="174">
        <v>1</v>
      </c>
      <c r="AP36" s="174">
        <v>0</v>
      </c>
      <c r="AQ36" s="174">
        <v>0</v>
      </c>
      <c r="AR36" s="174">
        <v>0</v>
      </c>
      <c r="AS36" s="174">
        <v>0</v>
      </c>
      <c r="AT36" s="174">
        <v>0</v>
      </c>
      <c r="AU36" s="174">
        <v>0</v>
      </c>
      <c r="AV36" s="174">
        <v>0</v>
      </c>
      <c r="AW36" s="174">
        <v>0</v>
      </c>
      <c r="AX36" s="174">
        <v>0</v>
      </c>
      <c r="AY36" s="174">
        <v>0</v>
      </c>
      <c r="AZ36" s="174">
        <v>0</v>
      </c>
      <c r="BA36" s="174">
        <v>0</v>
      </c>
      <c r="BB36" s="174">
        <v>0</v>
      </c>
      <c r="BC36" s="174">
        <v>0</v>
      </c>
      <c r="BD36" s="174">
        <v>0</v>
      </c>
      <c r="BE36" s="174">
        <v>0</v>
      </c>
      <c r="BF36" s="174">
        <v>0</v>
      </c>
      <c r="BG36" s="174">
        <v>0</v>
      </c>
      <c r="BH36" s="174">
        <v>0</v>
      </c>
      <c r="BI36" s="174">
        <v>0</v>
      </c>
      <c r="BJ36" s="174">
        <v>0</v>
      </c>
    </row>
    <row r="37" s="174" customFormat="1" ht="28.399999999999999" hidden="1" customHeight="1">
      <c r="D37" s="186"/>
      <c r="E37" s="187" t="s">
        <v>551</v>
      </c>
      <c r="F37" s="111" t="s">
        <v>510</v>
      </c>
      <c r="G37" s="187" t="s">
        <v>498</v>
      </c>
      <c r="H37" s="187">
        <v>4980</v>
      </c>
      <c r="I37" s="187">
        <v>4984</v>
      </c>
      <c r="J37" s="111"/>
      <c r="K37" s="176"/>
      <c r="L37" s="174" t="s">
        <v>325</v>
      </c>
      <c r="M37" s="174">
        <v>0</v>
      </c>
      <c r="N37" s="174">
        <v>0</v>
      </c>
      <c r="O37" s="174">
        <v>1</v>
      </c>
      <c r="P37" s="142">
        <v>1</v>
      </c>
      <c r="Q37" s="174">
        <v>0</v>
      </c>
      <c r="R37" s="174">
        <v>0</v>
      </c>
      <c r="S37" s="174">
        <v>0</v>
      </c>
      <c r="T37" s="142">
        <v>0</v>
      </c>
      <c r="U37" s="174">
        <v>0</v>
      </c>
      <c r="V37" s="174">
        <v>1</v>
      </c>
      <c r="W37" s="174">
        <v>0</v>
      </c>
      <c r="X37" s="174">
        <v>1</v>
      </c>
      <c r="Y37" s="174">
        <v>0</v>
      </c>
      <c r="Z37" s="174">
        <v>1</v>
      </c>
      <c r="AA37" s="174">
        <v>1</v>
      </c>
      <c r="AB37" s="174">
        <v>0</v>
      </c>
      <c r="AC37" s="174">
        <v>0</v>
      </c>
      <c r="AD37" s="174">
        <v>0</v>
      </c>
      <c r="AE37" s="174">
        <v>0</v>
      </c>
      <c r="AF37" s="174">
        <v>0</v>
      </c>
      <c r="AG37" s="174">
        <v>1</v>
      </c>
      <c r="AH37" s="174">
        <v>1</v>
      </c>
      <c r="AI37" s="174">
        <v>1</v>
      </c>
      <c r="AJ37" s="174">
        <v>0</v>
      </c>
      <c r="AK37" s="174">
        <v>0</v>
      </c>
      <c r="AL37" s="174">
        <v>0</v>
      </c>
      <c r="AM37" s="174">
        <v>0</v>
      </c>
      <c r="AN37" s="174">
        <v>1</v>
      </c>
      <c r="AO37" s="174">
        <v>0</v>
      </c>
      <c r="AP37" s="174">
        <v>1</v>
      </c>
      <c r="AQ37" s="174">
        <v>0</v>
      </c>
      <c r="AR37" s="174">
        <v>0</v>
      </c>
      <c r="AS37" s="174">
        <v>0</v>
      </c>
      <c r="AT37" s="174">
        <v>0</v>
      </c>
      <c r="AU37" s="174">
        <v>0</v>
      </c>
      <c r="AV37" s="174">
        <v>0</v>
      </c>
      <c r="AW37" s="174">
        <v>0</v>
      </c>
      <c r="AX37" s="174">
        <v>0</v>
      </c>
      <c r="AY37" s="174">
        <v>0</v>
      </c>
      <c r="AZ37" s="174">
        <v>0</v>
      </c>
      <c r="BA37" s="174">
        <v>0</v>
      </c>
      <c r="BB37" s="174">
        <v>0</v>
      </c>
      <c r="BC37" s="174">
        <v>0</v>
      </c>
      <c r="BD37" s="174">
        <v>0</v>
      </c>
      <c r="BE37" s="174">
        <v>0</v>
      </c>
      <c r="BF37" s="174">
        <v>0</v>
      </c>
      <c r="BG37" s="174">
        <v>0</v>
      </c>
      <c r="BH37" s="174">
        <v>0</v>
      </c>
      <c r="BI37" s="174">
        <v>0</v>
      </c>
      <c r="BJ37" s="174">
        <v>0</v>
      </c>
    </row>
    <row r="38" s="174" customFormat="1" ht="58.5" hidden="1" customHeight="1">
      <c r="D38" s="186"/>
      <c r="E38" s="196" t="s">
        <v>552</v>
      </c>
      <c r="F38" s="111" t="s">
        <v>550</v>
      </c>
      <c r="G38" s="196" t="s">
        <v>498</v>
      </c>
      <c r="H38" s="196">
        <v>5220</v>
      </c>
      <c r="I38" s="196">
        <v>5250</v>
      </c>
      <c r="J38" s="111"/>
      <c r="K38" s="176"/>
      <c r="L38" s="174" t="s">
        <v>492</v>
      </c>
      <c r="M38" s="174">
        <v>0</v>
      </c>
      <c r="N38" s="174">
        <v>0</v>
      </c>
      <c r="O38" s="174">
        <v>1</v>
      </c>
      <c r="P38" s="142">
        <v>1</v>
      </c>
      <c r="Q38" s="174">
        <v>0</v>
      </c>
      <c r="R38" s="174">
        <v>0</v>
      </c>
      <c r="S38" s="174">
        <v>0</v>
      </c>
      <c r="T38" s="142">
        <v>0</v>
      </c>
      <c r="U38" s="174">
        <v>0</v>
      </c>
      <c r="V38" s="174">
        <v>1</v>
      </c>
      <c r="W38" s="174">
        <v>0</v>
      </c>
      <c r="X38" s="174">
        <v>1</v>
      </c>
      <c r="Y38" s="174">
        <v>1</v>
      </c>
      <c r="Z38" s="174">
        <v>0</v>
      </c>
      <c r="AA38" s="174">
        <v>0</v>
      </c>
      <c r="AB38" s="174">
        <v>0</v>
      </c>
      <c r="AC38" s="174">
        <v>1</v>
      </c>
      <c r="AD38" s="174">
        <v>0</v>
      </c>
      <c r="AE38" s="174">
        <v>1</v>
      </c>
      <c r="AF38" s="174">
        <v>1</v>
      </c>
      <c r="AG38" s="174">
        <v>1</v>
      </c>
      <c r="AH38" s="174">
        <v>1</v>
      </c>
      <c r="AI38" s="174">
        <v>1</v>
      </c>
      <c r="AJ38" s="174">
        <v>1</v>
      </c>
      <c r="AK38" s="174">
        <v>0</v>
      </c>
      <c r="AL38" s="174">
        <v>1</v>
      </c>
      <c r="AM38" s="174">
        <v>1</v>
      </c>
      <c r="AN38" s="174">
        <v>1</v>
      </c>
      <c r="AO38" s="174">
        <v>0</v>
      </c>
      <c r="AP38" s="174">
        <v>1</v>
      </c>
      <c r="AQ38" s="174">
        <v>1</v>
      </c>
      <c r="AR38" s="174">
        <v>0</v>
      </c>
      <c r="AS38" s="174">
        <v>0</v>
      </c>
      <c r="AT38" s="174">
        <v>0</v>
      </c>
      <c r="AU38" s="174">
        <v>0</v>
      </c>
      <c r="AV38" s="174">
        <v>0</v>
      </c>
      <c r="AW38" s="174">
        <v>1</v>
      </c>
      <c r="AX38" s="174">
        <v>0</v>
      </c>
      <c r="AY38" s="174">
        <v>0</v>
      </c>
      <c r="AZ38" s="174">
        <v>0</v>
      </c>
      <c r="BA38" s="174">
        <v>0</v>
      </c>
      <c r="BB38" s="174">
        <v>0</v>
      </c>
      <c r="BC38" s="174">
        <v>0</v>
      </c>
      <c r="BD38" s="174">
        <v>0</v>
      </c>
      <c r="BE38" s="174">
        <v>1</v>
      </c>
      <c r="BF38" s="174">
        <v>0</v>
      </c>
      <c r="BG38" s="174">
        <v>0</v>
      </c>
      <c r="BH38" s="174">
        <v>0</v>
      </c>
      <c r="BI38" s="174">
        <v>0</v>
      </c>
      <c r="BJ38" s="174">
        <v>0</v>
      </c>
    </row>
    <row r="39" s="174" customFormat="1" ht="28.5" hidden="1" customHeight="1">
      <c r="D39" s="186"/>
      <c r="E39" s="196" t="s">
        <v>553</v>
      </c>
      <c r="F39" s="111" t="s">
        <v>554</v>
      </c>
      <c r="G39" s="196" t="s">
        <v>498</v>
      </c>
      <c r="H39" s="196">
        <v>5377</v>
      </c>
      <c r="I39" s="196">
        <v>5427</v>
      </c>
      <c r="J39" s="111"/>
      <c r="K39" s="176"/>
      <c r="L39" s="174" t="s">
        <v>325</v>
      </c>
      <c r="M39" s="174">
        <v>0</v>
      </c>
      <c r="N39" s="174">
        <v>0</v>
      </c>
      <c r="O39" s="174">
        <v>0</v>
      </c>
      <c r="P39" s="142">
        <v>0</v>
      </c>
      <c r="Q39" s="174">
        <v>0</v>
      </c>
      <c r="R39" s="174">
        <v>0</v>
      </c>
      <c r="S39" s="174">
        <v>0</v>
      </c>
      <c r="T39" s="142">
        <v>0</v>
      </c>
      <c r="U39" s="174">
        <v>1</v>
      </c>
      <c r="V39" s="174">
        <v>0</v>
      </c>
      <c r="W39" s="174">
        <v>1</v>
      </c>
      <c r="X39" s="174">
        <v>1</v>
      </c>
      <c r="Y39" s="174">
        <v>0</v>
      </c>
      <c r="Z39" s="174">
        <v>1</v>
      </c>
      <c r="AA39" s="174">
        <v>0</v>
      </c>
      <c r="AB39" s="174">
        <v>0</v>
      </c>
      <c r="AC39" s="174">
        <v>0</v>
      </c>
      <c r="AD39" s="174">
        <v>1</v>
      </c>
      <c r="AE39" s="174">
        <v>1</v>
      </c>
      <c r="AF39" s="174">
        <v>1</v>
      </c>
      <c r="AG39" s="174">
        <v>1</v>
      </c>
      <c r="AH39" s="174">
        <v>0</v>
      </c>
      <c r="AI39" s="174">
        <v>0</v>
      </c>
      <c r="AJ39" s="174">
        <v>0</v>
      </c>
      <c r="AK39" s="174">
        <v>1</v>
      </c>
      <c r="AL39" s="174">
        <v>0</v>
      </c>
      <c r="AM39" s="174">
        <v>0</v>
      </c>
      <c r="AN39" s="174">
        <v>1</v>
      </c>
      <c r="AO39" s="174">
        <v>0</v>
      </c>
      <c r="AP39" s="174">
        <v>1</v>
      </c>
      <c r="AQ39" s="174">
        <v>0</v>
      </c>
      <c r="AR39" s="174">
        <v>0</v>
      </c>
      <c r="AS39" s="174">
        <v>0</v>
      </c>
      <c r="AT39" s="174">
        <v>0</v>
      </c>
      <c r="AU39" s="174">
        <v>0</v>
      </c>
      <c r="AV39" s="174">
        <v>0</v>
      </c>
      <c r="AW39" s="174">
        <v>0</v>
      </c>
      <c r="AX39" s="174">
        <v>0</v>
      </c>
      <c r="AY39" s="174">
        <v>0</v>
      </c>
      <c r="AZ39" s="174">
        <v>0</v>
      </c>
      <c r="BA39" s="174">
        <v>0</v>
      </c>
      <c r="BB39" s="174">
        <v>0</v>
      </c>
      <c r="BC39" s="174">
        <v>0</v>
      </c>
      <c r="BD39" s="174">
        <v>0</v>
      </c>
      <c r="BE39" s="174">
        <v>0</v>
      </c>
      <c r="BF39" s="174">
        <v>0</v>
      </c>
      <c r="BG39" s="174">
        <v>0</v>
      </c>
      <c r="BH39" s="174">
        <v>0</v>
      </c>
      <c r="BI39" s="174">
        <v>0</v>
      </c>
      <c r="BJ39" s="174">
        <v>0</v>
      </c>
    </row>
    <row r="40" s="174" customFormat="1" ht="28.5" hidden="1" customHeight="1">
      <c r="D40" s="186"/>
      <c r="E40" s="196" t="s">
        <v>555</v>
      </c>
      <c r="F40" s="111" t="s">
        <v>496</v>
      </c>
      <c r="G40" s="196" t="s">
        <v>498</v>
      </c>
      <c r="H40" s="196">
        <v>5498</v>
      </c>
      <c r="I40" s="196">
        <v>5514</v>
      </c>
      <c r="J40" s="111"/>
      <c r="K40" s="176"/>
      <c r="L40" s="174" t="s">
        <v>325</v>
      </c>
      <c r="M40" s="174">
        <v>0</v>
      </c>
      <c r="N40" s="174">
        <v>0</v>
      </c>
      <c r="O40" s="174">
        <v>0</v>
      </c>
      <c r="P40" s="142">
        <v>0</v>
      </c>
      <c r="Q40" s="174">
        <v>0</v>
      </c>
      <c r="R40" s="174">
        <v>0</v>
      </c>
      <c r="S40" s="174">
        <v>0</v>
      </c>
      <c r="T40" s="142">
        <v>0</v>
      </c>
      <c r="U40" s="174">
        <v>1</v>
      </c>
      <c r="V40" s="174">
        <v>0</v>
      </c>
      <c r="W40" s="174">
        <v>1</v>
      </c>
      <c r="X40" s="174">
        <v>1</v>
      </c>
      <c r="Y40" s="174">
        <v>0</v>
      </c>
      <c r="Z40" s="174">
        <v>1</v>
      </c>
      <c r="AA40" s="174">
        <v>0</v>
      </c>
      <c r="AB40" s="174">
        <v>0</v>
      </c>
      <c r="AC40" s="174">
        <v>0</v>
      </c>
      <c r="AD40" s="174">
        <v>1</v>
      </c>
      <c r="AE40" s="174">
        <v>0</v>
      </c>
      <c r="AF40" s="174">
        <v>1</v>
      </c>
      <c r="AG40" s="174">
        <v>0</v>
      </c>
      <c r="AH40" s="174">
        <v>0</v>
      </c>
      <c r="AI40" s="174">
        <v>1</v>
      </c>
      <c r="AJ40" s="174">
        <v>0</v>
      </c>
      <c r="AK40" s="174">
        <v>0</v>
      </c>
      <c r="AL40" s="174">
        <v>1</v>
      </c>
      <c r="AM40" s="174">
        <v>1</v>
      </c>
      <c r="AN40" s="174">
        <v>0</v>
      </c>
      <c r="AO40" s="174">
        <v>0</v>
      </c>
      <c r="AP40" s="174">
        <v>1</v>
      </c>
      <c r="AQ40" s="174">
        <v>0</v>
      </c>
      <c r="AR40" s="174">
        <v>0</v>
      </c>
      <c r="AS40" s="174">
        <v>0</v>
      </c>
      <c r="AT40" s="174">
        <v>0</v>
      </c>
      <c r="AU40" s="174">
        <v>0</v>
      </c>
      <c r="AV40" s="174">
        <v>0</v>
      </c>
      <c r="AW40" s="174">
        <v>0</v>
      </c>
      <c r="AX40" s="174">
        <v>0</v>
      </c>
      <c r="AY40" s="174">
        <v>0</v>
      </c>
      <c r="AZ40" s="174">
        <v>0</v>
      </c>
      <c r="BA40" s="174">
        <v>0</v>
      </c>
      <c r="BB40" s="174">
        <v>0</v>
      </c>
      <c r="BC40" s="174">
        <v>0</v>
      </c>
      <c r="BD40" s="174">
        <v>0</v>
      </c>
      <c r="BE40" s="174">
        <v>0</v>
      </c>
      <c r="BF40" s="174">
        <v>0</v>
      </c>
      <c r="BG40" s="174">
        <v>0</v>
      </c>
      <c r="BH40" s="174">
        <v>0</v>
      </c>
      <c r="BI40" s="174">
        <v>0</v>
      </c>
      <c r="BJ40" s="174">
        <v>0</v>
      </c>
    </row>
    <row r="41" s="174" customFormat="1" ht="14.25" hidden="1" customHeight="1">
      <c r="D41" s="186"/>
      <c r="E41" s="176" t="s">
        <v>556</v>
      </c>
      <c r="F41" s="111" t="s">
        <v>542</v>
      </c>
      <c r="G41" s="176" t="s">
        <v>498</v>
      </c>
      <c r="H41" s="176">
        <v>5599</v>
      </c>
      <c r="I41" s="176">
        <v>5610</v>
      </c>
      <c r="J41" s="111"/>
      <c r="K41" s="176"/>
      <c r="L41" s="174" t="s">
        <v>325</v>
      </c>
      <c r="M41" s="174">
        <v>1</v>
      </c>
      <c r="N41" s="174">
        <v>0</v>
      </c>
      <c r="O41" s="174">
        <v>0</v>
      </c>
      <c r="P41" s="142">
        <v>1</v>
      </c>
      <c r="Q41" s="174">
        <v>0</v>
      </c>
      <c r="R41" s="174">
        <v>0</v>
      </c>
      <c r="S41" s="174">
        <v>0</v>
      </c>
      <c r="T41" s="142">
        <v>0</v>
      </c>
      <c r="U41" s="174">
        <v>0</v>
      </c>
      <c r="V41" s="174">
        <v>0</v>
      </c>
      <c r="W41" s="174">
        <v>1</v>
      </c>
      <c r="X41" s="174">
        <v>0</v>
      </c>
      <c r="Y41" s="174">
        <v>1</v>
      </c>
      <c r="Z41" s="174">
        <v>0</v>
      </c>
      <c r="AA41" s="174">
        <v>1</v>
      </c>
      <c r="AB41" s="174">
        <v>0</v>
      </c>
      <c r="AC41" s="174">
        <v>0</v>
      </c>
      <c r="AD41" s="174">
        <v>0</v>
      </c>
      <c r="AE41" s="174">
        <v>1</v>
      </c>
      <c r="AF41" s="174">
        <v>1</v>
      </c>
      <c r="AG41" s="174">
        <v>0</v>
      </c>
      <c r="AH41" s="174">
        <v>0</v>
      </c>
      <c r="AI41" s="174">
        <v>0</v>
      </c>
      <c r="AJ41" s="174">
        <v>0</v>
      </c>
      <c r="AK41" s="174">
        <v>0</v>
      </c>
      <c r="AL41" s="174">
        <v>0</v>
      </c>
      <c r="AM41" s="174">
        <v>1</v>
      </c>
      <c r="AN41" s="174">
        <v>1</v>
      </c>
      <c r="AO41" s="174">
        <v>1</v>
      </c>
      <c r="AP41" s="174">
        <v>0</v>
      </c>
      <c r="AQ41" s="174">
        <v>0</v>
      </c>
      <c r="AR41" s="174">
        <v>0</v>
      </c>
      <c r="AS41" s="174">
        <v>0</v>
      </c>
      <c r="AT41" s="174">
        <v>0</v>
      </c>
      <c r="AU41" s="174">
        <v>0</v>
      </c>
      <c r="AV41" s="174">
        <v>0</v>
      </c>
      <c r="AW41" s="174">
        <v>0</v>
      </c>
      <c r="AX41" s="174">
        <v>0</v>
      </c>
      <c r="AY41" s="174">
        <v>0</v>
      </c>
      <c r="AZ41" s="174">
        <v>0</v>
      </c>
      <c r="BA41" s="174">
        <v>0</v>
      </c>
      <c r="BB41" s="174">
        <v>0</v>
      </c>
      <c r="BC41" s="174">
        <v>0</v>
      </c>
      <c r="BD41" s="174">
        <v>0</v>
      </c>
      <c r="BE41" s="174">
        <v>0</v>
      </c>
      <c r="BF41" s="174">
        <v>0</v>
      </c>
      <c r="BG41" s="174">
        <v>0</v>
      </c>
      <c r="BH41" s="174">
        <v>0</v>
      </c>
      <c r="BI41" s="174">
        <v>0</v>
      </c>
      <c r="BJ41" s="174">
        <v>0</v>
      </c>
    </row>
    <row r="42" s="174" customFormat="1" ht="28.399999999999999" hidden="1" customHeight="1">
      <c r="D42" s="186"/>
      <c r="E42" s="176" t="s">
        <v>557</v>
      </c>
      <c r="F42" s="111" t="s">
        <v>550</v>
      </c>
      <c r="G42" s="176" t="s">
        <v>498</v>
      </c>
      <c r="H42" s="176">
        <v>5670</v>
      </c>
      <c r="I42" s="176">
        <v>5700</v>
      </c>
      <c r="J42" s="111"/>
      <c r="K42" s="176"/>
      <c r="L42" s="174" t="s">
        <v>325</v>
      </c>
      <c r="M42" s="174">
        <v>1</v>
      </c>
      <c r="N42" s="174">
        <v>0</v>
      </c>
      <c r="O42" s="174">
        <v>0</v>
      </c>
      <c r="P42" s="142">
        <v>1</v>
      </c>
      <c r="Q42" s="174">
        <v>0</v>
      </c>
      <c r="R42" s="174">
        <v>0</v>
      </c>
      <c r="S42" s="174">
        <v>0</v>
      </c>
      <c r="T42" s="142">
        <v>0</v>
      </c>
      <c r="U42" s="174">
        <v>0</v>
      </c>
      <c r="V42" s="174">
        <v>0</v>
      </c>
      <c r="W42" s="174">
        <v>1</v>
      </c>
      <c r="X42" s="174">
        <v>1</v>
      </c>
      <c r="Y42" s="174">
        <v>0</v>
      </c>
      <c r="Z42" s="174">
        <v>1</v>
      </c>
      <c r="AA42" s="174">
        <v>1</v>
      </c>
      <c r="AB42" s="174">
        <v>0</v>
      </c>
      <c r="AC42" s="174">
        <v>0</v>
      </c>
      <c r="AD42" s="174">
        <v>0</v>
      </c>
      <c r="AE42" s="174">
        <v>1</v>
      </c>
      <c r="AF42" s="174">
        <v>1</v>
      </c>
      <c r="AG42" s="174">
        <v>0</v>
      </c>
      <c r="AH42" s="174">
        <v>0</v>
      </c>
      <c r="AI42" s="174">
        <v>0</v>
      </c>
      <c r="AJ42" s="174">
        <v>0</v>
      </c>
      <c r="AK42" s="174">
        <v>0</v>
      </c>
      <c r="AL42" s="174">
        <v>1</v>
      </c>
      <c r="AM42" s="174">
        <v>0</v>
      </c>
      <c r="AN42" s="174">
        <v>0</v>
      </c>
      <c r="AO42" s="174">
        <v>1</v>
      </c>
      <c r="AP42" s="174">
        <v>0</v>
      </c>
      <c r="AQ42" s="174">
        <v>0</v>
      </c>
      <c r="AR42" s="174">
        <v>0</v>
      </c>
      <c r="AS42" s="174">
        <v>0</v>
      </c>
      <c r="AT42" s="174">
        <v>0</v>
      </c>
      <c r="AU42" s="174">
        <v>0</v>
      </c>
      <c r="AV42" s="174">
        <v>0</v>
      </c>
      <c r="AW42" s="174">
        <v>0</v>
      </c>
      <c r="AX42" s="174">
        <v>0</v>
      </c>
      <c r="AY42" s="174">
        <v>0</v>
      </c>
      <c r="AZ42" s="174">
        <v>0</v>
      </c>
      <c r="BA42" s="174">
        <v>0</v>
      </c>
      <c r="BB42" s="174">
        <v>0</v>
      </c>
      <c r="BC42" s="174">
        <v>0</v>
      </c>
      <c r="BD42" s="174">
        <v>0</v>
      </c>
      <c r="BE42" s="174">
        <v>0</v>
      </c>
      <c r="BF42" s="174">
        <v>0</v>
      </c>
      <c r="BG42" s="174">
        <v>0</v>
      </c>
      <c r="BH42" s="174">
        <v>0</v>
      </c>
      <c r="BI42" s="174">
        <v>0</v>
      </c>
      <c r="BJ42" s="174">
        <v>0</v>
      </c>
    </row>
    <row r="43" s="174" customFormat="1" ht="58.5" hidden="1" customHeight="1">
      <c r="D43" s="186"/>
      <c r="E43" s="176" t="s">
        <v>558</v>
      </c>
      <c r="F43" s="111" t="s">
        <v>559</v>
      </c>
      <c r="G43" s="176" t="s">
        <v>498</v>
      </c>
      <c r="H43" s="176">
        <v>13148</v>
      </c>
      <c r="I43" s="176">
        <v>13221</v>
      </c>
      <c r="J43" s="111"/>
      <c r="K43" s="176"/>
      <c r="L43" s="174" t="s">
        <v>325</v>
      </c>
      <c r="M43" s="174">
        <v>0</v>
      </c>
      <c r="N43" s="174">
        <v>0</v>
      </c>
      <c r="O43" s="174">
        <v>0</v>
      </c>
      <c r="P43" s="142">
        <v>0</v>
      </c>
      <c r="Q43" s="174">
        <v>0</v>
      </c>
      <c r="R43" s="174">
        <v>0</v>
      </c>
      <c r="S43" s="174">
        <v>0</v>
      </c>
      <c r="T43" s="142">
        <v>0</v>
      </c>
      <c r="U43" s="174">
        <v>1</v>
      </c>
      <c r="V43" s="174">
        <v>0</v>
      </c>
      <c r="W43" s="174">
        <v>1</v>
      </c>
      <c r="X43" s="174">
        <v>0</v>
      </c>
      <c r="Y43" s="174">
        <v>1</v>
      </c>
      <c r="Z43" s="174">
        <v>0</v>
      </c>
      <c r="AA43" s="174">
        <v>0</v>
      </c>
      <c r="AB43" s="174">
        <v>0</v>
      </c>
      <c r="AC43" s="174">
        <v>0</v>
      </c>
      <c r="AD43" s="174">
        <v>1</v>
      </c>
      <c r="AE43" s="174">
        <v>1</v>
      </c>
      <c r="AF43" s="174">
        <v>1</v>
      </c>
      <c r="AG43" s="174">
        <v>1</v>
      </c>
      <c r="AH43" s="174">
        <v>0</v>
      </c>
      <c r="AI43" s="174">
        <v>0</v>
      </c>
      <c r="AJ43" s="174">
        <v>0</v>
      </c>
      <c r="AK43" s="174">
        <v>1</v>
      </c>
      <c r="AL43" s="174">
        <v>1</v>
      </c>
      <c r="AM43" s="174">
        <v>1</v>
      </c>
      <c r="AN43" s="174">
        <v>0</v>
      </c>
      <c r="AO43" s="174">
        <v>1</v>
      </c>
      <c r="AP43" s="174">
        <v>0</v>
      </c>
      <c r="AQ43" s="174">
        <v>1</v>
      </c>
      <c r="AR43" s="174">
        <v>0</v>
      </c>
      <c r="AS43" s="174">
        <v>0</v>
      </c>
      <c r="AT43" s="174">
        <v>0</v>
      </c>
      <c r="AU43" s="174">
        <v>0</v>
      </c>
      <c r="AV43" s="174">
        <v>0</v>
      </c>
      <c r="AW43" s="174">
        <v>0</v>
      </c>
      <c r="AX43" s="174">
        <v>1</v>
      </c>
      <c r="AY43" s="174">
        <v>0</v>
      </c>
      <c r="AZ43" s="174">
        <v>1</v>
      </c>
      <c r="BA43" s="174">
        <v>0</v>
      </c>
      <c r="BB43" s="174">
        <v>0</v>
      </c>
      <c r="BC43" s="174">
        <v>0</v>
      </c>
      <c r="BD43" s="174">
        <v>0</v>
      </c>
      <c r="BE43" s="174">
        <v>0</v>
      </c>
      <c r="BF43" s="174">
        <v>0</v>
      </c>
      <c r="BG43" s="174">
        <v>0</v>
      </c>
      <c r="BH43" s="174">
        <v>0</v>
      </c>
      <c r="BI43" s="174">
        <v>0</v>
      </c>
      <c r="BJ43" s="174">
        <v>0</v>
      </c>
    </row>
    <row r="44" s="174" customFormat="1" ht="58.5" hidden="1" customHeight="1">
      <c r="D44" s="186"/>
      <c r="E44" s="176" t="s">
        <v>560</v>
      </c>
      <c r="F44" s="111" t="s">
        <v>541</v>
      </c>
      <c r="G44" s="176" t="s">
        <v>498</v>
      </c>
      <c r="H44" s="176">
        <v>13701</v>
      </c>
      <c r="I44" s="176">
        <v>13709</v>
      </c>
      <c r="J44" s="111"/>
      <c r="K44" s="176"/>
      <c r="L44" s="174" t="s">
        <v>325</v>
      </c>
      <c r="M44" s="174">
        <v>1</v>
      </c>
      <c r="N44" s="174">
        <v>0</v>
      </c>
      <c r="O44" s="174">
        <v>0</v>
      </c>
      <c r="P44" s="142">
        <v>1</v>
      </c>
      <c r="Q44" s="174">
        <v>0</v>
      </c>
      <c r="R44" s="174">
        <v>0</v>
      </c>
      <c r="S44" s="174">
        <v>0</v>
      </c>
      <c r="T44" s="142">
        <v>0</v>
      </c>
      <c r="U44" s="174">
        <v>0</v>
      </c>
      <c r="V44" s="174">
        <v>1</v>
      </c>
      <c r="W44" s="174">
        <v>0</v>
      </c>
      <c r="X44" s="174">
        <v>1</v>
      </c>
      <c r="Y44" s="174">
        <v>1</v>
      </c>
      <c r="Z44" s="174">
        <v>0</v>
      </c>
      <c r="AA44" s="174">
        <v>1</v>
      </c>
      <c r="AB44" s="174">
        <v>0</v>
      </c>
      <c r="AC44" s="174">
        <v>0</v>
      </c>
      <c r="AD44" s="174">
        <v>0</v>
      </c>
      <c r="AE44" s="174">
        <v>1</v>
      </c>
      <c r="AF44" s="174">
        <v>1</v>
      </c>
      <c r="AG44" s="174">
        <v>0</v>
      </c>
      <c r="AH44" s="174">
        <v>0</v>
      </c>
      <c r="AI44" s="174">
        <v>0</v>
      </c>
      <c r="AJ44" s="174">
        <v>1</v>
      </c>
      <c r="AK44" s="174">
        <v>0</v>
      </c>
      <c r="AL44" s="174">
        <v>1</v>
      </c>
      <c r="AM44" s="174">
        <v>1</v>
      </c>
      <c r="AN44" s="174">
        <v>0</v>
      </c>
      <c r="AO44" s="174">
        <v>1</v>
      </c>
      <c r="AP44" s="174">
        <v>0</v>
      </c>
      <c r="AQ44" s="174">
        <v>0</v>
      </c>
      <c r="AR44" s="174">
        <v>0</v>
      </c>
      <c r="AS44" s="174">
        <v>0</v>
      </c>
      <c r="AT44" s="174">
        <v>0</v>
      </c>
      <c r="AU44" s="174">
        <v>0</v>
      </c>
      <c r="AV44" s="174">
        <v>0</v>
      </c>
      <c r="AW44" s="174">
        <v>0</v>
      </c>
      <c r="AX44" s="174">
        <v>0</v>
      </c>
      <c r="AY44" s="174">
        <v>0</v>
      </c>
      <c r="AZ44" s="174">
        <v>0</v>
      </c>
      <c r="BA44" s="174">
        <v>0</v>
      </c>
      <c r="BB44" s="174">
        <v>0</v>
      </c>
      <c r="BC44" s="174">
        <v>0</v>
      </c>
      <c r="BD44" s="174">
        <v>0</v>
      </c>
      <c r="BE44" s="174">
        <v>0</v>
      </c>
      <c r="BF44" s="174">
        <v>0</v>
      </c>
      <c r="BG44" s="174">
        <v>0</v>
      </c>
      <c r="BH44" s="174">
        <v>0</v>
      </c>
      <c r="BI44" s="174">
        <v>0</v>
      </c>
      <c r="BJ44" s="174">
        <v>0</v>
      </c>
    </row>
    <row r="45" s="174" customFormat="1" ht="58.5" hidden="1" customHeight="1">
      <c r="D45" s="186"/>
      <c r="E45" s="204" t="s">
        <v>561</v>
      </c>
      <c r="F45" s="111" t="s">
        <v>562</v>
      </c>
      <c r="G45" s="204" t="s">
        <v>498</v>
      </c>
      <c r="H45" s="204">
        <v>13822</v>
      </c>
      <c r="I45" s="204">
        <v>13857</v>
      </c>
      <c r="J45" s="111"/>
      <c r="K45" s="176"/>
      <c r="L45" s="174" t="s">
        <v>325</v>
      </c>
      <c r="M45" s="174">
        <v>1</v>
      </c>
      <c r="N45" s="174">
        <v>0</v>
      </c>
      <c r="O45" s="174">
        <v>0</v>
      </c>
      <c r="P45" s="142">
        <v>1</v>
      </c>
      <c r="Q45" s="174">
        <v>0</v>
      </c>
      <c r="R45" s="174">
        <v>0</v>
      </c>
      <c r="S45" s="174">
        <v>0</v>
      </c>
      <c r="T45" s="142">
        <v>0</v>
      </c>
      <c r="U45" s="174">
        <v>0</v>
      </c>
      <c r="V45" s="174">
        <v>0</v>
      </c>
      <c r="W45" s="174">
        <v>1</v>
      </c>
      <c r="X45" s="174">
        <v>1</v>
      </c>
      <c r="Y45" s="174">
        <v>0</v>
      </c>
      <c r="Z45" s="174">
        <v>1</v>
      </c>
      <c r="AA45" s="174">
        <v>1</v>
      </c>
      <c r="AB45" s="174">
        <v>0</v>
      </c>
      <c r="AC45" s="174">
        <v>0</v>
      </c>
      <c r="AD45" s="174">
        <v>0</v>
      </c>
      <c r="AE45" s="174">
        <v>1</v>
      </c>
      <c r="AF45" s="174">
        <v>1</v>
      </c>
      <c r="AG45" s="174">
        <v>1</v>
      </c>
      <c r="AH45" s="174">
        <v>0</v>
      </c>
      <c r="AI45" s="174">
        <v>0</v>
      </c>
      <c r="AJ45" s="174">
        <v>0</v>
      </c>
      <c r="AK45" s="174">
        <v>0</v>
      </c>
      <c r="AL45" s="174">
        <v>1</v>
      </c>
      <c r="AM45" s="174">
        <v>1</v>
      </c>
      <c r="AN45" s="174">
        <v>0</v>
      </c>
      <c r="AO45" s="174">
        <v>0</v>
      </c>
      <c r="AP45" s="174">
        <v>1</v>
      </c>
      <c r="AQ45" s="174">
        <v>0</v>
      </c>
      <c r="AR45" s="174">
        <v>0</v>
      </c>
      <c r="AS45" s="174">
        <v>0</v>
      </c>
      <c r="AT45" s="174">
        <v>0</v>
      </c>
      <c r="AU45" s="174">
        <v>0</v>
      </c>
      <c r="AV45" s="174">
        <v>0</v>
      </c>
      <c r="AW45" s="174">
        <v>0</v>
      </c>
      <c r="AX45" s="174">
        <v>0</v>
      </c>
      <c r="AY45" s="174">
        <v>0</v>
      </c>
      <c r="AZ45" s="174">
        <v>0</v>
      </c>
      <c r="BA45" s="174">
        <v>0</v>
      </c>
      <c r="BB45" s="174">
        <v>0</v>
      </c>
      <c r="BC45" s="174">
        <v>0</v>
      </c>
      <c r="BD45" s="174">
        <v>0</v>
      </c>
      <c r="BE45" s="174">
        <v>0</v>
      </c>
      <c r="BF45" s="174">
        <v>0</v>
      </c>
      <c r="BG45" s="174">
        <v>0</v>
      </c>
      <c r="BH45" s="174">
        <v>0</v>
      </c>
      <c r="BI45" s="174">
        <v>0</v>
      </c>
      <c r="BJ45" s="174">
        <v>0</v>
      </c>
    </row>
    <row r="46" s="174" customFormat="1" ht="58.5" hidden="1" customHeight="1">
      <c r="D46" s="186"/>
      <c r="E46" s="204" t="s">
        <v>563</v>
      </c>
      <c r="F46" s="111" t="s">
        <v>510</v>
      </c>
      <c r="G46" s="204" t="s">
        <v>498</v>
      </c>
      <c r="H46" s="204">
        <v>14041</v>
      </c>
      <c r="I46" s="204">
        <v>14045</v>
      </c>
      <c r="J46" s="111"/>
      <c r="K46" s="176"/>
      <c r="L46" s="174" t="s">
        <v>325</v>
      </c>
      <c r="M46" s="174">
        <v>1</v>
      </c>
      <c r="N46" s="174">
        <v>0</v>
      </c>
      <c r="O46" s="174">
        <v>0</v>
      </c>
      <c r="P46" s="142">
        <v>1</v>
      </c>
      <c r="Q46" s="174">
        <v>0</v>
      </c>
      <c r="R46" s="174">
        <v>0</v>
      </c>
      <c r="S46" s="174">
        <v>0</v>
      </c>
      <c r="T46" s="142">
        <v>0</v>
      </c>
      <c r="U46" s="174">
        <v>0</v>
      </c>
      <c r="V46" s="174">
        <v>0</v>
      </c>
      <c r="W46" s="174">
        <v>1</v>
      </c>
      <c r="X46" s="174">
        <v>0</v>
      </c>
      <c r="Y46" s="174">
        <v>1</v>
      </c>
      <c r="Z46" s="174">
        <v>0</v>
      </c>
      <c r="AA46" s="174">
        <v>1</v>
      </c>
      <c r="AB46" s="174">
        <v>0</v>
      </c>
      <c r="AC46" s="174">
        <v>0</v>
      </c>
      <c r="AD46" s="174">
        <v>0</v>
      </c>
      <c r="AE46" s="174">
        <v>1</v>
      </c>
      <c r="AF46" s="174">
        <v>1</v>
      </c>
      <c r="AG46" s="174">
        <v>0</v>
      </c>
      <c r="AH46" s="174">
        <v>0</v>
      </c>
      <c r="AI46" s="174">
        <v>0</v>
      </c>
      <c r="AJ46" s="174">
        <v>0</v>
      </c>
      <c r="AK46" s="174">
        <v>0</v>
      </c>
      <c r="AL46" s="174">
        <v>0</v>
      </c>
      <c r="AM46" s="174">
        <v>1</v>
      </c>
      <c r="AN46" s="174">
        <v>1</v>
      </c>
      <c r="AO46" s="174">
        <v>1</v>
      </c>
      <c r="AP46" s="174">
        <v>0</v>
      </c>
      <c r="AQ46" s="174">
        <v>0</v>
      </c>
      <c r="AR46" s="174">
        <v>0</v>
      </c>
      <c r="AS46" s="174">
        <v>0</v>
      </c>
      <c r="AT46" s="174">
        <v>0</v>
      </c>
      <c r="AU46" s="174">
        <v>0</v>
      </c>
      <c r="AV46" s="174">
        <v>0</v>
      </c>
      <c r="AW46" s="174">
        <v>0</v>
      </c>
      <c r="AX46" s="174">
        <v>0</v>
      </c>
      <c r="AY46" s="174">
        <v>0</v>
      </c>
      <c r="AZ46" s="174">
        <v>0</v>
      </c>
      <c r="BA46" s="174">
        <v>0</v>
      </c>
      <c r="BB46" s="174">
        <v>0</v>
      </c>
      <c r="BC46" s="174">
        <v>0</v>
      </c>
      <c r="BD46" s="174">
        <v>0</v>
      </c>
      <c r="BE46" s="174">
        <v>0</v>
      </c>
      <c r="BF46" s="174">
        <v>0</v>
      </c>
      <c r="BG46" s="174">
        <v>0</v>
      </c>
      <c r="BH46" s="174">
        <v>0</v>
      </c>
      <c r="BI46" s="174">
        <v>0</v>
      </c>
      <c r="BJ46" s="174">
        <v>0</v>
      </c>
    </row>
    <row r="47" s="174" customFormat="1" ht="48.75" hidden="1" customHeight="1">
      <c r="D47" s="186"/>
      <c r="E47" s="187" t="s">
        <v>564</v>
      </c>
      <c r="F47" s="111" t="s">
        <v>565</v>
      </c>
      <c r="G47" s="187" t="s">
        <v>498</v>
      </c>
      <c r="H47" s="187">
        <v>14251</v>
      </c>
      <c r="I47" s="187">
        <v>14334</v>
      </c>
      <c r="J47" s="111"/>
      <c r="K47" s="176"/>
      <c r="L47" s="174" t="s">
        <v>325</v>
      </c>
      <c r="M47" s="174">
        <v>1</v>
      </c>
      <c r="N47" s="174">
        <v>0</v>
      </c>
      <c r="O47" s="174">
        <v>0</v>
      </c>
      <c r="P47" s="142">
        <v>1</v>
      </c>
      <c r="Q47" s="174">
        <v>0</v>
      </c>
      <c r="R47" s="174">
        <v>0</v>
      </c>
      <c r="S47" s="174">
        <v>0</v>
      </c>
      <c r="T47" s="174">
        <v>0</v>
      </c>
      <c r="U47" s="174">
        <v>0</v>
      </c>
      <c r="V47" s="174">
        <v>0</v>
      </c>
      <c r="W47" s="174">
        <v>1</v>
      </c>
      <c r="X47" s="174">
        <v>0</v>
      </c>
      <c r="Y47" s="174">
        <v>1</v>
      </c>
      <c r="Z47" s="174">
        <v>0</v>
      </c>
      <c r="AA47" s="174">
        <v>1</v>
      </c>
      <c r="AB47" s="174">
        <v>0</v>
      </c>
      <c r="AC47" s="174">
        <v>0</v>
      </c>
      <c r="AD47" s="174">
        <v>0</v>
      </c>
      <c r="AE47" s="174">
        <v>1</v>
      </c>
      <c r="AF47" s="174">
        <v>1</v>
      </c>
      <c r="AG47" s="174">
        <v>1</v>
      </c>
      <c r="AH47" s="174">
        <v>0</v>
      </c>
      <c r="AI47" s="174">
        <v>0</v>
      </c>
      <c r="AJ47" s="174">
        <v>0</v>
      </c>
      <c r="AK47" s="174">
        <v>0</v>
      </c>
      <c r="AL47" s="174">
        <v>1</v>
      </c>
      <c r="AM47" s="174">
        <v>1</v>
      </c>
      <c r="AN47" s="174">
        <v>1</v>
      </c>
      <c r="AO47" s="174">
        <v>0</v>
      </c>
      <c r="AP47" s="174">
        <v>1</v>
      </c>
      <c r="AQ47" s="174">
        <v>0</v>
      </c>
      <c r="AR47" s="174">
        <v>0</v>
      </c>
      <c r="AS47" s="174">
        <v>0</v>
      </c>
      <c r="AT47" s="174">
        <v>0</v>
      </c>
      <c r="AU47" s="174">
        <v>0</v>
      </c>
      <c r="AV47" s="174">
        <v>0</v>
      </c>
      <c r="AW47" s="174">
        <v>0</v>
      </c>
      <c r="AX47" s="174">
        <v>0</v>
      </c>
      <c r="AY47" s="174">
        <v>0</v>
      </c>
      <c r="AZ47" s="174">
        <v>0</v>
      </c>
      <c r="BA47" s="174">
        <v>0</v>
      </c>
      <c r="BB47" s="174">
        <v>0</v>
      </c>
      <c r="BC47" s="174">
        <v>0</v>
      </c>
      <c r="BD47" s="174">
        <v>0</v>
      </c>
      <c r="BE47" s="174">
        <v>0</v>
      </c>
      <c r="BF47" s="174">
        <v>0</v>
      </c>
      <c r="BG47" s="174">
        <v>0</v>
      </c>
      <c r="BH47" s="174">
        <v>0</v>
      </c>
      <c r="BI47" s="174">
        <v>0</v>
      </c>
      <c r="BJ47" s="174">
        <v>0</v>
      </c>
    </row>
    <row r="48" s="174" customFormat="1" ht="33.75" hidden="1" customHeight="1">
      <c r="D48" s="186"/>
      <c r="E48" s="176" t="s">
        <v>566</v>
      </c>
      <c r="F48" s="111" t="s">
        <v>567</v>
      </c>
      <c r="G48" s="176" t="s">
        <v>498</v>
      </c>
      <c r="H48" s="176">
        <v>14400</v>
      </c>
      <c r="I48" s="176">
        <v>14498</v>
      </c>
      <c r="J48" s="111"/>
      <c r="K48" s="176"/>
      <c r="L48" s="174" t="s">
        <v>325</v>
      </c>
      <c r="M48" s="174">
        <v>1</v>
      </c>
      <c r="N48" s="174">
        <v>0</v>
      </c>
      <c r="O48" s="174">
        <v>0</v>
      </c>
      <c r="P48" s="142">
        <v>1</v>
      </c>
      <c r="Q48" s="174">
        <v>0</v>
      </c>
      <c r="R48" s="174">
        <v>0</v>
      </c>
      <c r="S48" s="174">
        <v>0</v>
      </c>
      <c r="T48" s="174">
        <v>0</v>
      </c>
      <c r="U48" s="174">
        <v>0</v>
      </c>
      <c r="V48" s="174">
        <v>0</v>
      </c>
      <c r="W48" s="174">
        <v>1</v>
      </c>
      <c r="X48" s="174">
        <v>0</v>
      </c>
      <c r="Y48" s="174">
        <v>0</v>
      </c>
      <c r="Z48" s="174">
        <v>1</v>
      </c>
      <c r="AA48" s="174">
        <v>1</v>
      </c>
      <c r="AB48" s="174">
        <v>0</v>
      </c>
      <c r="AC48" s="174">
        <v>0</v>
      </c>
      <c r="AD48" s="174">
        <v>0</v>
      </c>
      <c r="AE48" s="174">
        <v>1</v>
      </c>
      <c r="AF48" s="174">
        <v>1</v>
      </c>
      <c r="AG48" s="174">
        <v>1</v>
      </c>
      <c r="AH48" s="174">
        <v>0</v>
      </c>
      <c r="AI48" s="174">
        <v>1</v>
      </c>
      <c r="AJ48" s="174">
        <v>0</v>
      </c>
      <c r="AK48" s="174">
        <v>1</v>
      </c>
      <c r="AL48" s="174">
        <v>1</v>
      </c>
      <c r="AM48" s="174">
        <v>0</v>
      </c>
      <c r="AN48" s="174">
        <v>0</v>
      </c>
      <c r="AO48" s="174">
        <v>0</v>
      </c>
      <c r="AP48" s="174">
        <v>1</v>
      </c>
      <c r="AQ48" s="174">
        <v>0</v>
      </c>
      <c r="AR48" s="174">
        <v>0</v>
      </c>
      <c r="AS48" s="174">
        <v>0</v>
      </c>
      <c r="AT48" s="174">
        <v>0</v>
      </c>
      <c r="AU48" s="174">
        <v>0</v>
      </c>
      <c r="AV48" s="174">
        <v>0</v>
      </c>
      <c r="AW48" s="174">
        <v>0</v>
      </c>
      <c r="AX48" s="174">
        <v>0</v>
      </c>
      <c r="AY48" s="174">
        <v>0</v>
      </c>
      <c r="AZ48" s="174">
        <v>0</v>
      </c>
      <c r="BA48" s="174">
        <v>0</v>
      </c>
      <c r="BB48" s="174">
        <v>0</v>
      </c>
      <c r="BC48" s="174">
        <v>0</v>
      </c>
      <c r="BD48" s="174">
        <v>0</v>
      </c>
      <c r="BE48" s="174">
        <v>0</v>
      </c>
      <c r="BF48" s="174">
        <v>0</v>
      </c>
      <c r="BG48" s="174">
        <v>0</v>
      </c>
      <c r="BH48" s="174">
        <v>0</v>
      </c>
      <c r="BI48" s="174">
        <v>0</v>
      </c>
      <c r="BJ48" s="174">
        <v>0</v>
      </c>
    </row>
    <row r="49" s="174" customFormat="1" ht="33.75" hidden="1" customHeight="1">
      <c r="D49" s="186"/>
      <c r="E49" s="176" t="s">
        <v>568</v>
      </c>
      <c r="F49" s="111" t="s">
        <v>554</v>
      </c>
      <c r="G49" s="176" t="s">
        <v>498</v>
      </c>
      <c r="H49" s="176">
        <v>14530</v>
      </c>
      <c r="I49" s="176">
        <v>14580</v>
      </c>
      <c r="J49" s="111"/>
      <c r="K49" s="176"/>
      <c r="L49" s="174" t="s">
        <v>325</v>
      </c>
      <c r="M49" s="174">
        <v>0</v>
      </c>
      <c r="N49" s="174">
        <v>1</v>
      </c>
      <c r="O49" s="174">
        <v>0</v>
      </c>
      <c r="P49" s="142">
        <v>1</v>
      </c>
      <c r="Q49" s="174">
        <v>0</v>
      </c>
      <c r="R49" s="174">
        <v>0</v>
      </c>
      <c r="S49" s="174">
        <v>0</v>
      </c>
      <c r="T49" s="174">
        <v>0</v>
      </c>
      <c r="U49" s="174">
        <v>0</v>
      </c>
      <c r="V49" s="174">
        <v>1</v>
      </c>
      <c r="W49" s="174">
        <v>0</v>
      </c>
      <c r="X49" s="174">
        <v>0</v>
      </c>
      <c r="Y49" s="174">
        <v>0</v>
      </c>
      <c r="Z49" s="174">
        <v>1</v>
      </c>
      <c r="AA49" s="174">
        <v>1</v>
      </c>
      <c r="AB49" s="174">
        <v>0</v>
      </c>
      <c r="AC49" s="174">
        <v>0</v>
      </c>
      <c r="AD49" s="174">
        <v>0</v>
      </c>
      <c r="AE49" s="174">
        <v>1</v>
      </c>
      <c r="AF49" s="174">
        <v>1</v>
      </c>
      <c r="AG49" s="174">
        <v>1</v>
      </c>
      <c r="AH49" s="174">
        <v>0</v>
      </c>
      <c r="AI49" s="174">
        <v>1</v>
      </c>
      <c r="AJ49" s="174">
        <v>0</v>
      </c>
      <c r="AK49" s="174">
        <v>0</v>
      </c>
      <c r="AL49" s="174">
        <v>1</v>
      </c>
      <c r="AM49" s="174">
        <v>0</v>
      </c>
      <c r="AN49" s="174">
        <v>0</v>
      </c>
      <c r="AO49" s="174">
        <v>0</v>
      </c>
      <c r="AP49" s="174">
        <v>1</v>
      </c>
      <c r="AQ49" s="174">
        <v>0</v>
      </c>
      <c r="AR49" s="174">
        <v>0</v>
      </c>
      <c r="AS49" s="174">
        <v>0</v>
      </c>
      <c r="AT49" s="174">
        <v>0</v>
      </c>
      <c r="AU49" s="174">
        <v>0</v>
      </c>
      <c r="AV49" s="174">
        <v>0</v>
      </c>
      <c r="AW49" s="174">
        <v>0</v>
      </c>
      <c r="AX49" s="174">
        <v>0</v>
      </c>
      <c r="AY49" s="174">
        <v>0</v>
      </c>
      <c r="AZ49" s="174">
        <v>0</v>
      </c>
      <c r="BA49" s="174">
        <v>0</v>
      </c>
      <c r="BB49" s="174">
        <v>0</v>
      </c>
      <c r="BC49" s="174">
        <v>0</v>
      </c>
      <c r="BD49" s="174">
        <v>0</v>
      </c>
      <c r="BE49" s="174">
        <v>0</v>
      </c>
      <c r="BF49" s="174">
        <v>0</v>
      </c>
      <c r="BG49" s="174">
        <v>0</v>
      </c>
      <c r="BH49" s="174">
        <v>0</v>
      </c>
      <c r="BI49" s="174">
        <v>0</v>
      </c>
      <c r="BJ49" s="174">
        <v>0</v>
      </c>
    </row>
    <row r="50" s="174" customFormat="1" ht="33.75" hidden="1" customHeight="1">
      <c r="D50" s="186"/>
      <c r="E50" s="176" t="s">
        <v>569</v>
      </c>
      <c r="F50" s="111" t="s">
        <v>485</v>
      </c>
      <c r="G50" s="176" t="s">
        <v>498</v>
      </c>
      <c r="H50" s="176">
        <v>14619</v>
      </c>
      <c r="I50" s="176">
        <v>14679</v>
      </c>
      <c r="J50" s="111"/>
      <c r="K50" s="176"/>
      <c r="L50" s="174" t="s">
        <v>325</v>
      </c>
      <c r="M50" s="174">
        <v>0</v>
      </c>
      <c r="N50" s="174">
        <v>1</v>
      </c>
      <c r="O50" s="174">
        <v>0</v>
      </c>
      <c r="P50" s="142">
        <v>1</v>
      </c>
      <c r="Q50" s="174">
        <v>0</v>
      </c>
      <c r="R50" s="174">
        <v>0</v>
      </c>
      <c r="S50" s="174">
        <v>0</v>
      </c>
      <c r="T50" s="174">
        <v>0</v>
      </c>
      <c r="U50" s="174">
        <v>0</v>
      </c>
      <c r="V50" s="174">
        <v>1</v>
      </c>
      <c r="W50" s="174">
        <v>0</v>
      </c>
      <c r="X50" s="174">
        <v>0</v>
      </c>
      <c r="Y50" s="174">
        <v>0</v>
      </c>
      <c r="Z50" s="174">
        <v>1</v>
      </c>
      <c r="AA50" s="174">
        <v>1</v>
      </c>
      <c r="AB50" s="174">
        <v>0</v>
      </c>
      <c r="AC50" s="174">
        <v>0</v>
      </c>
      <c r="AD50" s="174">
        <v>0</v>
      </c>
      <c r="AE50" s="174">
        <v>1</v>
      </c>
      <c r="AF50" s="174">
        <v>1</v>
      </c>
      <c r="AG50" s="174">
        <v>1</v>
      </c>
      <c r="AH50" s="174">
        <v>0</v>
      </c>
      <c r="AI50" s="174">
        <v>1</v>
      </c>
      <c r="AJ50" s="174">
        <v>1</v>
      </c>
      <c r="AK50" s="174">
        <v>0</v>
      </c>
      <c r="AL50" s="174">
        <v>1</v>
      </c>
      <c r="AM50" s="174">
        <v>1</v>
      </c>
      <c r="AN50" s="174">
        <v>0</v>
      </c>
      <c r="AO50" s="174">
        <v>0</v>
      </c>
      <c r="AP50" s="174">
        <v>1</v>
      </c>
      <c r="AQ50" s="174">
        <v>0</v>
      </c>
      <c r="AR50" s="174">
        <v>0</v>
      </c>
      <c r="AS50" s="174">
        <v>0</v>
      </c>
      <c r="AT50" s="174">
        <v>0</v>
      </c>
      <c r="AU50" s="174">
        <v>0</v>
      </c>
      <c r="AV50" s="174">
        <v>0</v>
      </c>
      <c r="AW50" s="174">
        <v>0</v>
      </c>
      <c r="AX50" s="174">
        <v>0</v>
      </c>
      <c r="AY50" s="174">
        <v>0</v>
      </c>
      <c r="AZ50" s="174">
        <v>0</v>
      </c>
      <c r="BA50" s="174">
        <v>0</v>
      </c>
      <c r="BB50" s="174">
        <v>0</v>
      </c>
      <c r="BC50" s="174">
        <v>0</v>
      </c>
      <c r="BD50" s="174">
        <v>0</v>
      </c>
      <c r="BE50" s="174">
        <v>0</v>
      </c>
      <c r="BF50" s="174">
        <v>0</v>
      </c>
      <c r="BG50" s="174">
        <v>0</v>
      </c>
      <c r="BH50" s="174">
        <v>0</v>
      </c>
      <c r="BI50" s="174">
        <v>0</v>
      </c>
      <c r="BJ50" s="174">
        <v>0</v>
      </c>
    </row>
    <row r="51" s="174" customFormat="1" ht="33.75" hidden="1" customHeight="1">
      <c r="D51" s="186"/>
      <c r="E51" s="205" t="s">
        <v>570</v>
      </c>
      <c r="F51" s="111" t="s">
        <v>502</v>
      </c>
      <c r="G51" s="205" t="s">
        <v>498</v>
      </c>
      <c r="H51" s="205">
        <v>14851</v>
      </c>
      <c r="I51" s="205">
        <v>14868</v>
      </c>
      <c r="J51" s="111"/>
      <c r="K51" s="176"/>
      <c r="L51" s="174" t="s">
        <v>325</v>
      </c>
      <c r="M51" s="174">
        <v>1</v>
      </c>
      <c r="N51" s="174">
        <v>0</v>
      </c>
      <c r="O51" s="174">
        <v>0</v>
      </c>
      <c r="P51" s="142">
        <v>1</v>
      </c>
      <c r="Q51" s="174">
        <v>0</v>
      </c>
      <c r="R51" s="174">
        <v>0</v>
      </c>
      <c r="S51" s="174">
        <v>0</v>
      </c>
      <c r="T51" s="174">
        <v>0</v>
      </c>
      <c r="U51" s="174">
        <v>0</v>
      </c>
      <c r="V51" s="174">
        <v>1</v>
      </c>
      <c r="W51" s="174">
        <v>0</v>
      </c>
      <c r="X51" s="174">
        <v>0</v>
      </c>
      <c r="Y51" s="174">
        <v>0</v>
      </c>
      <c r="Z51" s="174">
        <v>1</v>
      </c>
      <c r="AA51" s="174">
        <v>1</v>
      </c>
      <c r="AB51" s="174">
        <v>0</v>
      </c>
      <c r="AC51" s="174">
        <v>0</v>
      </c>
      <c r="AD51" s="174">
        <v>0</v>
      </c>
      <c r="AE51" s="174">
        <v>1</v>
      </c>
      <c r="AF51" s="174">
        <v>1</v>
      </c>
      <c r="AG51" s="174">
        <v>0</v>
      </c>
      <c r="AH51" s="174">
        <v>0</v>
      </c>
      <c r="AI51" s="174">
        <v>0</v>
      </c>
      <c r="AJ51" s="174">
        <v>0</v>
      </c>
      <c r="AK51" s="174">
        <v>0</v>
      </c>
      <c r="AL51" s="174">
        <v>0</v>
      </c>
      <c r="AM51" s="174">
        <v>1</v>
      </c>
      <c r="AN51" s="174">
        <v>0</v>
      </c>
      <c r="AO51" s="174">
        <v>0</v>
      </c>
      <c r="AP51" s="174">
        <v>1</v>
      </c>
      <c r="AQ51" s="174">
        <v>0</v>
      </c>
      <c r="AR51" s="174">
        <v>0</v>
      </c>
      <c r="AS51" s="174">
        <v>0</v>
      </c>
      <c r="AT51" s="174">
        <v>0</v>
      </c>
      <c r="AU51" s="174">
        <v>0</v>
      </c>
      <c r="AV51" s="174">
        <v>0</v>
      </c>
      <c r="AW51" s="174">
        <v>0</v>
      </c>
      <c r="AX51" s="174">
        <v>0</v>
      </c>
      <c r="AY51" s="174">
        <v>0</v>
      </c>
      <c r="AZ51" s="174">
        <v>0</v>
      </c>
      <c r="BA51" s="174">
        <v>0</v>
      </c>
      <c r="BB51" s="174">
        <v>0</v>
      </c>
      <c r="BC51" s="174">
        <v>0</v>
      </c>
      <c r="BD51" s="174">
        <v>0</v>
      </c>
      <c r="BE51" s="174">
        <v>0</v>
      </c>
      <c r="BF51" s="174">
        <v>0</v>
      </c>
      <c r="BG51" s="174">
        <v>0</v>
      </c>
      <c r="BH51" s="174">
        <v>0</v>
      </c>
      <c r="BI51" s="174">
        <v>0</v>
      </c>
      <c r="BJ51" s="174">
        <v>0</v>
      </c>
    </row>
    <row r="52" s="174" customFormat="1" ht="33.75" hidden="1" customHeight="1">
      <c r="D52" s="186"/>
      <c r="E52" s="205" t="s">
        <v>571</v>
      </c>
      <c r="F52" s="111" t="s">
        <v>572</v>
      </c>
      <c r="G52" s="205" t="s">
        <v>498</v>
      </c>
      <c r="H52" s="205">
        <v>14927</v>
      </c>
      <c r="I52" s="205">
        <v>14953</v>
      </c>
      <c r="J52" s="111"/>
      <c r="K52" s="176"/>
      <c r="L52" s="174" t="s">
        <v>325</v>
      </c>
      <c r="M52" s="174">
        <v>1</v>
      </c>
      <c r="N52" s="174">
        <v>0</v>
      </c>
      <c r="O52" s="174">
        <v>0</v>
      </c>
      <c r="P52" s="142">
        <v>1</v>
      </c>
      <c r="Q52" s="174">
        <v>0</v>
      </c>
      <c r="R52" s="174">
        <v>0</v>
      </c>
      <c r="S52" s="174">
        <v>0</v>
      </c>
      <c r="T52" s="174">
        <v>0</v>
      </c>
      <c r="U52" s="174">
        <v>0</v>
      </c>
      <c r="V52" s="174">
        <v>1</v>
      </c>
      <c r="W52" s="174">
        <v>0</v>
      </c>
      <c r="X52" s="174">
        <v>0</v>
      </c>
      <c r="Y52" s="174">
        <v>0</v>
      </c>
      <c r="Z52" s="174">
        <v>1</v>
      </c>
      <c r="AA52" s="174">
        <v>1</v>
      </c>
      <c r="AB52" s="174">
        <v>0</v>
      </c>
      <c r="AC52" s="174">
        <v>0</v>
      </c>
      <c r="AD52" s="174">
        <v>0</v>
      </c>
      <c r="AE52" s="174">
        <v>1</v>
      </c>
      <c r="AF52" s="174">
        <v>1</v>
      </c>
      <c r="AG52" s="174">
        <v>0</v>
      </c>
      <c r="AH52" s="174">
        <v>0</v>
      </c>
      <c r="AI52" s="174">
        <v>0</v>
      </c>
      <c r="AJ52" s="174">
        <v>0</v>
      </c>
      <c r="AK52" s="174">
        <v>1</v>
      </c>
      <c r="AL52" s="174">
        <v>1</v>
      </c>
      <c r="AM52" s="174">
        <v>1</v>
      </c>
      <c r="AN52" s="174">
        <v>1</v>
      </c>
      <c r="AO52" s="174">
        <v>0</v>
      </c>
      <c r="AP52" s="174">
        <v>1</v>
      </c>
      <c r="AQ52" s="174">
        <v>0</v>
      </c>
      <c r="AR52" s="174">
        <v>0</v>
      </c>
      <c r="AS52" s="174">
        <v>0</v>
      </c>
      <c r="AT52" s="174">
        <v>0</v>
      </c>
      <c r="AU52" s="174">
        <v>0</v>
      </c>
      <c r="AV52" s="174">
        <v>0</v>
      </c>
      <c r="AW52" s="174">
        <v>0</v>
      </c>
      <c r="AX52" s="174">
        <v>0</v>
      </c>
      <c r="AY52" s="174">
        <v>0</v>
      </c>
      <c r="AZ52" s="174">
        <v>0</v>
      </c>
      <c r="BA52" s="174">
        <v>0</v>
      </c>
      <c r="BB52" s="174">
        <v>0</v>
      </c>
      <c r="BC52" s="174">
        <v>0</v>
      </c>
      <c r="BD52" s="174">
        <v>0</v>
      </c>
      <c r="BE52" s="174">
        <v>0</v>
      </c>
      <c r="BF52" s="174">
        <v>0</v>
      </c>
      <c r="BG52" s="174">
        <v>0</v>
      </c>
      <c r="BH52" s="174">
        <v>0</v>
      </c>
      <c r="BI52" s="174">
        <v>0</v>
      </c>
      <c r="BJ52" s="174">
        <v>0</v>
      </c>
    </row>
    <row r="53" s="174" customFormat="1" ht="33.75" hidden="1" customHeight="1">
      <c r="D53" s="186"/>
      <c r="E53" s="205" t="s">
        <v>573</v>
      </c>
      <c r="F53" s="111" t="s">
        <v>533</v>
      </c>
      <c r="G53" s="205" t="s">
        <v>498</v>
      </c>
      <c r="H53" s="205">
        <v>14978</v>
      </c>
      <c r="I53" s="205">
        <v>14999</v>
      </c>
      <c r="J53" s="111"/>
      <c r="K53" s="176"/>
      <c r="L53" s="174" t="s">
        <v>325</v>
      </c>
      <c r="M53" s="174">
        <v>1</v>
      </c>
      <c r="N53" s="174">
        <v>0</v>
      </c>
      <c r="O53" s="174">
        <v>0</v>
      </c>
      <c r="P53" s="142">
        <v>1</v>
      </c>
      <c r="Q53" s="174">
        <v>0</v>
      </c>
      <c r="R53" s="174">
        <v>0</v>
      </c>
      <c r="S53" s="174">
        <v>0</v>
      </c>
      <c r="T53" s="174">
        <v>0</v>
      </c>
      <c r="U53" s="174">
        <v>0</v>
      </c>
      <c r="V53" s="174">
        <v>0</v>
      </c>
      <c r="W53" s="174">
        <v>1</v>
      </c>
      <c r="X53" s="174">
        <v>1</v>
      </c>
      <c r="Y53" s="174">
        <v>0</v>
      </c>
      <c r="Z53" s="174">
        <v>1</v>
      </c>
      <c r="AA53" s="174">
        <v>1</v>
      </c>
      <c r="AB53" s="174">
        <v>0</v>
      </c>
      <c r="AC53" s="174">
        <v>0</v>
      </c>
      <c r="AD53" s="174">
        <v>0</v>
      </c>
      <c r="AE53" s="174">
        <v>1</v>
      </c>
      <c r="AF53" s="174">
        <v>1</v>
      </c>
      <c r="AG53" s="174">
        <v>0</v>
      </c>
      <c r="AH53" s="174">
        <v>0</v>
      </c>
      <c r="AI53" s="174">
        <v>0</v>
      </c>
      <c r="AJ53" s="174">
        <v>0</v>
      </c>
      <c r="AK53" s="174">
        <v>0</v>
      </c>
      <c r="AL53" s="174">
        <v>1</v>
      </c>
      <c r="AM53" s="174">
        <v>0</v>
      </c>
      <c r="AN53" s="174">
        <v>0</v>
      </c>
      <c r="AO53" s="174">
        <v>0</v>
      </c>
      <c r="AP53" s="174">
        <v>1</v>
      </c>
      <c r="AQ53" s="174">
        <v>0</v>
      </c>
      <c r="AR53" s="174">
        <v>0</v>
      </c>
      <c r="AS53" s="174">
        <v>0</v>
      </c>
      <c r="AT53" s="174">
        <v>0</v>
      </c>
      <c r="AU53" s="174">
        <v>0</v>
      </c>
      <c r="AV53" s="174">
        <v>0</v>
      </c>
      <c r="AW53" s="174">
        <v>0</v>
      </c>
      <c r="AX53" s="174">
        <v>0</v>
      </c>
      <c r="AY53" s="174">
        <v>0</v>
      </c>
      <c r="AZ53" s="174">
        <v>0</v>
      </c>
      <c r="BA53" s="174">
        <v>0</v>
      </c>
      <c r="BB53" s="174">
        <v>0</v>
      </c>
      <c r="BC53" s="174">
        <v>0</v>
      </c>
      <c r="BD53" s="174">
        <v>0</v>
      </c>
      <c r="BE53" s="174">
        <v>0</v>
      </c>
      <c r="BF53" s="174">
        <v>0</v>
      </c>
      <c r="BG53" s="174">
        <v>0</v>
      </c>
      <c r="BH53" s="174">
        <v>0</v>
      </c>
      <c r="BI53" s="174">
        <v>0</v>
      </c>
      <c r="BJ53" s="174">
        <v>0</v>
      </c>
    </row>
    <row r="54" s="188" customFormat="1" ht="45.75" hidden="1" customHeight="1">
      <c r="C54" s="174"/>
      <c r="D54" s="186"/>
      <c r="E54" s="206" t="s">
        <v>574</v>
      </c>
      <c r="F54" s="111" t="s">
        <v>575</v>
      </c>
      <c r="G54" s="206" t="s">
        <v>498</v>
      </c>
      <c r="H54" s="206">
        <v>20559</v>
      </c>
      <c r="I54" s="206">
        <v>20638</v>
      </c>
      <c r="J54" s="111"/>
      <c r="K54" s="176"/>
      <c r="L54" s="188" t="s">
        <v>447</v>
      </c>
      <c r="M54" s="188">
        <v>0</v>
      </c>
      <c r="N54" s="188">
        <v>0</v>
      </c>
      <c r="O54" s="188">
        <v>0</v>
      </c>
      <c r="P54" s="142">
        <v>0</v>
      </c>
      <c r="Q54" s="188">
        <v>1</v>
      </c>
      <c r="R54" s="188">
        <v>0</v>
      </c>
      <c r="S54" s="188">
        <v>0</v>
      </c>
      <c r="T54" s="142">
        <v>1</v>
      </c>
      <c r="U54" s="188">
        <v>0</v>
      </c>
      <c r="V54" s="188">
        <v>1</v>
      </c>
      <c r="W54" s="188">
        <v>0</v>
      </c>
      <c r="X54" s="188">
        <v>0</v>
      </c>
      <c r="Y54" s="188">
        <v>1</v>
      </c>
      <c r="Z54" s="188">
        <v>0</v>
      </c>
      <c r="AA54" s="188">
        <v>0</v>
      </c>
      <c r="AB54" s="188">
        <v>1</v>
      </c>
      <c r="AC54" s="188">
        <v>0</v>
      </c>
      <c r="AD54" s="188">
        <v>0</v>
      </c>
      <c r="AE54" s="188">
        <v>1</v>
      </c>
      <c r="AF54" s="188">
        <v>1</v>
      </c>
      <c r="AG54" s="188">
        <v>1</v>
      </c>
      <c r="AH54" s="188">
        <v>0</v>
      </c>
      <c r="AI54" s="188">
        <v>0</v>
      </c>
      <c r="AJ54" s="188">
        <v>0</v>
      </c>
      <c r="AK54" s="188">
        <v>0</v>
      </c>
      <c r="AL54" s="188">
        <v>1</v>
      </c>
      <c r="AM54" s="188">
        <v>1</v>
      </c>
      <c r="AN54" s="188">
        <v>1</v>
      </c>
      <c r="AO54" s="188">
        <v>0</v>
      </c>
      <c r="AP54" s="188">
        <v>1</v>
      </c>
      <c r="AQ54" s="188">
        <v>0</v>
      </c>
      <c r="AR54" s="188">
        <v>0</v>
      </c>
      <c r="AS54" s="188">
        <v>0</v>
      </c>
      <c r="AT54" s="188">
        <v>0</v>
      </c>
      <c r="AU54" s="188">
        <v>0</v>
      </c>
      <c r="AV54" s="188">
        <v>0</v>
      </c>
      <c r="AW54" s="188">
        <v>0</v>
      </c>
      <c r="AX54" s="188">
        <v>0</v>
      </c>
      <c r="AY54" s="188">
        <v>0</v>
      </c>
      <c r="AZ54" s="188">
        <v>0</v>
      </c>
      <c r="BA54" s="188">
        <v>0</v>
      </c>
      <c r="BB54" s="188">
        <v>0</v>
      </c>
      <c r="BC54" s="188">
        <v>0</v>
      </c>
      <c r="BD54" s="188">
        <v>0</v>
      </c>
      <c r="BE54" s="188">
        <v>0</v>
      </c>
      <c r="BF54" s="188">
        <v>0</v>
      </c>
      <c r="BG54" s="188">
        <v>0</v>
      </c>
      <c r="BH54" s="188">
        <v>0</v>
      </c>
      <c r="BI54" s="188">
        <v>0</v>
      </c>
      <c r="BJ54" s="188">
        <v>0</v>
      </c>
    </row>
    <row r="55" s="188" customFormat="1" ht="31.5" hidden="1" customHeight="1">
      <c r="A55" s="144"/>
      <c r="D55" s="189"/>
      <c r="E55" s="190" t="s">
        <v>576</v>
      </c>
      <c r="F55" s="145" t="s">
        <v>541</v>
      </c>
      <c r="G55" s="190" t="s">
        <v>498</v>
      </c>
      <c r="H55" s="190">
        <v>20630</v>
      </c>
      <c r="I55" s="190">
        <v>20638</v>
      </c>
      <c r="J55" s="145"/>
      <c r="K55" s="180"/>
      <c r="L55" s="188" t="s">
        <v>325</v>
      </c>
      <c r="M55" s="188">
        <v>0</v>
      </c>
      <c r="N55" s="188">
        <v>1</v>
      </c>
      <c r="O55" s="188">
        <v>0</v>
      </c>
      <c r="P55" s="142">
        <v>1</v>
      </c>
      <c r="Q55" s="188">
        <v>0</v>
      </c>
      <c r="R55" s="188">
        <v>0</v>
      </c>
      <c r="S55" s="188">
        <v>0</v>
      </c>
      <c r="T55" s="142">
        <v>0</v>
      </c>
      <c r="U55" s="188">
        <v>0</v>
      </c>
      <c r="V55" s="188">
        <v>1</v>
      </c>
      <c r="W55" s="188">
        <v>0</v>
      </c>
      <c r="X55" s="188">
        <v>0</v>
      </c>
      <c r="Y55" s="188">
        <v>1</v>
      </c>
      <c r="Z55" s="188">
        <v>0</v>
      </c>
      <c r="AA55" s="188">
        <v>1</v>
      </c>
      <c r="AB55" s="188">
        <v>0</v>
      </c>
      <c r="AC55" s="188">
        <v>0</v>
      </c>
      <c r="AD55" s="188">
        <v>0</v>
      </c>
      <c r="AE55" s="188">
        <v>1</v>
      </c>
      <c r="AF55" s="188">
        <v>1</v>
      </c>
      <c r="AG55" s="188">
        <v>1</v>
      </c>
      <c r="AH55" s="188">
        <v>1</v>
      </c>
      <c r="AI55" s="188">
        <v>1</v>
      </c>
      <c r="AJ55" s="188">
        <v>1</v>
      </c>
      <c r="AK55" s="188">
        <v>1</v>
      </c>
      <c r="AL55" s="188">
        <v>1</v>
      </c>
      <c r="AM55" s="188">
        <v>1</v>
      </c>
      <c r="AN55" s="188">
        <v>1</v>
      </c>
      <c r="AO55" s="188">
        <v>0</v>
      </c>
      <c r="AP55" s="188">
        <v>1</v>
      </c>
      <c r="AQ55" s="188">
        <v>1</v>
      </c>
      <c r="AR55" s="188">
        <v>0</v>
      </c>
      <c r="AS55" s="188">
        <v>0</v>
      </c>
      <c r="AT55" s="188">
        <v>0</v>
      </c>
      <c r="AU55" s="188">
        <v>0</v>
      </c>
      <c r="AV55" s="188">
        <v>0</v>
      </c>
      <c r="AW55" s="188">
        <v>0</v>
      </c>
      <c r="AX55" s="188">
        <v>1</v>
      </c>
      <c r="AY55" s="188">
        <v>0</v>
      </c>
      <c r="AZ55" s="188">
        <v>0</v>
      </c>
      <c r="BA55" s="188">
        <v>0</v>
      </c>
      <c r="BB55" s="188">
        <v>0</v>
      </c>
      <c r="BC55" s="188">
        <v>0</v>
      </c>
      <c r="BD55" s="188">
        <v>0</v>
      </c>
      <c r="BE55" s="188">
        <v>1</v>
      </c>
      <c r="BF55" s="188">
        <v>0</v>
      </c>
      <c r="BG55" s="188">
        <v>0</v>
      </c>
      <c r="BH55" s="188">
        <v>0</v>
      </c>
      <c r="BI55" s="188">
        <v>0</v>
      </c>
      <c r="BJ55" s="188">
        <v>0</v>
      </c>
    </row>
    <row r="56" s="188" customFormat="1" ht="14.25" hidden="1" customHeight="1">
      <c r="B56" s="207"/>
      <c r="C56" s="174"/>
      <c r="D56" s="186"/>
      <c r="E56" s="208" t="s">
        <v>577</v>
      </c>
      <c r="F56" s="111" t="s">
        <v>578</v>
      </c>
      <c r="G56" s="209" t="s">
        <v>498</v>
      </c>
      <c r="H56" s="209">
        <v>20820</v>
      </c>
      <c r="I56" s="209">
        <v>20970</v>
      </c>
      <c r="J56" s="111"/>
      <c r="K56" s="176"/>
      <c r="L56" s="188" t="s">
        <v>325</v>
      </c>
      <c r="M56" s="188">
        <v>1</v>
      </c>
      <c r="N56" s="188">
        <v>0</v>
      </c>
      <c r="O56" s="188">
        <v>0</v>
      </c>
      <c r="P56" s="142">
        <v>1</v>
      </c>
      <c r="Q56" s="188">
        <v>0</v>
      </c>
      <c r="R56" s="188">
        <v>0</v>
      </c>
      <c r="S56" s="188">
        <v>0</v>
      </c>
      <c r="T56" s="142">
        <v>0</v>
      </c>
      <c r="U56" s="188">
        <v>0</v>
      </c>
      <c r="V56" s="188">
        <v>0</v>
      </c>
      <c r="W56" s="188">
        <v>1</v>
      </c>
      <c r="X56" s="188">
        <v>1</v>
      </c>
      <c r="Y56" s="188">
        <v>0</v>
      </c>
      <c r="Z56" s="188">
        <v>1</v>
      </c>
      <c r="AA56" s="188">
        <v>1</v>
      </c>
      <c r="AB56" s="188">
        <v>0</v>
      </c>
      <c r="AC56" s="188">
        <v>0</v>
      </c>
      <c r="AD56" s="188">
        <v>0</v>
      </c>
      <c r="AE56" s="188">
        <v>1</v>
      </c>
      <c r="AF56" s="188">
        <v>1</v>
      </c>
      <c r="AG56" s="188">
        <v>1</v>
      </c>
      <c r="AH56" s="188">
        <v>0</v>
      </c>
      <c r="AI56" s="188">
        <v>0</v>
      </c>
      <c r="AJ56" s="188">
        <v>0</v>
      </c>
      <c r="AK56" s="188">
        <v>0</v>
      </c>
      <c r="AL56" s="188">
        <v>1</v>
      </c>
      <c r="AM56" s="188">
        <v>1</v>
      </c>
      <c r="AN56" s="188">
        <v>0</v>
      </c>
      <c r="AO56" s="188">
        <v>0</v>
      </c>
      <c r="AP56" s="188">
        <v>1</v>
      </c>
      <c r="AQ56" s="188">
        <v>0</v>
      </c>
      <c r="AR56" s="188">
        <v>0</v>
      </c>
      <c r="AS56" s="188">
        <v>0</v>
      </c>
      <c r="AT56" s="188">
        <v>0</v>
      </c>
      <c r="AU56" s="188">
        <v>0</v>
      </c>
      <c r="AV56" s="188">
        <v>0</v>
      </c>
      <c r="AW56" s="188">
        <v>0</v>
      </c>
      <c r="AX56" s="188">
        <v>0</v>
      </c>
      <c r="AY56" s="188">
        <v>0</v>
      </c>
      <c r="AZ56" s="188">
        <v>0</v>
      </c>
      <c r="BA56" s="188">
        <v>0</v>
      </c>
      <c r="BB56" s="188">
        <v>0</v>
      </c>
      <c r="BC56" s="188">
        <v>0</v>
      </c>
      <c r="BD56" s="188">
        <v>0</v>
      </c>
      <c r="BE56" s="188">
        <v>0</v>
      </c>
      <c r="BF56" s="188">
        <v>0</v>
      </c>
      <c r="BG56" s="188">
        <v>0</v>
      </c>
      <c r="BH56" s="188">
        <v>0</v>
      </c>
      <c r="BI56" s="188">
        <v>0</v>
      </c>
      <c r="BJ56" s="188">
        <v>0</v>
      </c>
    </row>
    <row r="57" s="188" customFormat="1" ht="14.25" hidden="1" customHeight="1">
      <c r="C57" s="174"/>
      <c r="D57" s="186"/>
      <c r="E57" s="208" t="s">
        <v>579</v>
      </c>
      <c r="F57" s="111" t="s">
        <v>527</v>
      </c>
      <c r="G57" s="209" t="s">
        <v>498</v>
      </c>
      <c r="H57" s="209">
        <v>21240</v>
      </c>
      <c r="I57" s="209">
        <v>21277</v>
      </c>
      <c r="J57" s="111"/>
      <c r="K57" s="176"/>
      <c r="L57" s="188" t="s">
        <v>325</v>
      </c>
      <c r="M57" s="188">
        <v>1</v>
      </c>
      <c r="N57" s="188">
        <v>0</v>
      </c>
      <c r="O57" s="188">
        <v>0</v>
      </c>
      <c r="P57" s="142">
        <v>1</v>
      </c>
      <c r="Q57" s="188">
        <v>0</v>
      </c>
      <c r="R57" s="188">
        <v>0</v>
      </c>
      <c r="S57" s="188">
        <v>0</v>
      </c>
      <c r="T57" s="142">
        <v>0</v>
      </c>
      <c r="U57" s="188">
        <v>0</v>
      </c>
      <c r="V57" s="188">
        <v>0</v>
      </c>
      <c r="W57" s="188">
        <v>1</v>
      </c>
      <c r="X57" s="188">
        <v>1</v>
      </c>
      <c r="Y57" s="188">
        <v>0</v>
      </c>
      <c r="Z57" s="188">
        <v>1</v>
      </c>
      <c r="AA57" s="188">
        <v>1</v>
      </c>
      <c r="AB57" s="188">
        <v>0</v>
      </c>
      <c r="AC57" s="188">
        <v>0</v>
      </c>
      <c r="AD57" s="188">
        <v>0</v>
      </c>
      <c r="AE57" s="188">
        <v>1</v>
      </c>
      <c r="AF57" s="188">
        <v>1</v>
      </c>
      <c r="AG57" s="188">
        <v>1</v>
      </c>
      <c r="AH57" s="188">
        <v>0</v>
      </c>
      <c r="AI57" s="188">
        <v>0</v>
      </c>
      <c r="AJ57" s="188">
        <v>0</v>
      </c>
      <c r="AK57" s="188">
        <v>0</v>
      </c>
      <c r="AL57" s="188">
        <v>1</v>
      </c>
      <c r="AM57" s="188">
        <v>0</v>
      </c>
      <c r="AN57" s="188">
        <v>0</v>
      </c>
      <c r="AO57" s="188">
        <v>0</v>
      </c>
      <c r="AP57" s="188">
        <v>1</v>
      </c>
      <c r="AQ57" s="188">
        <v>0</v>
      </c>
      <c r="AR57" s="188">
        <v>0</v>
      </c>
      <c r="AS57" s="188">
        <v>0</v>
      </c>
      <c r="AT57" s="188">
        <v>0</v>
      </c>
      <c r="AU57" s="188">
        <v>0</v>
      </c>
      <c r="AV57" s="188">
        <v>0</v>
      </c>
      <c r="AW57" s="188">
        <v>0</v>
      </c>
      <c r="AX57" s="188">
        <v>0</v>
      </c>
      <c r="AY57" s="188">
        <v>0</v>
      </c>
      <c r="AZ57" s="188">
        <v>0</v>
      </c>
      <c r="BA57" s="188">
        <v>0</v>
      </c>
      <c r="BB57" s="188">
        <v>0</v>
      </c>
      <c r="BC57" s="188">
        <v>0</v>
      </c>
      <c r="BD57" s="188">
        <v>0</v>
      </c>
      <c r="BE57" s="188">
        <v>0</v>
      </c>
      <c r="BF57" s="188">
        <v>0</v>
      </c>
      <c r="BG57" s="188">
        <v>0</v>
      </c>
      <c r="BH57" s="188">
        <v>0</v>
      </c>
      <c r="BI57" s="188">
        <v>0</v>
      </c>
      <c r="BJ57" s="188">
        <v>0</v>
      </c>
    </row>
    <row r="58" s="188" customFormat="1" ht="14.25" hidden="1" customHeight="1">
      <c r="C58" s="174"/>
      <c r="D58" s="186"/>
      <c r="E58" s="208" t="s">
        <v>580</v>
      </c>
      <c r="F58" s="111" t="s">
        <v>510</v>
      </c>
      <c r="G58" s="209" t="s">
        <v>498</v>
      </c>
      <c r="H58" s="209">
        <v>21327</v>
      </c>
      <c r="I58" s="209">
        <v>21331</v>
      </c>
      <c r="J58" s="111"/>
      <c r="K58" s="176"/>
      <c r="L58" s="188" t="s">
        <v>325</v>
      </c>
      <c r="M58" s="188">
        <v>1</v>
      </c>
      <c r="N58" s="188">
        <v>0</v>
      </c>
      <c r="O58" s="188">
        <v>0</v>
      </c>
      <c r="P58" s="142">
        <v>1</v>
      </c>
      <c r="Q58" s="188">
        <v>0</v>
      </c>
      <c r="R58" s="188">
        <v>0</v>
      </c>
      <c r="S58" s="188">
        <v>0</v>
      </c>
      <c r="T58" s="142">
        <v>0</v>
      </c>
      <c r="U58" s="188">
        <v>0</v>
      </c>
      <c r="V58" s="188">
        <v>1</v>
      </c>
      <c r="W58" s="188">
        <v>0</v>
      </c>
      <c r="X58" s="188">
        <v>0</v>
      </c>
      <c r="Y58" s="188">
        <v>1</v>
      </c>
      <c r="Z58" s="188">
        <v>0</v>
      </c>
      <c r="AA58" s="188">
        <v>1</v>
      </c>
      <c r="AB58" s="188">
        <v>0</v>
      </c>
      <c r="AC58" s="188">
        <v>0</v>
      </c>
      <c r="AD58" s="188">
        <v>0</v>
      </c>
      <c r="AE58" s="188">
        <v>1</v>
      </c>
      <c r="AF58" s="188">
        <v>1</v>
      </c>
      <c r="AG58" s="188">
        <v>0</v>
      </c>
      <c r="AH58" s="188">
        <v>0</v>
      </c>
      <c r="AI58" s="188">
        <v>0</v>
      </c>
      <c r="AJ58" s="188">
        <v>0</v>
      </c>
      <c r="AK58" s="188">
        <v>0</v>
      </c>
      <c r="AL58" s="188">
        <v>0</v>
      </c>
      <c r="AM58" s="188">
        <v>1</v>
      </c>
      <c r="AN58" s="188">
        <v>1</v>
      </c>
      <c r="AO58" s="188">
        <v>1</v>
      </c>
      <c r="AP58" s="188">
        <v>0</v>
      </c>
      <c r="AQ58" s="188">
        <v>0</v>
      </c>
      <c r="AR58" s="188">
        <v>0</v>
      </c>
      <c r="AS58" s="188">
        <v>0</v>
      </c>
      <c r="AT58" s="188">
        <v>0</v>
      </c>
      <c r="AU58" s="188">
        <v>0</v>
      </c>
      <c r="AV58" s="188">
        <v>0</v>
      </c>
      <c r="AW58" s="188">
        <v>0</v>
      </c>
      <c r="AX58" s="188">
        <v>0</v>
      </c>
      <c r="AY58" s="188">
        <v>0</v>
      </c>
      <c r="AZ58" s="188">
        <v>0</v>
      </c>
      <c r="BA58" s="188">
        <v>0</v>
      </c>
      <c r="BB58" s="188">
        <v>0</v>
      </c>
      <c r="BC58" s="188">
        <v>0</v>
      </c>
      <c r="BD58" s="188">
        <v>0</v>
      </c>
      <c r="BE58" s="188">
        <v>0</v>
      </c>
      <c r="BF58" s="188">
        <v>0</v>
      </c>
      <c r="BG58" s="188">
        <v>0</v>
      </c>
      <c r="BH58" s="188">
        <v>0</v>
      </c>
      <c r="BI58" s="188">
        <v>0</v>
      </c>
      <c r="BJ58" s="188">
        <v>0</v>
      </c>
    </row>
    <row r="59" s="188" customFormat="1" ht="28.5" hidden="1" customHeight="1">
      <c r="C59" s="174"/>
      <c r="D59" s="186"/>
      <c r="E59" s="208" t="s">
        <v>581</v>
      </c>
      <c r="F59" s="111" t="s">
        <v>582</v>
      </c>
      <c r="G59" s="209" t="s">
        <v>498</v>
      </c>
      <c r="H59" s="209">
        <v>21364</v>
      </c>
      <c r="I59" s="209">
        <v>21599</v>
      </c>
      <c r="J59" s="111"/>
      <c r="K59" s="176"/>
      <c r="L59" s="188" t="s">
        <v>325</v>
      </c>
      <c r="M59" s="188">
        <v>0</v>
      </c>
      <c r="N59" s="188">
        <v>0</v>
      </c>
      <c r="O59" s="188">
        <v>0</v>
      </c>
      <c r="P59" s="142">
        <v>0</v>
      </c>
      <c r="Q59" s="188">
        <v>0</v>
      </c>
      <c r="R59" s="188">
        <v>0</v>
      </c>
      <c r="S59" s="188">
        <v>0</v>
      </c>
      <c r="T59" s="142">
        <v>0</v>
      </c>
      <c r="U59" s="188">
        <v>1</v>
      </c>
      <c r="V59" s="188">
        <v>0</v>
      </c>
      <c r="W59" s="188">
        <v>1</v>
      </c>
      <c r="X59" s="188">
        <v>1</v>
      </c>
      <c r="Y59" s="188">
        <v>1</v>
      </c>
      <c r="Z59" s="188">
        <v>0</v>
      </c>
      <c r="AA59" s="188">
        <v>1</v>
      </c>
      <c r="AB59" s="188">
        <v>0</v>
      </c>
      <c r="AC59" s="188">
        <v>0</v>
      </c>
      <c r="AD59" s="188">
        <v>0</v>
      </c>
      <c r="AE59" s="188">
        <v>1</v>
      </c>
      <c r="AF59" s="188">
        <v>1</v>
      </c>
      <c r="AG59" s="188">
        <v>1</v>
      </c>
      <c r="AH59" s="188">
        <v>1</v>
      </c>
      <c r="AI59" s="188">
        <v>0</v>
      </c>
      <c r="AJ59" s="188">
        <v>0</v>
      </c>
      <c r="AK59" s="188">
        <v>1</v>
      </c>
      <c r="AL59" s="188">
        <v>1</v>
      </c>
      <c r="AM59" s="188">
        <v>1</v>
      </c>
      <c r="AN59" s="188">
        <v>1</v>
      </c>
      <c r="AO59" s="188">
        <v>0</v>
      </c>
      <c r="AP59" s="188">
        <v>1</v>
      </c>
      <c r="AQ59" s="188">
        <v>0</v>
      </c>
      <c r="AR59" s="188">
        <v>0</v>
      </c>
      <c r="AS59" s="188">
        <v>0</v>
      </c>
      <c r="AT59" s="188">
        <v>0</v>
      </c>
      <c r="AU59" s="188">
        <v>0</v>
      </c>
      <c r="AV59" s="188">
        <v>0</v>
      </c>
      <c r="AW59" s="188">
        <v>0</v>
      </c>
      <c r="AX59" s="188">
        <v>0</v>
      </c>
      <c r="AY59" s="188">
        <v>0</v>
      </c>
      <c r="AZ59" s="188">
        <v>0</v>
      </c>
      <c r="BA59" s="188">
        <v>0</v>
      </c>
      <c r="BB59" s="188">
        <v>0</v>
      </c>
      <c r="BC59" s="188">
        <v>0</v>
      </c>
      <c r="BD59" s="188">
        <v>0</v>
      </c>
      <c r="BE59" s="188">
        <v>0</v>
      </c>
      <c r="BF59" s="188">
        <v>0</v>
      </c>
      <c r="BG59" s="188">
        <v>0</v>
      </c>
      <c r="BH59" s="188">
        <v>0</v>
      </c>
      <c r="BI59" s="188">
        <v>0</v>
      </c>
      <c r="BJ59" s="188">
        <v>0</v>
      </c>
    </row>
    <row r="60" s="188" customFormat="1" ht="28.399999999999999" hidden="1" customHeight="1">
      <c r="C60" s="174"/>
      <c r="D60" s="186"/>
      <c r="E60" s="208" t="s">
        <v>583</v>
      </c>
      <c r="F60" s="111" t="s">
        <v>584</v>
      </c>
      <c r="G60" s="209" t="s">
        <v>498</v>
      </c>
      <c r="H60" s="209">
        <v>21766</v>
      </c>
      <c r="I60" s="209">
        <v>21797</v>
      </c>
      <c r="J60" s="111"/>
      <c r="K60" s="176"/>
      <c r="L60" s="188" t="s">
        <v>325</v>
      </c>
      <c r="M60" s="188">
        <v>1</v>
      </c>
      <c r="N60" s="188">
        <v>0</v>
      </c>
      <c r="O60" s="188">
        <v>0</v>
      </c>
      <c r="P60" s="142">
        <v>1</v>
      </c>
      <c r="Q60" s="188">
        <v>0</v>
      </c>
      <c r="R60" s="188">
        <v>0</v>
      </c>
      <c r="S60" s="188">
        <v>0</v>
      </c>
      <c r="T60" s="142">
        <v>0</v>
      </c>
      <c r="U60" s="188">
        <v>0</v>
      </c>
      <c r="V60" s="188">
        <v>0</v>
      </c>
      <c r="W60" s="188">
        <v>1</v>
      </c>
      <c r="X60" s="188">
        <v>1</v>
      </c>
      <c r="Y60" s="188">
        <v>0</v>
      </c>
      <c r="Z60" s="188">
        <v>1</v>
      </c>
      <c r="AA60" s="188">
        <v>1</v>
      </c>
      <c r="AB60" s="188">
        <v>0</v>
      </c>
      <c r="AC60" s="188">
        <v>0</v>
      </c>
      <c r="AD60" s="188">
        <v>0</v>
      </c>
      <c r="AE60" s="188">
        <v>1</v>
      </c>
      <c r="AF60" s="188">
        <v>1</v>
      </c>
      <c r="AG60" s="188">
        <v>0</v>
      </c>
      <c r="AH60" s="188">
        <v>0</v>
      </c>
      <c r="AI60" s="188">
        <v>0</v>
      </c>
      <c r="AJ60" s="188">
        <v>0</v>
      </c>
      <c r="AK60" s="188">
        <v>1</v>
      </c>
      <c r="AL60" s="188">
        <v>1</v>
      </c>
      <c r="AM60" s="188">
        <v>0</v>
      </c>
      <c r="AN60" s="188">
        <v>0</v>
      </c>
      <c r="AO60" s="188">
        <v>0</v>
      </c>
      <c r="AP60" s="188">
        <v>1</v>
      </c>
      <c r="AQ60" s="188">
        <v>0</v>
      </c>
      <c r="AR60" s="188">
        <v>0</v>
      </c>
      <c r="AS60" s="188">
        <v>0</v>
      </c>
      <c r="AT60" s="188">
        <v>0</v>
      </c>
      <c r="AU60" s="188">
        <v>0</v>
      </c>
      <c r="AV60" s="188">
        <v>0</v>
      </c>
      <c r="AW60" s="188">
        <v>0</v>
      </c>
      <c r="AX60" s="188">
        <v>0</v>
      </c>
      <c r="AY60" s="188">
        <v>0</v>
      </c>
      <c r="AZ60" s="188">
        <v>0</v>
      </c>
      <c r="BA60" s="188">
        <v>0</v>
      </c>
      <c r="BB60" s="188">
        <v>0</v>
      </c>
      <c r="BC60" s="188">
        <v>0</v>
      </c>
      <c r="BD60" s="188">
        <v>0</v>
      </c>
      <c r="BE60" s="188">
        <v>0</v>
      </c>
      <c r="BF60" s="188">
        <v>0</v>
      </c>
      <c r="BG60" s="188">
        <v>0</v>
      </c>
      <c r="BH60" s="188">
        <v>0</v>
      </c>
      <c r="BI60" s="188">
        <v>0</v>
      </c>
      <c r="BJ60" s="188">
        <v>0</v>
      </c>
    </row>
    <row r="61" s="188" customFormat="1" ht="42.75" hidden="1" customHeight="1">
      <c r="C61" s="174"/>
      <c r="D61" s="186"/>
      <c r="E61" s="208" t="s">
        <v>585</v>
      </c>
      <c r="F61" s="111" t="s">
        <v>586</v>
      </c>
      <c r="G61" s="208" t="s">
        <v>498</v>
      </c>
      <c r="H61" s="208">
        <v>22182</v>
      </c>
      <c r="I61" s="208">
        <v>22276</v>
      </c>
      <c r="J61" s="111"/>
      <c r="K61" s="176"/>
      <c r="L61" s="188" t="s">
        <v>325</v>
      </c>
      <c r="M61" s="188">
        <v>0</v>
      </c>
      <c r="N61" s="188">
        <v>0</v>
      </c>
      <c r="O61" s="188">
        <v>0</v>
      </c>
      <c r="P61" s="142">
        <v>0</v>
      </c>
      <c r="Q61" s="188">
        <v>0</v>
      </c>
      <c r="R61" s="188">
        <v>0</v>
      </c>
      <c r="S61" s="188">
        <v>0</v>
      </c>
      <c r="T61" s="142">
        <v>0</v>
      </c>
      <c r="U61" s="188">
        <v>1</v>
      </c>
      <c r="V61" s="188">
        <v>1</v>
      </c>
      <c r="W61" s="188">
        <v>0</v>
      </c>
      <c r="X61" s="188">
        <v>0</v>
      </c>
      <c r="Y61" s="188">
        <v>0</v>
      </c>
      <c r="Z61" s="188">
        <v>1</v>
      </c>
      <c r="AA61" s="188">
        <v>1</v>
      </c>
      <c r="AB61" s="188">
        <v>0</v>
      </c>
      <c r="AC61" s="188">
        <v>0</v>
      </c>
      <c r="AD61" s="188">
        <v>0</v>
      </c>
      <c r="AE61" s="188">
        <v>1</v>
      </c>
      <c r="AF61" s="188">
        <v>1</v>
      </c>
      <c r="AG61" s="188">
        <v>0</v>
      </c>
      <c r="AH61" s="188">
        <v>0</v>
      </c>
      <c r="AI61" s="188">
        <v>0</v>
      </c>
      <c r="AJ61" s="188">
        <v>0</v>
      </c>
      <c r="AK61" s="188">
        <v>0</v>
      </c>
      <c r="AL61" s="188">
        <v>1</v>
      </c>
      <c r="AM61" s="188">
        <v>1</v>
      </c>
      <c r="AN61" s="188">
        <v>0</v>
      </c>
      <c r="AO61" s="188">
        <v>1</v>
      </c>
      <c r="AP61" s="188">
        <v>0</v>
      </c>
      <c r="AQ61" s="188">
        <v>0</v>
      </c>
      <c r="AR61" s="188">
        <v>0</v>
      </c>
      <c r="AS61" s="188">
        <v>0</v>
      </c>
      <c r="AT61" s="188">
        <v>0</v>
      </c>
      <c r="AU61" s="188">
        <v>0</v>
      </c>
      <c r="AV61" s="188">
        <v>0</v>
      </c>
      <c r="AW61" s="188">
        <v>0</v>
      </c>
      <c r="AX61" s="188">
        <v>0</v>
      </c>
      <c r="AY61" s="188">
        <v>0</v>
      </c>
      <c r="AZ61" s="188">
        <v>0</v>
      </c>
      <c r="BA61" s="188">
        <v>0</v>
      </c>
      <c r="BB61" s="188">
        <v>0</v>
      </c>
      <c r="BC61" s="188">
        <v>0</v>
      </c>
      <c r="BD61" s="188">
        <v>0</v>
      </c>
      <c r="BE61" s="188">
        <v>0</v>
      </c>
      <c r="BF61" s="188">
        <v>0</v>
      </c>
      <c r="BG61" s="188">
        <v>0</v>
      </c>
      <c r="BH61" s="188">
        <v>0</v>
      </c>
      <c r="BI61" s="188">
        <v>0</v>
      </c>
      <c r="BJ61" s="188">
        <v>0</v>
      </c>
    </row>
    <row r="62" s="210" customFormat="1" ht="14.25" hidden="1" customHeight="1">
      <c r="A62" s="211"/>
      <c r="B62" s="212" t="s">
        <v>513</v>
      </c>
      <c r="C62" s="213" t="s">
        <v>79</v>
      </c>
      <c r="D62" s="214" t="s">
        <v>17</v>
      </c>
      <c r="E62" s="215" t="s">
        <v>587</v>
      </c>
      <c r="F62" s="215" t="s">
        <v>550</v>
      </c>
      <c r="G62" s="216" t="s">
        <v>498</v>
      </c>
      <c r="H62" s="216">
        <v>8280</v>
      </c>
      <c r="I62" s="216">
        <v>8310</v>
      </c>
      <c r="J62" s="215"/>
      <c r="K62" s="215"/>
      <c r="L62" s="210" t="s">
        <v>325</v>
      </c>
      <c r="M62" s="210">
        <v>0</v>
      </c>
      <c r="N62" s="210">
        <v>1</v>
      </c>
      <c r="O62" s="210">
        <v>0</v>
      </c>
      <c r="P62" s="210">
        <v>1</v>
      </c>
      <c r="Q62" s="210">
        <v>0</v>
      </c>
      <c r="R62" s="210">
        <v>0</v>
      </c>
      <c r="S62" s="210">
        <v>0</v>
      </c>
      <c r="T62" s="210">
        <v>0</v>
      </c>
      <c r="U62" s="210">
        <v>0</v>
      </c>
      <c r="V62" s="210">
        <v>1</v>
      </c>
      <c r="W62" s="210">
        <v>0</v>
      </c>
      <c r="X62" s="210">
        <v>0</v>
      </c>
      <c r="Y62" s="210">
        <v>0</v>
      </c>
      <c r="Z62" s="210">
        <v>1</v>
      </c>
      <c r="AA62" s="210">
        <v>1</v>
      </c>
      <c r="AB62" s="210">
        <v>0</v>
      </c>
      <c r="AC62" s="210">
        <v>0</v>
      </c>
      <c r="AD62" s="210">
        <v>0</v>
      </c>
      <c r="AE62" s="210">
        <v>0</v>
      </c>
      <c r="AF62" s="210">
        <v>0</v>
      </c>
      <c r="AG62" s="210">
        <v>0</v>
      </c>
      <c r="AH62" s="210">
        <v>0</v>
      </c>
      <c r="AI62" s="210">
        <v>1</v>
      </c>
      <c r="AJ62" s="210">
        <v>1</v>
      </c>
      <c r="AK62" s="210">
        <v>1</v>
      </c>
      <c r="AL62" s="210">
        <v>1</v>
      </c>
      <c r="AM62" s="210">
        <v>0</v>
      </c>
      <c r="AN62" s="210">
        <v>0</v>
      </c>
      <c r="AO62" s="210">
        <v>0</v>
      </c>
      <c r="AP62" s="210">
        <v>1</v>
      </c>
      <c r="AQ62" s="210">
        <v>0</v>
      </c>
      <c r="AR62" s="210">
        <v>0</v>
      </c>
      <c r="AS62" s="210">
        <v>0</v>
      </c>
      <c r="AT62" s="210">
        <v>0</v>
      </c>
      <c r="AU62" s="210">
        <v>0</v>
      </c>
      <c r="AV62" s="210">
        <v>0</v>
      </c>
      <c r="AW62" s="210">
        <v>0</v>
      </c>
      <c r="AX62" s="210">
        <v>0</v>
      </c>
      <c r="AY62" s="210">
        <v>0</v>
      </c>
      <c r="AZ62" s="210">
        <v>0</v>
      </c>
      <c r="BA62" s="210">
        <v>0</v>
      </c>
      <c r="BB62" s="210">
        <v>0</v>
      </c>
      <c r="BC62" s="210">
        <v>0</v>
      </c>
      <c r="BD62" s="210">
        <v>0</v>
      </c>
      <c r="BE62" s="210">
        <v>0</v>
      </c>
      <c r="BF62" s="210">
        <v>0</v>
      </c>
      <c r="BG62" s="210">
        <v>0</v>
      </c>
      <c r="BH62" s="210">
        <v>0</v>
      </c>
      <c r="BI62" s="210">
        <v>0</v>
      </c>
      <c r="BJ62" s="210">
        <v>0</v>
      </c>
    </row>
    <row r="63" s="217" customFormat="1" ht="14.25" hidden="1" customHeight="1">
      <c r="E63" s="216" t="s">
        <v>588</v>
      </c>
      <c r="F63" s="216"/>
      <c r="G63" s="216" t="s">
        <v>498</v>
      </c>
      <c r="H63" s="216">
        <v>8400</v>
      </c>
      <c r="I63" s="216"/>
      <c r="J63" s="216"/>
      <c r="K63" s="216"/>
    </row>
    <row r="64" s="218" customFormat="1" ht="42.75" hidden="1" customHeight="1">
      <c r="A64" s="144"/>
      <c r="E64" s="219" t="s">
        <v>589</v>
      </c>
      <c r="F64" s="216" t="s">
        <v>590</v>
      </c>
      <c r="G64" s="219" t="s">
        <v>498</v>
      </c>
      <c r="H64" s="219">
        <v>8461</v>
      </c>
      <c r="I64" s="219">
        <v>8524</v>
      </c>
      <c r="J64" s="216"/>
      <c r="K64" s="216">
        <v>13</v>
      </c>
      <c r="L64" s="218" t="s">
        <v>325</v>
      </c>
      <c r="M64" s="218">
        <v>0</v>
      </c>
      <c r="N64" s="218">
        <v>0</v>
      </c>
      <c r="O64" s="218">
        <v>0</v>
      </c>
      <c r="P64" s="217">
        <v>0</v>
      </c>
      <c r="Q64" s="218">
        <v>1</v>
      </c>
      <c r="R64" s="218">
        <v>0</v>
      </c>
      <c r="S64" s="218">
        <v>0</v>
      </c>
      <c r="T64" s="217">
        <v>1</v>
      </c>
      <c r="U64" s="218">
        <v>0</v>
      </c>
      <c r="V64" s="218">
        <v>1</v>
      </c>
      <c r="W64" s="218">
        <v>0</v>
      </c>
      <c r="X64" s="218">
        <v>1</v>
      </c>
      <c r="Y64" s="218">
        <v>0</v>
      </c>
      <c r="Z64" s="218">
        <v>1</v>
      </c>
      <c r="AA64" s="218">
        <v>0</v>
      </c>
      <c r="AB64" s="218">
        <v>1</v>
      </c>
      <c r="AC64" s="218">
        <v>1</v>
      </c>
      <c r="AD64" s="218">
        <v>0</v>
      </c>
      <c r="AE64" s="218">
        <v>1</v>
      </c>
      <c r="AF64" s="218">
        <v>1</v>
      </c>
      <c r="AG64" s="218">
        <v>1</v>
      </c>
      <c r="AH64" s="218">
        <v>1</v>
      </c>
      <c r="AI64" s="218">
        <v>0</v>
      </c>
      <c r="AJ64" s="218">
        <v>1</v>
      </c>
      <c r="AL64" s="218">
        <v>1</v>
      </c>
      <c r="AM64" s="218">
        <v>0</v>
      </c>
      <c r="AN64" s="218">
        <v>0</v>
      </c>
      <c r="AO64" s="218">
        <v>0</v>
      </c>
      <c r="AP64" s="218">
        <v>1</v>
      </c>
      <c r="AQ64" s="218">
        <v>1</v>
      </c>
      <c r="AR64" s="218">
        <v>0</v>
      </c>
      <c r="AS64" s="218">
        <v>0</v>
      </c>
      <c r="AT64" s="218">
        <v>0</v>
      </c>
      <c r="AU64" s="218">
        <v>1</v>
      </c>
      <c r="AV64" s="218">
        <v>0</v>
      </c>
      <c r="AW64" s="218">
        <v>0</v>
      </c>
      <c r="AX64" s="218">
        <v>1</v>
      </c>
      <c r="AY64" s="218">
        <v>0</v>
      </c>
      <c r="AZ64" s="218">
        <v>1</v>
      </c>
      <c r="BB64" s="218">
        <v>0</v>
      </c>
      <c r="BC64" s="218">
        <v>0</v>
      </c>
      <c r="BD64" s="218">
        <v>0</v>
      </c>
      <c r="BE64" s="218">
        <v>1</v>
      </c>
      <c r="BF64" s="218">
        <v>0</v>
      </c>
      <c r="BG64" s="218">
        <v>0</v>
      </c>
      <c r="BH64" s="218">
        <v>0</v>
      </c>
      <c r="BI64" s="218">
        <v>0</v>
      </c>
      <c r="BJ64" s="218">
        <v>0</v>
      </c>
    </row>
    <row r="65" s="218" customFormat="1" ht="63.75" hidden="1" customHeight="1">
      <c r="A65" s="144"/>
      <c r="E65" s="219" t="s">
        <v>591</v>
      </c>
      <c r="F65" s="216" t="s">
        <v>592</v>
      </c>
      <c r="G65" s="220" t="s">
        <v>498</v>
      </c>
      <c r="H65" s="220">
        <v>8537</v>
      </c>
      <c r="I65" s="219">
        <v>8598</v>
      </c>
      <c r="J65" s="216"/>
      <c r="K65" s="216"/>
      <c r="L65" s="218" t="s">
        <v>447</v>
      </c>
      <c r="M65" s="221">
        <v>0</v>
      </c>
      <c r="N65" s="221">
        <v>0</v>
      </c>
      <c r="O65" s="221">
        <v>0</v>
      </c>
      <c r="P65" s="217">
        <v>0</v>
      </c>
      <c r="Q65" s="221">
        <v>1</v>
      </c>
      <c r="R65" s="218">
        <v>0</v>
      </c>
      <c r="S65" s="218">
        <v>1</v>
      </c>
      <c r="T65" s="217">
        <v>1</v>
      </c>
      <c r="U65" s="218">
        <v>0</v>
      </c>
      <c r="V65" s="218">
        <v>1</v>
      </c>
      <c r="W65" s="218">
        <v>0</v>
      </c>
      <c r="X65" s="218">
        <v>1</v>
      </c>
      <c r="Y65" s="218">
        <v>1</v>
      </c>
      <c r="Z65" s="218">
        <v>0</v>
      </c>
      <c r="AA65" s="218">
        <v>0</v>
      </c>
      <c r="AB65" s="218">
        <v>1</v>
      </c>
      <c r="AC65" s="218">
        <v>1</v>
      </c>
      <c r="AD65" s="218">
        <v>1</v>
      </c>
      <c r="AE65" s="218">
        <v>1</v>
      </c>
      <c r="AF65" s="218">
        <v>1</v>
      </c>
      <c r="AG65" s="218">
        <v>1</v>
      </c>
      <c r="AH65" s="218">
        <v>1</v>
      </c>
      <c r="AI65" s="218">
        <v>0</v>
      </c>
      <c r="AJ65" s="218">
        <v>1</v>
      </c>
      <c r="AL65" s="218">
        <v>1</v>
      </c>
      <c r="AM65" s="218">
        <v>0</v>
      </c>
      <c r="AN65" s="218">
        <v>1</v>
      </c>
      <c r="AO65" s="218">
        <v>0</v>
      </c>
      <c r="AP65" s="218">
        <v>1</v>
      </c>
      <c r="AQ65" s="218">
        <v>1</v>
      </c>
      <c r="AR65" s="218">
        <v>0</v>
      </c>
      <c r="AS65" s="218">
        <v>0</v>
      </c>
      <c r="AT65" s="218">
        <v>0</v>
      </c>
      <c r="AU65" s="218">
        <v>1</v>
      </c>
      <c r="AV65" s="218">
        <v>0</v>
      </c>
      <c r="AW65" s="218">
        <v>1</v>
      </c>
      <c r="AX65" s="218">
        <v>0</v>
      </c>
      <c r="AZ65" s="218">
        <v>1</v>
      </c>
      <c r="BB65" s="218">
        <v>0</v>
      </c>
      <c r="BC65" s="218">
        <v>0</v>
      </c>
      <c r="BD65" s="218">
        <v>1</v>
      </c>
      <c r="BE65" s="218">
        <v>1</v>
      </c>
      <c r="BF65" s="218">
        <v>0</v>
      </c>
      <c r="BG65" s="218">
        <v>0</v>
      </c>
      <c r="BH65" s="218">
        <v>0</v>
      </c>
      <c r="BI65" s="218">
        <v>0</v>
      </c>
      <c r="BJ65" s="218">
        <v>0</v>
      </c>
    </row>
    <row r="66" s="218" customFormat="1" ht="28.399999999999999" hidden="1" customHeight="1">
      <c r="B66" s="221"/>
      <c r="C66" s="217"/>
      <c r="D66" s="222"/>
      <c r="E66" s="219" t="s">
        <v>593</v>
      </c>
      <c r="F66" s="216"/>
      <c r="G66" s="220" t="s">
        <v>498</v>
      </c>
      <c r="H66" s="220">
        <v>8670</v>
      </c>
      <c r="I66" s="220"/>
      <c r="J66" s="216"/>
      <c r="K66" s="216"/>
      <c r="L66" s="218" t="s">
        <v>66</v>
      </c>
      <c r="M66" s="218">
        <v>1</v>
      </c>
      <c r="N66" s="218">
        <v>0</v>
      </c>
      <c r="O66" s="218">
        <v>0</v>
      </c>
      <c r="P66" s="217">
        <v>1</v>
      </c>
      <c r="Q66" s="218">
        <v>0</v>
      </c>
      <c r="R66" s="218">
        <v>0</v>
      </c>
      <c r="S66" s="218">
        <v>0</v>
      </c>
      <c r="T66" s="217">
        <v>0</v>
      </c>
      <c r="U66" s="218">
        <v>0</v>
      </c>
      <c r="V66" s="218">
        <v>0</v>
      </c>
      <c r="W66" s="218">
        <v>1</v>
      </c>
      <c r="X66" s="218">
        <v>0</v>
      </c>
      <c r="Y66" s="218">
        <v>0</v>
      </c>
      <c r="Z66" s="218">
        <v>1</v>
      </c>
      <c r="AA66" s="218">
        <v>1</v>
      </c>
      <c r="AB66" s="218">
        <v>0</v>
      </c>
      <c r="AC66" s="218">
        <v>0</v>
      </c>
      <c r="AD66" s="218">
        <v>0</v>
      </c>
      <c r="AE66" s="218">
        <v>1</v>
      </c>
      <c r="AF66" s="218">
        <v>1</v>
      </c>
      <c r="AG66" s="218">
        <v>1</v>
      </c>
      <c r="AH66" s="218">
        <v>1</v>
      </c>
      <c r="AI66" s="218">
        <v>0</v>
      </c>
      <c r="AJ66" s="218">
        <v>0</v>
      </c>
      <c r="AL66" s="218">
        <v>1</v>
      </c>
      <c r="AM66" s="218">
        <v>0</v>
      </c>
      <c r="AN66" s="218">
        <v>0</v>
      </c>
      <c r="AO66" s="218">
        <v>0</v>
      </c>
      <c r="AP66" s="218">
        <v>1</v>
      </c>
      <c r="AQ66" s="218">
        <v>1</v>
      </c>
      <c r="AR66" s="218">
        <v>0</v>
      </c>
      <c r="AS66" s="218">
        <v>0</v>
      </c>
      <c r="AT66" s="218">
        <v>0</v>
      </c>
      <c r="AU66" s="218">
        <v>1</v>
      </c>
      <c r="AV66" s="218">
        <v>1</v>
      </c>
      <c r="AW66" s="218">
        <v>0</v>
      </c>
      <c r="AX66" s="218">
        <v>0</v>
      </c>
      <c r="AZ66" s="218">
        <v>0</v>
      </c>
      <c r="BB66" s="218">
        <v>0</v>
      </c>
      <c r="BC66" s="218">
        <v>0</v>
      </c>
      <c r="BD66" s="218">
        <v>0</v>
      </c>
      <c r="BE66" s="218">
        <v>1</v>
      </c>
      <c r="BF66" s="218">
        <v>1</v>
      </c>
      <c r="BG66" s="218">
        <v>0</v>
      </c>
      <c r="BH66" s="218">
        <v>0</v>
      </c>
      <c r="BI66" s="218">
        <v>0</v>
      </c>
      <c r="BJ66" s="218">
        <v>0</v>
      </c>
    </row>
    <row r="67" s="218" customFormat="1" ht="28.399999999999999" hidden="1" customHeight="1">
      <c r="C67" s="217"/>
      <c r="D67" s="222"/>
      <c r="E67" s="219" t="s">
        <v>594</v>
      </c>
      <c r="F67" s="216"/>
      <c r="G67" s="220" t="s">
        <v>498</v>
      </c>
      <c r="H67" s="220">
        <v>8730</v>
      </c>
      <c r="I67" s="219"/>
      <c r="J67" s="216"/>
      <c r="K67" s="216"/>
      <c r="L67" s="218" t="s">
        <v>447</v>
      </c>
      <c r="M67" s="218">
        <v>0</v>
      </c>
      <c r="N67" s="218">
        <v>0</v>
      </c>
      <c r="O67" s="218">
        <v>0</v>
      </c>
      <c r="P67" s="217">
        <v>0</v>
      </c>
      <c r="Q67" s="218">
        <v>1</v>
      </c>
      <c r="R67" s="218">
        <v>0</v>
      </c>
      <c r="S67" s="218">
        <v>0</v>
      </c>
      <c r="T67" s="217">
        <v>1</v>
      </c>
      <c r="U67" s="218">
        <v>0</v>
      </c>
      <c r="V67" s="218">
        <v>0</v>
      </c>
      <c r="W67" s="218">
        <v>1</v>
      </c>
      <c r="X67" s="218">
        <v>1</v>
      </c>
      <c r="Y67" s="218">
        <v>0</v>
      </c>
      <c r="Z67" s="218">
        <v>1</v>
      </c>
      <c r="AA67" s="218">
        <v>0</v>
      </c>
      <c r="AB67" s="218">
        <v>1</v>
      </c>
      <c r="AC67" s="218">
        <v>0</v>
      </c>
      <c r="AD67" s="218">
        <v>0</v>
      </c>
      <c r="AE67" s="218">
        <v>1</v>
      </c>
      <c r="AF67" s="218">
        <v>1</v>
      </c>
      <c r="AG67" s="218">
        <v>0</v>
      </c>
      <c r="AH67" s="218">
        <v>0</v>
      </c>
      <c r="AI67" s="218">
        <v>1</v>
      </c>
      <c r="AJ67" s="218">
        <v>0</v>
      </c>
      <c r="AL67" s="218">
        <v>1</v>
      </c>
      <c r="AM67" s="218">
        <v>0</v>
      </c>
      <c r="AN67" s="218">
        <v>0</v>
      </c>
      <c r="AO67" s="218">
        <v>0</v>
      </c>
      <c r="AP67" s="218">
        <v>1</v>
      </c>
      <c r="AQ67" s="218">
        <v>1</v>
      </c>
      <c r="AR67" s="218">
        <v>0</v>
      </c>
      <c r="AS67" s="218">
        <v>0</v>
      </c>
      <c r="AT67" s="218">
        <v>0</v>
      </c>
      <c r="AU67" s="218">
        <v>1</v>
      </c>
      <c r="AV67" s="218">
        <v>0</v>
      </c>
      <c r="AW67" s="218">
        <v>0</v>
      </c>
      <c r="AX67" s="218">
        <v>1</v>
      </c>
      <c r="AZ67" s="218">
        <v>1</v>
      </c>
      <c r="BB67" s="218">
        <v>0</v>
      </c>
      <c r="BC67" s="218">
        <v>0</v>
      </c>
      <c r="BD67" s="218">
        <v>0</v>
      </c>
      <c r="BE67" s="218">
        <v>1</v>
      </c>
      <c r="BF67" s="218">
        <v>0</v>
      </c>
      <c r="BG67" s="218">
        <v>0</v>
      </c>
      <c r="BH67" s="218">
        <v>0</v>
      </c>
      <c r="BI67" s="218">
        <v>0</v>
      </c>
      <c r="BJ67" s="218">
        <v>0</v>
      </c>
    </row>
    <row r="68" s="218" customFormat="1" ht="82" hidden="1" customHeight="1">
      <c r="C68" s="217"/>
      <c r="D68" s="222"/>
      <c r="E68" s="219" t="s">
        <v>595</v>
      </c>
      <c r="F68" s="216"/>
      <c r="G68" s="220" t="s">
        <v>498</v>
      </c>
      <c r="H68" s="220">
        <v>8760</v>
      </c>
      <c r="I68" s="219"/>
      <c r="J68" s="216"/>
      <c r="K68" s="216"/>
      <c r="L68" s="218" t="s">
        <v>66</v>
      </c>
      <c r="M68" s="218">
        <v>0</v>
      </c>
      <c r="N68" s="218">
        <v>0</v>
      </c>
      <c r="O68" s="218">
        <v>0</v>
      </c>
      <c r="P68" s="217">
        <v>0</v>
      </c>
      <c r="Q68" s="218">
        <v>1</v>
      </c>
      <c r="R68" s="218">
        <v>0</v>
      </c>
      <c r="S68" s="218">
        <v>0</v>
      </c>
      <c r="T68" s="217">
        <v>1</v>
      </c>
      <c r="U68" s="218">
        <v>1</v>
      </c>
      <c r="V68" s="218">
        <v>1</v>
      </c>
      <c r="W68" s="218">
        <v>0</v>
      </c>
      <c r="X68" s="218">
        <v>0</v>
      </c>
      <c r="Y68" s="218">
        <v>0</v>
      </c>
      <c r="Z68" s="218">
        <v>1</v>
      </c>
      <c r="AA68" s="218">
        <v>0</v>
      </c>
      <c r="AB68" s="218">
        <v>1</v>
      </c>
      <c r="AC68" s="218">
        <v>0</v>
      </c>
      <c r="AD68" s="218">
        <v>1</v>
      </c>
      <c r="AE68" s="218">
        <v>1</v>
      </c>
      <c r="AF68" s="218">
        <v>1</v>
      </c>
      <c r="AG68" s="218">
        <v>0</v>
      </c>
      <c r="AH68" s="218">
        <v>0</v>
      </c>
      <c r="AI68" s="218">
        <v>0</v>
      </c>
      <c r="AJ68" s="218">
        <v>1</v>
      </c>
      <c r="AL68" s="218">
        <v>1</v>
      </c>
      <c r="AM68" s="218">
        <v>0</v>
      </c>
      <c r="AN68" s="218">
        <v>0</v>
      </c>
      <c r="AO68" s="218">
        <v>0</v>
      </c>
      <c r="AP68" s="218">
        <v>1</v>
      </c>
      <c r="AQ68" s="218">
        <v>1</v>
      </c>
      <c r="AR68" s="218">
        <v>0</v>
      </c>
      <c r="AS68" s="218">
        <v>1</v>
      </c>
      <c r="AT68" s="218">
        <v>0</v>
      </c>
      <c r="AU68" s="218">
        <v>0</v>
      </c>
      <c r="AV68" s="218">
        <v>0</v>
      </c>
      <c r="AW68" s="218">
        <v>0</v>
      </c>
      <c r="AX68" s="218">
        <v>1</v>
      </c>
      <c r="AZ68" s="218">
        <v>0</v>
      </c>
      <c r="BB68" s="218">
        <v>0</v>
      </c>
      <c r="BC68" s="218">
        <v>0</v>
      </c>
      <c r="BD68" s="218">
        <v>0</v>
      </c>
      <c r="BE68" s="218">
        <v>0</v>
      </c>
      <c r="BF68" s="218">
        <v>0</v>
      </c>
      <c r="BG68" s="218">
        <v>0</v>
      </c>
      <c r="BH68" s="218">
        <v>0</v>
      </c>
      <c r="BI68" s="218">
        <v>0</v>
      </c>
      <c r="BJ68" s="218">
        <v>0</v>
      </c>
    </row>
    <row r="69" s="218" customFormat="1" ht="55.25" hidden="1" customHeight="1">
      <c r="C69" s="217"/>
      <c r="D69" s="222"/>
      <c r="E69" s="219" t="s">
        <v>596</v>
      </c>
      <c r="F69" s="216" t="s">
        <v>597</v>
      </c>
      <c r="G69" s="220" t="s">
        <v>498</v>
      </c>
      <c r="H69" s="220">
        <v>9120</v>
      </c>
      <c r="I69" s="220">
        <v>9233</v>
      </c>
      <c r="J69" s="216"/>
      <c r="K69" s="216"/>
      <c r="L69" s="218" t="s">
        <v>447</v>
      </c>
      <c r="M69" s="218">
        <v>0</v>
      </c>
      <c r="N69" s="218">
        <v>0</v>
      </c>
      <c r="O69" s="218">
        <v>0</v>
      </c>
      <c r="P69" s="217">
        <v>0</v>
      </c>
      <c r="Q69" s="218">
        <v>1</v>
      </c>
      <c r="R69" s="218">
        <v>0</v>
      </c>
      <c r="S69" s="218">
        <v>1</v>
      </c>
      <c r="T69" s="217">
        <v>1</v>
      </c>
      <c r="U69" s="218">
        <v>1</v>
      </c>
      <c r="V69" s="218">
        <v>1</v>
      </c>
      <c r="W69" s="218">
        <v>0</v>
      </c>
      <c r="X69" s="218">
        <v>1</v>
      </c>
      <c r="Y69" s="218">
        <v>1</v>
      </c>
      <c r="Z69" s="218">
        <v>0</v>
      </c>
      <c r="AA69" s="218">
        <v>0</v>
      </c>
      <c r="AB69" s="218">
        <v>1</v>
      </c>
      <c r="AC69" s="218">
        <v>1</v>
      </c>
      <c r="AD69" s="218">
        <v>1</v>
      </c>
      <c r="AE69" s="218">
        <v>1</v>
      </c>
      <c r="AF69" s="218">
        <v>1</v>
      </c>
      <c r="AG69" s="218">
        <v>1</v>
      </c>
      <c r="AH69" s="218">
        <v>1</v>
      </c>
      <c r="AI69" s="218">
        <v>0</v>
      </c>
      <c r="AJ69" s="218">
        <v>0</v>
      </c>
      <c r="AL69" s="218">
        <v>1</v>
      </c>
      <c r="AM69" s="218">
        <v>0</v>
      </c>
      <c r="AN69" s="218">
        <v>0</v>
      </c>
      <c r="AO69" s="218">
        <v>0</v>
      </c>
      <c r="AP69" s="218">
        <v>1</v>
      </c>
      <c r="AQ69" s="218">
        <v>1</v>
      </c>
      <c r="AR69" s="218">
        <v>0</v>
      </c>
      <c r="AS69" s="218">
        <v>0</v>
      </c>
      <c r="AT69" s="218">
        <v>1</v>
      </c>
      <c r="AU69" s="218">
        <v>0</v>
      </c>
      <c r="AV69" s="218">
        <v>0</v>
      </c>
      <c r="AW69" s="218">
        <v>0</v>
      </c>
      <c r="AX69" s="218">
        <v>1</v>
      </c>
      <c r="AZ69" s="218">
        <v>0</v>
      </c>
      <c r="BB69" s="218">
        <v>1</v>
      </c>
      <c r="BC69" s="218">
        <v>0</v>
      </c>
      <c r="BD69" s="218">
        <v>1</v>
      </c>
      <c r="BE69" s="218">
        <v>0</v>
      </c>
      <c r="BF69" s="218">
        <v>0</v>
      </c>
      <c r="BG69" s="218">
        <v>0</v>
      </c>
      <c r="BH69" s="218">
        <v>0</v>
      </c>
      <c r="BI69" s="218">
        <v>0</v>
      </c>
      <c r="BJ69" s="218">
        <v>0</v>
      </c>
    </row>
    <row r="70" s="218" customFormat="1" ht="28.399999999999999" hidden="1" customHeight="1">
      <c r="C70" s="217"/>
      <c r="D70" s="222"/>
      <c r="E70" s="219" t="s">
        <v>598</v>
      </c>
      <c r="F70" s="216"/>
      <c r="G70" s="220" t="s">
        <v>498</v>
      </c>
      <c r="H70" s="220">
        <v>9420</v>
      </c>
      <c r="I70" s="219"/>
      <c r="J70" s="216"/>
      <c r="K70" s="216"/>
      <c r="L70" s="218" t="s">
        <v>66</v>
      </c>
      <c r="M70" s="218">
        <v>0</v>
      </c>
      <c r="N70" s="218">
        <v>0</v>
      </c>
      <c r="O70" s="218">
        <v>0</v>
      </c>
      <c r="P70" s="217">
        <v>0</v>
      </c>
      <c r="Q70" s="218">
        <v>0</v>
      </c>
      <c r="R70" s="218">
        <v>0</v>
      </c>
      <c r="S70" s="218">
        <v>0</v>
      </c>
      <c r="T70" s="217">
        <v>0</v>
      </c>
      <c r="U70" s="218">
        <v>1</v>
      </c>
      <c r="V70" s="218">
        <v>0</v>
      </c>
      <c r="W70" s="218">
        <v>1</v>
      </c>
      <c r="X70" s="218">
        <v>0</v>
      </c>
      <c r="Y70" s="218">
        <v>1</v>
      </c>
      <c r="Z70" s="218">
        <v>0</v>
      </c>
      <c r="AA70" s="218">
        <v>0</v>
      </c>
      <c r="AB70" s="218">
        <v>0</v>
      </c>
      <c r="AC70" s="218">
        <v>0</v>
      </c>
      <c r="AD70" s="218">
        <v>1</v>
      </c>
      <c r="AE70" s="218">
        <v>1</v>
      </c>
      <c r="AF70" s="218">
        <v>1</v>
      </c>
      <c r="AG70" s="218">
        <v>1</v>
      </c>
      <c r="AH70" s="218">
        <v>1</v>
      </c>
      <c r="AI70" s="218">
        <v>0</v>
      </c>
      <c r="AJ70" s="218">
        <v>1</v>
      </c>
      <c r="AL70" s="218">
        <v>1</v>
      </c>
      <c r="AM70" s="218">
        <v>0</v>
      </c>
      <c r="AN70" s="218">
        <v>0</v>
      </c>
      <c r="AO70" s="218">
        <v>0</v>
      </c>
      <c r="AP70" s="218">
        <v>1</v>
      </c>
      <c r="AQ70" s="218">
        <v>1</v>
      </c>
      <c r="AR70" s="218">
        <v>0</v>
      </c>
      <c r="AS70" s="218">
        <v>1</v>
      </c>
      <c r="AT70" s="218">
        <v>0</v>
      </c>
      <c r="AU70" s="218">
        <v>0</v>
      </c>
      <c r="AV70" s="218">
        <v>0</v>
      </c>
      <c r="AW70" s="218">
        <v>0</v>
      </c>
      <c r="AX70" s="218">
        <v>0</v>
      </c>
      <c r="AZ70" s="218">
        <v>0</v>
      </c>
      <c r="BB70" s="218">
        <v>0</v>
      </c>
      <c r="BC70" s="218">
        <v>0</v>
      </c>
      <c r="BD70" s="218">
        <v>0</v>
      </c>
      <c r="BE70" s="218">
        <v>0</v>
      </c>
      <c r="BF70" s="218">
        <v>1</v>
      </c>
      <c r="BG70" s="218">
        <v>0</v>
      </c>
      <c r="BH70" s="218">
        <v>0</v>
      </c>
      <c r="BI70" s="218">
        <v>0</v>
      </c>
      <c r="BJ70" s="218">
        <v>0</v>
      </c>
    </row>
    <row r="71" s="218" customFormat="1" ht="14.25" hidden="1" customHeight="1">
      <c r="C71" s="217"/>
      <c r="D71" s="222"/>
      <c r="E71" s="219" t="s">
        <v>599</v>
      </c>
      <c r="F71" s="216"/>
      <c r="G71" s="220" t="s">
        <v>498</v>
      </c>
      <c r="H71" s="220">
        <v>14820</v>
      </c>
      <c r="I71" s="219"/>
      <c r="J71" s="216"/>
      <c r="K71" s="216"/>
      <c r="L71" s="218" t="s">
        <v>447</v>
      </c>
      <c r="M71" s="218">
        <v>0</v>
      </c>
      <c r="N71" s="218">
        <v>0</v>
      </c>
      <c r="O71" s="218">
        <v>0</v>
      </c>
      <c r="P71" s="217">
        <v>0</v>
      </c>
      <c r="Q71" s="218">
        <v>1</v>
      </c>
      <c r="R71" s="218">
        <v>0</v>
      </c>
      <c r="S71" s="218">
        <v>0</v>
      </c>
      <c r="T71" s="217">
        <v>1</v>
      </c>
      <c r="U71" s="218">
        <v>0</v>
      </c>
      <c r="V71" s="218">
        <v>1</v>
      </c>
      <c r="W71" s="218">
        <v>0</v>
      </c>
      <c r="X71" s="218">
        <v>0</v>
      </c>
      <c r="Y71" s="218">
        <v>0</v>
      </c>
      <c r="Z71" s="218">
        <v>1</v>
      </c>
      <c r="AA71" s="218">
        <v>1</v>
      </c>
      <c r="AB71" s="218">
        <v>0</v>
      </c>
      <c r="AC71" s="218">
        <v>0</v>
      </c>
      <c r="AD71" s="218">
        <v>0</v>
      </c>
      <c r="AE71" s="218">
        <v>1</v>
      </c>
      <c r="AF71" s="218">
        <v>1</v>
      </c>
      <c r="AG71" s="218">
        <v>1</v>
      </c>
      <c r="AH71" s="218">
        <v>0</v>
      </c>
      <c r="AI71" s="218">
        <v>0</v>
      </c>
      <c r="AJ71" s="218">
        <v>0</v>
      </c>
      <c r="AL71" s="218">
        <v>1</v>
      </c>
      <c r="AM71" s="218">
        <v>0</v>
      </c>
      <c r="AN71" s="218">
        <v>0</v>
      </c>
      <c r="AO71" s="218">
        <v>1</v>
      </c>
      <c r="AP71" s="218">
        <v>0</v>
      </c>
      <c r="AQ71" s="218">
        <v>0</v>
      </c>
      <c r="AR71" s="218">
        <v>0</v>
      </c>
      <c r="AS71" s="218">
        <v>0</v>
      </c>
      <c r="AT71" s="218">
        <v>0</v>
      </c>
      <c r="AU71" s="218">
        <v>0</v>
      </c>
      <c r="AV71" s="218">
        <v>0</v>
      </c>
      <c r="AW71" s="218">
        <v>0</v>
      </c>
      <c r="AX71" s="218">
        <v>0</v>
      </c>
      <c r="AZ71" s="218">
        <v>0</v>
      </c>
      <c r="BB71" s="218">
        <v>0</v>
      </c>
      <c r="BC71" s="218">
        <v>0</v>
      </c>
      <c r="BD71" s="218">
        <v>0</v>
      </c>
      <c r="BE71" s="218">
        <v>1</v>
      </c>
      <c r="BF71" s="218">
        <v>0</v>
      </c>
      <c r="BG71" s="218">
        <v>0</v>
      </c>
      <c r="BH71" s="218">
        <v>0</v>
      </c>
      <c r="BI71" s="218">
        <v>0</v>
      </c>
      <c r="BJ71" s="218">
        <v>0</v>
      </c>
    </row>
    <row r="72" s="218" customFormat="1" ht="41.75" hidden="1" customHeight="1">
      <c r="C72" s="217"/>
      <c r="D72" s="222"/>
      <c r="E72" s="219" t="s">
        <v>600</v>
      </c>
      <c r="F72" s="216"/>
      <c r="G72" s="220" t="s">
        <v>498</v>
      </c>
      <c r="H72" s="220">
        <v>21495</v>
      </c>
      <c r="I72" s="219"/>
      <c r="J72" s="216"/>
      <c r="K72" s="216"/>
      <c r="L72" s="218" t="s">
        <v>66</v>
      </c>
      <c r="M72" s="218">
        <v>0</v>
      </c>
      <c r="N72" s="218">
        <v>0</v>
      </c>
      <c r="O72" s="218">
        <v>0</v>
      </c>
      <c r="P72" s="217">
        <v>0</v>
      </c>
      <c r="Q72" s="218">
        <v>0</v>
      </c>
      <c r="R72" s="218">
        <v>0</v>
      </c>
      <c r="S72" s="218">
        <v>0</v>
      </c>
      <c r="T72" s="217">
        <v>0</v>
      </c>
      <c r="U72" s="218">
        <v>1</v>
      </c>
      <c r="V72" s="218">
        <v>1</v>
      </c>
      <c r="W72" s="218">
        <v>0</v>
      </c>
      <c r="X72" s="218">
        <v>0</v>
      </c>
      <c r="Y72" s="218">
        <v>0</v>
      </c>
      <c r="Z72" s="218">
        <v>1</v>
      </c>
      <c r="AA72" s="218">
        <v>0</v>
      </c>
      <c r="AB72" s="218">
        <v>0</v>
      </c>
      <c r="AC72" s="218">
        <v>0</v>
      </c>
      <c r="AD72" s="218">
        <v>1</v>
      </c>
      <c r="AE72" s="218">
        <v>1</v>
      </c>
      <c r="AF72" s="218">
        <v>1</v>
      </c>
      <c r="AG72" s="218">
        <v>1</v>
      </c>
      <c r="AH72" s="218">
        <v>1</v>
      </c>
      <c r="AI72" s="218">
        <v>0</v>
      </c>
      <c r="AJ72" s="218">
        <v>1</v>
      </c>
      <c r="AL72" s="218">
        <v>1</v>
      </c>
      <c r="AM72" s="218">
        <v>0</v>
      </c>
      <c r="AN72" s="218">
        <v>0</v>
      </c>
      <c r="AO72" s="218">
        <v>0</v>
      </c>
      <c r="AP72" s="218">
        <v>1</v>
      </c>
      <c r="AQ72" s="218">
        <v>1</v>
      </c>
      <c r="AR72" s="218">
        <v>0</v>
      </c>
      <c r="AS72" s="218">
        <v>1</v>
      </c>
      <c r="AT72" s="218">
        <v>1</v>
      </c>
      <c r="AU72" s="218">
        <v>0</v>
      </c>
      <c r="AV72" s="218">
        <v>0</v>
      </c>
      <c r="AW72" s="218">
        <v>0</v>
      </c>
      <c r="AX72" s="218">
        <v>0</v>
      </c>
      <c r="AZ72" s="218">
        <v>0</v>
      </c>
      <c r="BB72" s="218">
        <v>0</v>
      </c>
      <c r="BC72" s="218">
        <v>0</v>
      </c>
      <c r="BD72" s="218">
        <v>0</v>
      </c>
      <c r="BE72" s="218">
        <v>0</v>
      </c>
      <c r="BF72" s="218">
        <v>1</v>
      </c>
      <c r="BG72" s="218">
        <v>0</v>
      </c>
      <c r="BH72" s="218">
        <v>0</v>
      </c>
      <c r="BI72" s="218">
        <v>0</v>
      </c>
      <c r="BJ72" s="218">
        <v>0</v>
      </c>
    </row>
    <row r="73" s="218" customFormat="1" ht="14.25" hidden="1" customHeight="1">
      <c r="C73" s="217"/>
      <c r="D73" s="222"/>
      <c r="E73" s="219" t="s">
        <v>601</v>
      </c>
      <c r="F73" s="216"/>
      <c r="G73" s="220" t="s">
        <v>498</v>
      </c>
      <c r="H73" s="220">
        <v>21855</v>
      </c>
      <c r="I73" s="219"/>
      <c r="J73" s="216"/>
      <c r="K73" s="216"/>
      <c r="L73" s="218" t="s">
        <v>66</v>
      </c>
      <c r="M73" s="218">
        <v>0</v>
      </c>
      <c r="N73" s="218">
        <v>0</v>
      </c>
      <c r="O73" s="218">
        <v>0</v>
      </c>
      <c r="P73" s="217">
        <v>0</v>
      </c>
      <c r="Q73" s="218">
        <v>0</v>
      </c>
      <c r="R73" s="218">
        <v>0</v>
      </c>
      <c r="S73" s="218">
        <v>0</v>
      </c>
      <c r="T73" s="217">
        <v>0</v>
      </c>
      <c r="U73" s="218">
        <v>0</v>
      </c>
      <c r="V73" s="218">
        <v>0</v>
      </c>
      <c r="W73" s="218">
        <v>0</v>
      </c>
      <c r="X73" s="218">
        <v>0</v>
      </c>
      <c r="Y73" s="218">
        <v>0</v>
      </c>
      <c r="Z73" s="218">
        <v>0</v>
      </c>
      <c r="AA73" s="218">
        <v>0</v>
      </c>
      <c r="AB73" s="218">
        <v>0</v>
      </c>
      <c r="AC73" s="218">
        <v>0</v>
      </c>
      <c r="AD73" s="218">
        <v>0</v>
      </c>
      <c r="AE73" s="218">
        <v>0</v>
      </c>
      <c r="AF73" s="218">
        <v>0</v>
      </c>
      <c r="AG73" s="218">
        <v>0</v>
      </c>
      <c r="AH73" s="218">
        <v>0</v>
      </c>
      <c r="AI73" s="218">
        <v>0</v>
      </c>
      <c r="AL73" s="218">
        <v>0</v>
      </c>
      <c r="AM73" s="218">
        <v>0</v>
      </c>
      <c r="AN73" s="218">
        <v>0</v>
      </c>
      <c r="AO73" s="218">
        <v>0</v>
      </c>
      <c r="AP73" s="218">
        <v>0</v>
      </c>
      <c r="AQ73" s="218">
        <v>1</v>
      </c>
      <c r="AR73" s="218">
        <v>0</v>
      </c>
      <c r="AS73" s="218">
        <v>0</v>
      </c>
      <c r="AT73" s="218">
        <v>1</v>
      </c>
      <c r="AU73" s="218">
        <v>0</v>
      </c>
      <c r="AV73" s="218">
        <v>0</v>
      </c>
      <c r="AW73" s="218">
        <v>0</v>
      </c>
      <c r="AX73" s="218">
        <v>1</v>
      </c>
      <c r="AZ73" s="218">
        <v>0</v>
      </c>
      <c r="BB73" s="218">
        <v>0</v>
      </c>
      <c r="BC73" s="218">
        <v>0</v>
      </c>
      <c r="BD73" s="218">
        <v>0</v>
      </c>
      <c r="BE73" s="218">
        <v>0</v>
      </c>
      <c r="BF73" s="218">
        <v>1</v>
      </c>
      <c r="BG73" s="218">
        <v>0</v>
      </c>
      <c r="BH73" s="218">
        <v>0</v>
      </c>
      <c r="BI73" s="218">
        <v>1</v>
      </c>
      <c r="BJ73" s="218">
        <v>0</v>
      </c>
    </row>
    <row r="74" s="218" customFormat="1" ht="28.399999999999999" hidden="1" customHeight="1">
      <c r="C74" s="217"/>
      <c r="D74" s="222"/>
      <c r="E74" s="219" t="s">
        <v>602</v>
      </c>
      <c r="F74" s="216"/>
      <c r="G74" s="220" t="s">
        <v>498</v>
      </c>
      <c r="H74" s="220">
        <v>22130</v>
      </c>
      <c r="I74" s="219"/>
      <c r="J74" s="216"/>
      <c r="K74" s="216"/>
      <c r="L74" s="218" t="s">
        <v>447</v>
      </c>
      <c r="M74" s="218">
        <v>0</v>
      </c>
      <c r="N74" s="218">
        <v>0</v>
      </c>
      <c r="O74" s="218">
        <v>0</v>
      </c>
      <c r="P74" s="217">
        <v>0</v>
      </c>
      <c r="Q74" s="218">
        <v>1</v>
      </c>
      <c r="R74" s="218">
        <v>0</v>
      </c>
      <c r="S74" s="218">
        <v>0</v>
      </c>
      <c r="T74" s="217">
        <v>1</v>
      </c>
      <c r="U74" s="218">
        <v>0</v>
      </c>
      <c r="V74" s="218">
        <v>1</v>
      </c>
      <c r="W74" s="218">
        <v>0</v>
      </c>
      <c r="X74" s="218">
        <v>0</v>
      </c>
      <c r="Y74" s="218">
        <v>0</v>
      </c>
      <c r="Z74" s="218">
        <v>1</v>
      </c>
      <c r="AA74" s="218">
        <v>0</v>
      </c>
      <c r="AB74" s="218">
        <v>1</v>
      </c>
      <c r="AC74" s="218">
        <v>0</v>
      </c>
      <c r="AD74" s="218">
        <v>0</v>
      </c>
      <c r="AE74" s="218">
        <v>1</v>
      </c>
      <c r="AF74" s="218">
        <v>0</v>
      </c>
      <c r="AG74" s="218">
        <v>0</v>
      </c>
      <c r="AH74" s="218">
        <v>0</v>
      </c>
      <c r="AI74" s="218">
        <v>0</v>
      </c>
      <c r="AJ74" s="218">
        <v>0</v>
      </c>
      <c r="AL74" s="218">
        <v>1</v>
      </c>
      <c r="AM74" s="218">
        <v>0</v>
      </c>
      <c r="AN74" s="218">
        <v>0</v>
      </c>
      <c r="AO74" s="218">
        <v>1</v>
      </c>
      <c r="AP74" s="218">
        <v>0</v>
      </c>
      <c r="AQ74" s="218">
        <v>0</v>
      </c>
      <c r="AR74" s="218">
        <v>0</v>
      </c>
      <c r="AS74" s="218">
        <v>0</v>
      </c>
      <c r="AT74" s="218">
        <v>0</v>
      </c>
      <c r="AU74" s="218">
        <v>0</v>
      </c>
      <c r="AV74" s="218">
        <v>0</v>
      </c>
      <c r="AW74" s="218">
        <v>0</v>
      </c>
      <c r="AX74" s="218">
        <v>0</v>
      </c>
      <c r="AZ74" s="218">
        <v>0</v>
      </c>
      <c r="BB74" s="218">
        <v>0</v>
      </c>
      <c r="BC74" s="218">
        <v>0</v>
      </c>
      <c r="BD74" s="218">
        <v>0</v>
      </c>
      <c r="BE74" s="218">
        <v>0</v>
      </c>
      <c r="BF74" s="218">
        <v>0</v>
      </c>
      <c r="BG74" s="218">
        <v>0</v>
      </c>
      <c r="BH74" s="218">
        <v>0</v>
      </c>
      <c r="BI74" s="218">
        <v>0</v>
      </c>
      <c r="BJ74" s="218">
        <v>0</v>
      </c>
    </row>
    <row r="75" s="218" customFormat="1" ht="28.399999999999999" hidden="1" customHeight="1">
      <c r="C75" s="217"/>
      <c r="D75" s="222"/>
      <c r="E75" s="219" t="s">
        <v>603</v>
      </c>
      <c r="F75" s="216" t="s">
        <v>604</v>
      </c>
      <c r="G75" s="220" t="s">
        <v>498</v>
      </c>
      <c r="H75" s="220">
        <v>22358</v>
      </c>
      <c r="I75" s="220">
        <v>22478</v>
      </c>
      <c r="J75" s="216"/>
      <c r="K75" s="216"/>
      <c r="L75" s="218" t="s">
        <v>66</v>
      </c>
      <c r="M75" s="218">
        <v>0</v>
      </c>
      <c r="N75" s="218">
        <v>0</v>
      </c>
      <c r="O75" s="218">
        <v>0</v>
      </c>
      <c r="P75" s="217">
        <v>0</v>
      </c>
      <c r="Q75" s="218">
        <v>0</v>
      </c>
      <c r="R75" s="218">
        <v>0</v>
      </c>
      <c r="S75" s="218">
        <v>0</v>
      </c>
      <c r="T75" s="217">
        <v>0</v>
      </c>
      <c r="U75" s="218">
        <v>1</v>
      </c>
      <c r="V75" s="218">
        <v>0</v>
      </c>
      <c r="W75" s="218">
        <v>1</v>
      </c>
      <c r="X75" s="218">
        <v>0</v>
      </c>
      <c r="Y75" s="218">
        <v>1</v>
      </c>
      <c r="Z75" s="218">
        <v>0</v>
      </c>
      <c r="AA75" s="218">
        <v>0</v>
      </c>
      <c r="AB75" s="218">
        <v>0</v>
      </c>
      <c r="AC75" s="218">
        <v>0</v>
      </c>
      <c r="AD75" s="218">
        <v>1</v>
      </c>
      <c r="AE75" s="218">
        <v>1</v>
      </c>
      <c r="AF75" s="218">
        <v>1</v>
      </c>
      <c r="AG75" s="218">
        <v>0</v>
      </c>
      <c r="AH75" s="218">
        <v>0</v>
      </c>
      <c r="AI75" s="218">
        <v>0</v>
      </c>
      <c r="AJ75" s="218">
        <v>0</v>
      </c>
      <c r="AL75" s="218">
        <v>1</v>
      </c>
      <c r="AM75" s="218">
        <v>0</v>
      </c>
      <c r="AN75" s="218">
        <v>0</v>
      </c>
      <c r="AO75" s="218">
        <v>0</v>
      </c>
      <c r="AP75" s="218">
        <v>1</v>
      </c>
      <c r="AQ75" s="218">
        <v>1</v>
      </c>
      <c r="AR75" s="218">
        <v>0</v>
      </c>
      <c r="AS75" s="218">
        <v>0</v>
      </c>
      <c r="AT75" s="218">
        <v>0</v>
      </c>
      <c r="AU75" s="218">
        <v>1</v>
      </c>
      <c r="AV75" s="218">
        <v>0</v>
      </c>
      <c r="AW75" s="218">
        <v>0</v>
      </c>
      <c r="AX75" s="218">
        <v>0</v>
      </c>
      <c r="AZ75" s="218">
        <v>0</v>
      </c>
      <c r="BB75" s="218">
        <v>0</v>
      </c>
      <c r="BC75" s="218">
        <v>0</v>
      </c>
      <c r="BD75" s="218">
        <v>0</v>
      </c>
      <c r="BE75" s="218">
        <v>0</v>
      </c>
      <c r="BF75" s="218">
        <v>1</v>
      </c>
      <c r="BG75" s="218">
        <v>0</v>
      </c>
      <c r="BH75" s="218">
        <v>0</v>
      </c>
      <c r="BI75" s="218">
        <v>1</v>
      </c>
      <c r="BJ75" s="218">
        <v>0</v>
      </c>
    </row>
    <row r="76" s="218" customFormat="1" ht="28.399999999999999" hidden="1" customHeight="1">
      <c r="A76" s="144"/>
      <c r="D76" s="223"/>
      <c r="E76" s="219" t="s">
        <v>605</v>
      </c>
      <c r="F76" s="216"/>
      <c r="G76" s="219" t="s">
        <v>498</v>
      </c>
      <c r="H76" s="219">
        <v>22620</v>
      </c>
      <c r="I76" s="219"/>
      <c r="J76" s="216"/>
      <c r="K76" s="216"/>
      <c r="L76" s="218" t="s">
        <v>447</v>
      </c>
      <c r="M76" s="218">
        <v>0</v>
      </c>
      <c r="N76" s="218">
        <v>0</v>
      </c>
      <c r="O76" s="218">
        <v>0</v>
      </c>
      <c r="P76" s="217">
        <v>0</v>
      </c>
      <c r="Q76" s="218">
        <v>1</v>
      </c>
      <c r="R76" s="218">
        <v>0</v>
      </c>
      <c r="S76" s="218">
        <v>0</v>
      </c>
      <c r="T76" s="217">
        <v>1</v>
      </c>
      <c r="U76" s="218">
        <v>0</v>
      </c>
      <c r="V76" s="218">
        <v>0</v>
      </c>
      <c r="W76" s="218">
        <v>1</v>
      </c>
      <c r="X76" s="218">
        <v>0</v>
      </c>
      <c r="Y76" s="218">
        <v>0</v>
      </c>
      <c r="Z76" s="218">
        <v>1</v>
      </c>
      <c r="AA76" s="218">
        <v>0</v>
      </c>
      <c r="AB76" s="218">
        <v>1</v>
      </c>
      <c r="AC76" s="218">
        <v>0</v>
      </c>
      <c r="AD76" s="218">
        <v>0</v>
      </c>
      <c r="AE76" s="218">
        <v>1</v>
      </c>
      <c r="AF76" s="218">
        <v>0</v>
      </c>
      <c r="AG76" s="218">
        <v>0</v>
      </c>
      <c r="AH76" s="218">
        <v>1</v>
      </c>
      <c r="AI76" s="218">
        <v>0</v>
      </c>
      <c r="AJ76" s="218">
        <v>0</v>
      </c>
      <c r="AL76" s="218">
        <v>1</v>
      </c>
      <c r="AM76" s="218">
        <v>0</v>
      </c>
      <c r="AN76" s="218">
        <v>0</v>
      </c>
      <c r="AO76" s="218">
        <v>0</v>
      </c>
      <c r="AP76" s="218">
        <v>1</v>
      </c>
      <c r="AQ76" s="218">
        <v>0</v>
      </c>
      <c r="AR76" s="218">
        <v>0</v>
      </c>
      <c r="AS76" s="218">
        <v>0</v>
      </c>
      <c r="AT76" s="218">
        <v>0</v>
      </c>
      <c r="AU76" s="218">
        <v>0</v>
      </c>
      <c r="AV76" s="218">
        <v>0</v>
      </c>
      <c r="AW76" s="218">
        <v>0</v>
      </c>
      <c r="AX76" s="218">
        <v>0</v>
      </c>
      <c r="AZ76" s="218">
        <v>0</v>
      </c>
      <c r="BB76" s="218">
        <v>0</v>
      </c>
      <c r="BC76" s="218">
        <v>0</v>
      </c>
      <c r="BD76" s="218">
        <v>0</v>
      </c>
      <c r="BE76" s="218">
        <v>0</v>
      </c>
      <c r="BF76" s="218">
        <v>0</v>
      </c>
      <c r="BG76" s="218">
        <v>0</v>
      </c>
      <c r="BH76" s="218">
        <v>0</v>
      </c>
      <c r="BI76" s="218">
        <v>0</v>
      </c>
      <c r="BJ76" s="218">
        <v>0</v>
      </c>
    </row>
    <row r="77" s="224" customFormat="1" ht="14.25" customHeight="1">
      <c r="A77" s="224" t="s">
        <v>606</v>
      </c>
      <c r="B77" s="225" t="s">
        <v>482</v>
      </c>
      <c r="C77" s="224" t="s">
        <v>92</v>
      </c>
      <c r="D77" s="224" t="s">
        <v>83</v>
      </c>
      <c r="E77" s="226" t="s">
        <v>607</v>
      </c>
      <c r="F77" s="226" t="s">
        <v>608</v>
      </c>
      <c r="G77" s="227" t="s">
        <v>498</v>
      </c>
      <c r="H77" s="228">
        <v>30136</v>
      </c>
      <c r="I77" s="228">
        <v>30148</v>
      </c>
      <c r="J77" s="226"/>
      <c r="K77" s="226">
        <v>1</v>
      </c>
      <c r="L77" s="224" t="s">
        <v>447</v>
      </c>
      <c r="M77" s="224">
        <v>0</v>
      </c>
      <c r="N77" s="224">
        <v>0</v>
      </c>
      <c r="O77" s="224">
        <v>0</v>
      </c>
      <c r="P77" s="229">
        <v>0</v>
      </c>
      <c r="Q77" s="224">
        <v>0</v>
      </c>
      <c r="R77" s="224">
        <v>0</v>
      </c>
      <c r="S77" s="224">
        <v>0</v>
      </c>
      <c r="T77" s="229">
        <v>0</v>
      </c>
      <c r="U77" s="224">
        <v>0</v>
      </c>
      <c r="V77" s="224">
        <v>0</v>
      </c>
      <c r="W77" s="224">
        <v>0</v>
      </c>
      <c r="X77" s="224">
        <v>0</v>
      </c>
      <c r="Y77" s="224">
        <v>0</v>
      </c>
      <c r="Z77" s="224">
        <v>0</v>
      </c>
      <c r="AA77" s="224">
        <v>0</v>
      </c>
      <c r="AB77" s="224">
        <v>0</v>
      </c>
      <c r="AC77" s="224">
        <v>0</v>
      </c>
      <c r="AD77" s="224">
        <v>0</v>
      </c>
      <c r="AE77" s="224">
        <v>0</v>
      </c>
      <c r="AF77" s="224">
        <v>0</v>
      </c>
      <c r="AG77" s="224">
        <v>0</v>
      </c>
      <c r="AH77" s="224">
        <v>0</v>
      </c>
      <c r="AI77" s="224">
        <v>0</v>
      </c>
      <c r="AJ77" s="224">
        <v>0</v>
      </c>
      <c r="AK77" s="224">
        <v>0</v>
      </c>
      <c r="AL77" s="224">
        <v>0</v>
      </c>
      <c r="AM77" s="224">
        <v>0</v>
      </c>
      <c r="AN77" s="224">
        <v>0</v>
      </c>
      <c r="AO77" s="224">
        <v>0</v>
      </c>
      <c r="AP77" s="224">
        <v>0</v>
      </c>
      <c r="AQ77" s="224">
        <v>1</v>
      </c>
      <c r="AR77" s="224">
        <v>0</v>
      </c>
      <c r="AS77" s="224">
        <v>0</v>
      </c>
      <c r="AT77" s="224">
        <v>1</v>
      </c>
      <c r="AU77" s="224">
        <v>0</v>
      </c>
      <c r="AV77" s="224">
        <v>0</v>
      </c>
      <c r="AW77" s="224">
        <v>1</v>
      </c>
      <c r="AX77" s="224">
        <v>0</v>
      </c>
      <c r="AY77" s="224">
        <v>0</v>
      </c>
      <c r="AZ77" s="224">
        <v>0</v>
      </c>
      <c r="BA77" s="224">
        <v>0</v>
      </c>
      <c r="BB77" s="224">
        <v>0</v>
      </c>
      <c r="BC77" s="224">
        <v>0</v>
      </c>
      <c r="BD77" s="224">
        <v>1</v>
      </c>
      <c r="BE77" s="224">
        <v>0</v>
      </c>
      <c r="BF77" s="224">
        <v>0</v>
      </c>
      <c r="BG77" s="224">
        <v>0</v>
      </c>
      <c r="BH77" s="224">
        <v>0</v>
      </c>
      <c r="BI77" s="224">
        <v>0</v>
      </c>
      <c r="BJ77" s="224">
        <v>0</v>
      </c>
    </row>
    <row r="78" s="207" customFormat="1" ht="14.25" hidden="1" customHeight="1">
      <c r="A78" s="137" t="s">
        <v>481</v>
      </c>
      <c r="B78" s="181" t="s">
        <v>513</v>
      </c>
      <c r="C78" s="181" t="s">
        <v>95</v>
      </c>
      <c r="D78" s="182" t="s">
        <v>83</v>
      </c>
      <c r="E78" s="177" t="s">
        <v>609</v>
      </c>
      <c r="F78" s="184" t="s">
        <v>610</v>
      </c>
      <c r="G78" s="177" t="s">
        <v>498</v>
      </c>
      <c r="H78" s="177">
        <v>3634</v>
      </c>
      <c r="I78" s="177">
        <v>3647</v>
      </c>
      <c r="J78" s="184"/>
      <c r="K78" s="183"/>
      <c r="L78" s="207" t="s">
        <v>325</v>
      </c>
      <c r="M78" s="207">
        <v>1</v>
      </c>
      <c r="N78" s="207">
        <v>0</v>
      </c>
      <c r="O78" s="207">
        <v>0</v>
      </c>
      <c r="P78" s="142">
        <v>1</v>
      </c>
      <c r="Q78" s="207">
        <v>0</v>
      </c>
      <c r="R78" s="207">
        <v>0</v>
      </c>
      <c r="S78" s="207">
        <v>0</v>
      </c>
      <c r="T78" s="142">
        <v>0</v>
      </c>
      <c r="U78" s="207">
        <v>0</v>
      </c>
      <c r="V78" s="207">
        <v>1</v>
      </c>
      <c r="W78" s="207">
        <v>0</v>
      </c>
      <c r="X78" s="207">
        <v>0</v>
      </c>
      <c r="Y78" s="207">
        <v>0</v>
      </c>
      <c r="Z78" s="207">
        <v>1</v>
      </c>
      <c r="AA78" s="207">
        <v>1</v>
      </c>
      <c r="AB78" s="207">
        <v>0</v>
      </c>
      <c r="AC78" s="207">
        <v>0</v>
      </c>
      <c r="AD78" s="207">
        <v>0</v>
      </c>
      <c r="AE78" s="207">
        <v>1</v>
      </c>
      <c r="AF78" s="207">
        <v>1</v>
      </c>
      <c r="AG78" s="207">
        <v>1</v>
      </c>
      <c r="AH78" s="207">
        <v>0</v>
      </c>
      <c r="AI78" s="207">
        <v>0</v>
      </c>
      <c r="AJ78" s="207">
        <v>0</v>
      </c>
      <c r="AK78" s="207">
        <v>0</v>
      </c>
      <c r="AL78" s="207">
        <v>1</v>
      </c>
      <c r="AM78" s="207">
        <v>0</v>
      </c>
      <c r="AN78" s="207">
        <v>0</v>
      </c>
      <c r="AO78" s="207">
        <v>0</v>
      </c>
      <c r="AP78" s="207">
        <v>1</v>
      </c>
      <c r="AQ78" s="207">
        <v>0</v>
      </c>
      <c r="AR78" s="207">
        <v>0</v>
      </c>
      <c r="AS78" s="207">
        <v>0</v>
      </c>
      <c r="AT78" s="207">
        <v>0</v>
      </c>
      <c r="AU78" s="207">
        <v>0</v>
      </c>
      <c r="AV78" s="207">
        <v>0</v>
      </c>
      <c r="AW78" s="207">
        <v>0</v>
      </c>
      <c r="AX78" s="207">
        <v>0</v>
      </c>
      <c r="AY78" s="207">
        <v>0</v>
      </c>
      <c r="AZ78" s="207">
        <v>0</v>
      </c>
      <c r="BA78" s="207">
        <v>0</v>
      </c>
      <c r="BB78" s="207">
        <v>0</v>
      </c>
      <c r="BC78" s="207">
        <v>0</v>
      </c>
      <c r="BD78" s="207">
        <v>0</v>
      </c>
      <c r="BE78" s="207">
        <v>0</v>
      </c>
      <c r="BF78" s="207">
        <v>0</v>
      </c>
      <c r="BG78" s="207">
        <v>0</v>
      </c>
      <c r="BH78" s="207">
        <v>0</v>
      </c>
      <c r="BI78" s="207">
        <v>0</v>
      </c>
      <c r="BJ78" s="207">
        <v>0</v>
      </c>
    </row>
    <row r="79" s="207" customFormat="1" ht="14.25" hidden="1" customHeight="1">
      <c r="C79" s="174"/>
      <c r="D79" s="186"/>
      <c r="E79" s="177" t="s">
        <v>611</v>
      </c>
      <c r="F79" s="184" t="s">
        <v>546</v>
      </c>
      <c r="G79" s="177" t="s">
        <v>498</v>
      </c>
      <c r="H79" s="177">
        <v>3761</v>
      </c>
      <c r="I79" s="177">
        <v>3771</v>
      </c>
      <c r="J79" s="184"/>
      <c r="K79" s="183"/>
      <c r="L79" s="207" t="s">
        <v>325</v>
      </c>
      <c r="M79" s="207">
        <v>1</v>
      </c>
      <c r="N79" s="207">
        <v>0</v>
      </c>
      <c r="O79" s="207">
        <v>0</v>
      </c>
      <c r="P79" s="142">
        <v>1</v>
      </c>
      <c r="Q79" s="207">
        <v>0</v>
      </c>
      <c r="R79" s="207">
        <v>0</v>
      </c>
      <c r="S79" s="207">
        <v>0</v>
      </c>
      <c r="T79" s="142">
        <v>0</v>
      </c>
      <c r="U79" s="207">
        <v>0</v>
      </c>
      <c r="V79" s="207">
        <v>1</v>
      </c>
      <c r="W79" s="207">
        <v>0</v>
      </c>
      <c r="X79" s="207">
        <v>0</v>
      </c>
      <c r="Y79" s="207">
        <v>1</v>
      </c>
      <c r="Z79" s="207">
        <v>0</v>
      </c>
      <c r="AA79" s="207">
        <v>1</v>
      </c>
      <c r="AB79" s="207">
        <v>0</v>
      </c>
      <c r="AC79" s="207">
        <v>0</v>
      </c>
      <c r="AD79" s="207">
        <v>0</v>
      </c>
      <c r="AE79" s="207">
        <v>0</v>
      </c>
      <c r="AF79" s="207">
        <v>0</v>
      </c>
      <c r="AG79" s="207">
        <v>1</v>
      </c>
      <c r="AH79" s="207">
        <v>1</v>
      </c>
      <c r="AI79" s="207">
        <v>0</v>
      </c>
      <c r="AJ79" s="207">
        <v>0</v>
      </c>
      <c r="AK79" s="207">
        <v>0</v>
      </c>
      <c r="AL79" s="207">
        <v>1</v>
      </c>
      <c r="AM79" s="207">
        <v>0</v>
      </c>
      <c r="AN79" s="207">
        <v>0</v>
      </c>
      <c r="AO79" s="207">
        <v>1</v>
      </c>
      <c r="AP79" s="207">
        <v>0</v>
      </c>
      <c r="AQ79" s="207">
        <v>0</v>
      </c>
      <c r="AR79" s="207">
        <v>0</v>
      </c>
      <c r="AS79" s="207">
        <v>0</v>
      </c>
      <c r="AT79" s="207">
        <v>0</v>
      </c>
      <c r="AU79" s="207">
        <v>0</v>
      </c>
      <c r="AV79" s="207">
        <v>0</v>
      </c>
      <c r="AW79" s="207">
        <v>0</v>
      </c>
      <c r="AX79" s="207">
        <v>0</v>
      </c>
      <c r="AY79" s="207">
        <v>0</v>
      </c>
      <c r="AZ79" s="207">
        <v>0</v>
      </c>
      <c r="BA79" s="207">
        <v>0</v>
      </c>
      <c r="BB79" s="207">
        <v>0</v>
      </c>
      <c r="BC79" s="207">
        <v>0</v>
      </c>
      <c r="BD79" s="207">
        <v>0</v>
      </c>
      <c r="BE79" s="207">
        <v>0</v>
      </c>
      <c r="BF79" s="207">
        <v>0</v>
      </c>
      <c r="BG79" s="207">
        <v>0</v>
      </c>
      <c r="BH79" s="207">
        <v>0</v>
      </c>
      <c r="BI79" s="207">
        <v>0</v>
      </c>
      <c r="BJ79" s="207">
        <v>0</v>
      </c>
    </row>
    <row r="80" s="207" customFormat="1" ht="14.25" hidden="1" customHeight="1">
      <c r="C80" s="174"/>
      <c r="D80" s="186"/>
      <c r="E80" s="177" t="s">
        <v>612</v>
      </c>
      <c r="F80" s="184" t="s">
        <v>516</v>
      </c>
      <c r="G80" s="177" t="s">
        <v>498</v>
      </c>
      <c r="H80" s="177">
        <v>16861</v>
      </c>
      <c r="I80" s="177">
        <v>16864</v>
      </c>
      <c r="J80" s="184"/>
      <c r="K80" s="183"/>
      <c r="L80" s="207" t="s">
        <v>325</v>
      </c>
      <c r="M80" s="207">
        <v>1</v>
      </c>
      <c r="P80" s="142">
        <v>1</v>
      </c>
      <c r="T80" s="142"/>
      <c r="W80" s="207">
        <v>1</v>
      </c>
      <c r="Z80" s="207">
        <v>1</v>
      </c>
      <c r="AA80" s="207">
        <v>1</v>
      </c>
      <c r="AJ80" s="207">
        <v>1</v>
      </c>
      <c r="AL80" s="207">
        <v>1</v>
      </c>
      <c r="AO80" s="207">
        <v>1</v>
      </c>
    </row>
    <row r="81" s="207" customFormat="1" ht="55.25" hidden="1" customHeight="1">
      <c r="C81" s="174"/>
      <c r="D81" s="174"/>
      <c r="E81" s="177" t="s">
        <v>613</v>
      </c>
      <c r="F81" s="184" t="s">
        <v>608</v>
      </c>
      <c r="G81" s="177" t="s">
        <v>498</v>
      </c>
      <c r="H81" s="177">
        <v>17119</v>
      </c>
      <c r="I81" s="177">
        <v>17131</v>
      </c>
      <c r="J81" s="184"/>
      <c r="K81" s="183">
        <v>12</v>
      </c>
      <c r="L81" s="207" t="s">
        <v>325</v>
      </c>
      <c r="M81" s="207">
        <v>1</v>
      </c>
      <c r="N81" s="207">
        <v>0</v>
      </c>
      <c r="O81" s="207">
        <v>0</v>
      </c>
      <c r="P81" s="142">
        <v>1</v>
      </c>
      <c r="Q81" s="207">
        <v>0</v>
      </c>
      <c r="R81" s="207">
        <v>0</v>
      </c>
      <c r="S81" s="207">
        <v>0</v>
      </c>
      <c r="T81" s="142">
        <v>0</v>
      </c>
      <c r="U81" s="207">
        <v>0</v>
      </c>
      <c r="V81" s="207">
        <v>0</v>
      </c>
      <c r="W81" s="207">
        <v>1</v>
      </c>
      <c r="X81" s="207">
        <v>0</v>
      </c>
      <c r="Y81" s="207">
        <v>0</v>
      </c>
      <c r="Z81" s="207">
        <v>1</v>
      </c>
      <c r="AA81" s="207">
        <v>1</v>
      </c>
      <c r="AB81" s="207">
        <v>0</v>
      </c>
      <c r="AC81" s="207">
        <v>0</v>
      </c>
      <c r="AD81" s="207">
        <v>0</v>
      </c>
      <c r="AE81" s="207">
        <v>0</v>
      </c>
      <c r="AF81" s="207">
        <v>0</v>
      </c>
      <c r="AG81" s="207">
        <v>1</v>
      </c>
      <c r="AH81" s="207">
        <v>0</v>
      </c>
      <c r="AI81" s="207">
        <v>0</v>
      </c>
      <c r="AJ81" s="207">
        <v>1</v>
      </c>
      <c r="AK81" s="207">
        <v>0</v>
      </c>
      <c r="AL81" s="207">
        <v>1</v>
      </c>
      <c r="AM81" s="207">
        <v>0</v>
      </c>
      <c r="AN81" s="207">
        <v>0</v>
      </c>
      <c r="AO81" s="207">
        <v>1</v>
      </c>
      <c r="AP81" s="207">
        <v>0</v>
      </c>
      <c r="AQ81" s="207">
        <v>0</v>
      </c>
      <c r="AR81" s="207">
        <v>0</v>
      </c>
      <c r="AS81" s="207">
        <v>0</v>
      </c>
      <c r="AT81" s="207">
        <v>0</v>
      </c>
      <c r="AU81" s="207">
        <v>0</v>
      </c>
      <c r="AV81" s="207">
        <v>0</v>
      </c>
      <c r="AW81" s="207">
        <v>0</v>
      </c>
      <c r="AX81" s="207">
        <v>0</v>
      </c>
      <c r="AY81" s="207">
        <v>0</v>
      </c>
      <c r="AZ81" s="207">
        <v>0</v>
      </c>
      <c r="BA81" s="207">
        <v>0</v>
      </c>
      <c r="BB81" s="207">
        <v>0</v>
      </c>
      <c r="BC81" s="207">
        <v>0</v>
      </c>
      <c r="BD81" s="207">
        <v>0</v>
      </c>
      <c r="BE81" s="207">
        <v>0</v>
      </c>
      <c r="BF81" s="207">
        <v>0</v>
      </c>
      <c r="BG81" s="207">
        <v>0</v>
      </c>
      <c r="BH81" s="207">
        <v>0</v>
      </c>
      <c r="BI81" s="207">
        <v>0</v>
      </c>
      <c r="BJ81" s="207">
        <v>0</v>
      </c>
    </row>
    <row r="82" s="188" customFormat="1" ht="28.399999999999999" hidden="1" customHeight="1">
      <c r="C82" s="174"/>
      <c r="D82" s="174"/>
      <c r="E82" s="180" t="s">
        <v>614</v>
      </c>
      <c r="F82" s="111" t="s">
        <v>572</v>
      </c>
      <c r="G82" s="177" t="s">
        <v>498</v>
      </c>
      <c r="H82" s="177">
        <v>17225</v>
      </c>
      <c r="I82" s="177">
        <v>17251</v>
      </c>
      <c r="J82" s="111"/>
      <c r="K82" s="176"/>
      <c r="L82" s="188" t="s">
        <v>325</v>
      </c>
      <c r="M82" s="188">
        <v>1</v>
      </c>
      <c r="N82" s="188">
        <v>0</v>
      </c>
      <c r="O82" s="188">
        <v>0</v>
      </c>
      <c r="P82" s="142">
        <v>1</v>
      </c>
      <c r="Q82" s="188">
        <v>0</v>
      </c>
      <c r="R82" s="188">
        <v>0</v>
      </c>
      <c r="S82" s="188">
        <v>0</v>
      </c>
      <c r="T82" s="142">
        <v>0</v>
      </c>
      <c r="U82" s="188">
        <v>0</v>
      </c>
      <c r="V82" s="188">
        <v>0</v>
      </c>
      <c r="W82" s="188">
        <v>1</v>
      </c>
      <c r="X82" s="188">
        <v>0</v>
      </c>
      <c r="Y82" s="188">
        <v>0</v>
      </c>
      <c r="Z82" s="188">
        <v>1</v>
      </c>
      <c r="AA82" s="188">
        <v>1</v>
      </c>
      <c r="AB82" s="188">
        <v>0</v>
      </c>
      <c r="AC82" s="188">
        <v>0</v>
      </c>
      <c r="AD82" s="188">
        <v>0</v>
      </c>
      <c r="AE82" s="188">
        <v>0</v>
      </c>
      <c r="AF82" s="188">
        <v>1</v>
      </c>
      <c r="AG82" s="188">
        <v>1</v>
      </c>
      <c r="AH82" s="188">
        <v>1</v>
      </c>
      <c r="AI82" s="188">
        <v>0</v>
      </c>
      <c r="AJ82" s="188">
        <v>0</v>
      </c>
      <c r="AK82" s="188">
        <v>0</v>
      </c>
      <c r="AL82" s="188">
        <v>1</v>
      </c>
      <c r="AM82" s="188">
        <v>0</v>
      </c>
      <c r="AN82" s="188">
        <v>0</v>
      </c>
      <c r="AO82" s="188">
        <v>1</v>
      </c>
      <c r="AP82" s="188">
        <v>0</v>
      </c>
      <c r="AQ82" s="188">
        <v>0</v>
      </c>
      <c r="AR82" s="188">
        <v>0</v>
      </c>
      <c r="AS82" s="188">
        <v>0</v>
      </c>
      <c r="AT82" s="188">
        <v>0</v>
      </c>
      <c r="AU82" s="188">
        <v>0</v>
      </c>
      <c r="AV82" s="188">
        <v>0</v>
      </c>
      <c r="AW82" s="188">
        <v>0</v>
      </c>
      <c r="AX82" s="188">
        <v>0</v>
      </c>
      <c r="AY82" s="188">
        <v>0</v>
      </c>
      <c r="AZ82" s="188">
        <v>0</v>
      </c>
      <c r="BA82" s="188">
        <v>0</v>
      </c>
      <c r="BB82" s="188">
        <v>0</v>
      </c>
      <c r="BC82" s="188">
        <v>0</v>
      </c>
      <c r="BD82" s="188">
        <v>0</v>
      </c>
      <c r="BE82" s="188">
        <v>0</v>
      </c>
      <c r="BF82" s="188">
        <v>0</v>
      </c>
      <c r="BG82" s="188">
        <v>0</v>
      </c>
      <c r="BH82" s="188">
        <v>0</v>
      </c>
      <c r="BI82" s="188">
        <v>0</v>
      </c>
      <c r="BJ82" s="188">
        <v>0</v>
      </c>
    </row>
    <row r="83" s="188" customFormat="1" ht="28.399999999999999" hidden="1" customHeight="1">
      <c r="C83" s="174"/>
      <c r="D83" s="174"/>
      <c r="E83" s="180" t="s">
        <v>615</v>
      </c>
      <c r="F83" s="111" t="s">
        <v>616</v>
      </c>
      <c r="G83" s="177" t="s">
        <v>498</v>
      </c>
      <c r="H83" s="177">
        <v>17448</v>
      </c>
      <c r="I83" s="177">
        <v>17484</v>
      </c>
      <c r="J83" s="111"/>
      <c r="K83" s="176"/>
      <c r="L83" s="188" t="s">
        <v>325</v>
      </c>
      <c r="M83" s="188">
        <v>1</v>
      </c>
      <c r="N83" s="188">
        <v>0</v>
      </c>
      <c r="O83" s="188">
        <v>0</v>
      </c>
      <c r="P83" s="142">
        <v>1</v>
      </c>
      <c r="Q83" s="188">
        <v>0</v>
      </c>
      <c r="R83" s="188">
        <v>0</v>
      </c>
      <c r="S83" s="188">
        <v>0</v>
      </c>
      <c r="T83" s="142">
        <v>0</v>
      </c>
      <c r="U83" s="188">
        <v>0</v>
      </c>
      <c r="V83" s="188">
        <v>0</v>
      </c>
      <c r="W83" s="188">
        <v>1</v>
      </c>
      <c r="X83" s="188">
        <v>0</v>
      </c>
      <c r="Y83" s="188">
        <v>0</v>
      </c>
      <c r="Z83" s="188">
        <v>1</v>
      </c>
      <c r="AA83" s="188">
        <v>1</v>
      </c>
      <c r="AB83" s="188">
        <v>0</v>
      </c>
      <c r="AC83" s="188">
        <v>0</v>
      </c>
      <c r="AD83" s="188">
        <v>0</v>
      </c>
      <c r="AE83" s="188">
        <v>0</v>
      </c>
      <c r="AF83" s="188">
        <v>1</v>
      </c>
      <c r="AG83" s="188">
        <v>1</v>
      </c>
      <c r="AH83" s="188">
        <v>1</v>
      </c>
      <c r="AI83" s="188">
        <v>0</v>
      </c>
      <c r="AJ83" s="188">
        <v>0</v>
      </c>
      <c r="AK83" s="188">
        <v>1</v>
      </c>
      <c r="AL83" s="188">
        <v>1</v>
      </c>
      <c r="AM83" s="188">
        <v>0</v>
      </c>
      <c r="AN83" s="188">
        <v>0</v>
      </c>
      <c r="AO83" s="188">
        <v>1</v>
      </c>
      <c r="AP83" s="188">
        <v>0</v>
      </c>
      <c r="AQ83" s="188">
        <v>0</v>
      </c>
      <c r="AR83" s="188">
        <v>0</v>
      </c>
      <c r="AS83" s="188">
        <v>0</v>
      </c>
      <c r="AT83" s="188">
        <v>0</v>
      </c>
      <c r="AU83" s="188">
        <v>0</v>
      </c>
      <c r="AV83" s="188">
        <v>0</v>
      </c>
      <c r="AW83" s="188">
        <v>0</v>
      </c>
      <c r="AX83" s="188">
        <v>0</v>
      </c>
      <c r="AY83" s="188">
        <v>0</v>
      </c>
      <c r="AZ83" s="188">
        <v>0</v>
      </c>
      <c r="BA83" s="188">
        <v>0</v>
      </c>
      <c r="BB83" s="188">
        <v>0</v>
      </c>
      <c r="BC83" s="188">
        <v>0</v>
      </c>
      <c r="BD83" s="188">
        <v>0</v>
      </c>
      <c r="BE83" s="188">
        <v>0</v>
      </c>
      <c r="BF83" s="188">
        <v>0</v>
      </c>
      <c r="BG83" s="188">
        <v>0</v>
      </c>
      <c r="BH83" s="188">
        <v>0</v>
      </c>
      <c r="BI83" s="188">
        <v>0</v>
      </c>
      <c r="BJ83" s="188">
        <v>0</v>
      </c>
    </row>
    <row r="84" s="188" customFormat="1" ht="14.25" hidden="1" customHeight="1">
      <c r="C84" s="174"/>
      <c r="D84" s="174"/>
      <c r="E84" s="230" t="s">
        <v>617</v>
      </c>
      <c r="F84" s="111" t="s">
        <v>618</v>
      </c>
      <c r="G84" s="231" t="s">
        <v>498</v>
      </c>
      <c r="H84" s="231">
        <v>21981</v>
      </c>
      <c r="I84" s="231">
        <v>21987</v>
      </c>
      <c r="J84" s="111"/>
      <c r="K84" s="176"/>
      <c r="L84" s="188" t="s">
        <v>325</v>
      </c>
      <c r="M84" s="188">
        <v>1</v>
      </c>
      <c r="N84" s="188">
        <v>0</v>
      </c>
      <c r="O84" s="188">
        <v>0</v>
      </c>
      <c r="P84" s="142">
        <v>1</v>
      </c>
      <c r="Q84" s="188">
        <v>0</v>
      </c>
      <c r="R84" s="188">
        <v>0</v>
      </c>
      <c r="S84" s="188">
        <v>0</v>
      </c>
      <c r="T84" s="142">
        <v>0</v>
      </c>
      <c r="U84" s="188">
        <v>0</v>
      </c>
      <c r="V84" s="188">
        <v>0</v>
      </c>
      <c r="W84" s="188">
        <v>1</v>
      </c>
      <c r="X84" s="188">
        <v>0</v>
      </c>
      <c r="Y84" s="188">
        <v>1</v>
      </c>
      <c r="Z84" s="188">
        <v>0</v>
      </c>
      <c r="AA84" s="188">
        <v>1</v>
      </c>
      <c r="AB84" s="188">
        <v>0</v>
      </c>
      <c r="AC84" s="188">
        <v>0</v>
      </c>
      <c r="AD84" s="188">
        <v>0</v>
      </c>
      <c r="AE84" s="188">
        <v>0</v>
      </c>
      <c r="AF84" s="188">
        <v>0</v>
      </c>
      <c r="AG84" s="188">
        <v>1</v>
      </c>
      <c r="AH84" s="188">
        <v>1</v>
      </c>
      <c r="AI84" s="188">
        <v>0</v>
      </c>
      <c r="AJ84" s="188">
        <v>0</v>
      </c>
      <c r="AK84" s="188">
        <v>0</v>
      </c>
      <c r="AL84" s="188">
        <v>0</v>
      </c>
      <c r="AM84" s="188">
        <v>0</v>
      </c>
      <c r="AN84" s="188">
        <v>1</v>
      </c>
      <c r="AO84" s="188">
        <v>1</v>
      </c>
      <c r="AP84" s="188">
        <v>0</v>
      </c>
      <c r="AQ84" s="188">
        <v>0</v>
      </c>
      <c r="AR84" s="188">
        <v>0</v>
      </c>
      <c r="AS84" s="188">
        <v>0</v>
      </c>
      <c r="AT84" s="188">
        <v>0</v>
      </c>
      <c r="AU84" s="188">
        <v>0</v>
      </c>
      <c r="AV84" s="188">
        <v>0</v>
      </c>
      <c r="AW84" s="188">
        <v>0</v>
      </c>
      <c r="AX84" s="188">
        <v>0</v>
      </c>
      <c r="AY84" s="188">
        <v>0</v>
      </c>
      <c r="AZ84" s="188">
        <v>0</v>
      </c>
      <c r="BA84" s="188">
        <v>0</v>
      </c>
      <c r="BB84" s="188">
        <v>0</v>
      </c>
      <c r="BC84" s="188">
        <v>0</v>
      </c>
      <c r="BD84" s="188">
        <v>0</v>
      </c>
      <c r="BE84" s="188">
        <v>0</v>
      </c>
      <c r="BF84" s="188">
        <v>0</v>
      </c>
      <c r="BG84" s="188">
        <v>0</v>
      </c>
      <c r="BH84" s="188">
        <v>0</v>
      </c>
      <c r="BI84" s="188">
        <v>0</v>
      </c>
      <c r="BJ84" s="188">
        <v>0</v>
      </c>
    </row>
    <row r="85" s="188" customFormat="1" ht="28.399999999999999" hidden="1" customHeight="1">
      <c r="C85" s="174"/>
      <c r="D85" s="186"/>
      <c r="E85" s="190" t="s">
        <v>619</v>
      </c>
      <c r="F85" s="111" t="s">
        <v>620</v>
      </c>
      <c r="G85" s="232" t="s">
        <v>498</v>
      </c>
      <c r="H85" s="232">
        <v>25020</v>
      </c>
      <c r="I85" s="232">
        <v>25050</v>
      </c>
      <c r="J85" s="111"/>
      <c r="K85" s="176"/>
      <c r="L85" s="188" t="s">
        <v>66</v>
      </c>
      <c r="M85" s="188">
        <v>1</v>
      </c>
      <c r="N85" s="188">
        <v>0</v>
      </c>
      <c r="O85" s="188">
        <v>0</v>
      </c>
      <c r="P85" s="142">
        <v>1</v>
      </c>
      <c r="Q85" s="188">
        <v>0</v>
      </c>
      <c r="R85" s="188">
        <v>0</v>
      </c>
      <c r="S85" s="188">
        <v>0</v>
      </c>
      <c r="T85" s="142">
        <v>0</v>
      </c>
      <c r="U85" s="188">
        <v>0</v>
      </c>
      <c r="V85" s="188">
        <v>0</v>
      </c>
      <c r="W85" s="188">
        <v>1</v>
      </c>
      <c r="X85" s="188">
        <v>0</v>
      </c>
      <c r="Y85" s="188">
        <v>0</v>
      </c>
      <c r="Z85" s="188">
        <v>1</v>
      </c>
      <c r="AA85" s="188">
        <v>1</v>
      </c>
      <c r="AB85" s="188">
        <v>0</v>
      </c>
      <c r="AC85" s="188">
        <v>0</v>
      </c>
      <c r="AD85" s="188">
        <v>0</v>
      </c>
      <c r="AE85" s="188">
        <v>1</v>
      </c>
      <c r="AF85" s="188">
        <v>0</v>
      </c>
      <c r="AG85" s="188">
        <v>1</v>
      </c>
      <c r="AH85" s="188">
        <v>0</v>
      </c>
      <c r="AI85" s="188">
        <v>0</v>
      </c>
      <c r="AJ85" s="188">
        <v>0</v>
      </c>
      <c r="AK85" s="188">
        <v>0</v>
      </c>
      <c r="AL85" s="188">
        <v>1</v>
      </c>
      <c r="AM85" s="188">
        <v>0</v>
      </c>
      <c r="AN85" s="188">
        <v>0</v>
      </c>
      <c r="AO85" s="188">
        <v>1</v>
      </c>
      <c r="AP85" s="188">
        <v>0</v>
      </c>
      <c r="AQ85" s="188">
        <v>0</v>
      </c>
      <c r="AR85" s="188">
        <v>0</v>
      </c>
      <c r="AS85" s="188">
        <v>0</v>
      </c>
      <c r="AT85" s="188">
        <v>0</v>
      </c>
      <c r="AU85" s="188">
        <v>0</v>
      </c>
      <c r="AV85" s="188">
        <v>0</v>
      </c>
      <c r="AW85" s="188">
        <v>0</v>
      </c>
      <c r="AX85" s="188">
        <v>0</v>
      </c>
      <c r="AY85" s="188">
        <v>0</v>
      </c>
      <c r="AZ85" s="188">
        <v>0</v>
      </c>
      <c r="BA85" s="188">
        <v>0</v>
      </c>
      <c r="BB85" s="188">
        <v>0</v>
      </c>
      <c r="BC85" s="188">
        <v>0</v>
      </c>
      <c r="BD85" s="188">
        <v>0</v>
      </c>
      <c r="BE85" s="188">
        <v>0</v>
      </c>
      <c r="BF85" s="188">
        <v>1</v>
      </c>
      <c r="BG85" s="188">
        <v>0</v>
      </c>
      <c r="BH85" s="188">
        <v>0</v>
      </c>
      <c r="BI85" s="188">
        <v>0</v>
      </c>
      <c r="BJ85" s="188">
        <v>0</v>
      </c>
    </row>
    <row r="86" s="188" customFormat="1" ht="55.25" hidden="1" customHeight="1">
      <c r="C86" s="174"/>
      <c r="D86" s="186"/>
      <c r="E86" s="197" t="s">
        <v>621</v>
      </c>
      <c r="F86" s="111" t="s">
        <v>510</v>
      </c>
      <c r="G86" s="233" t="s">
        <v>498</v>
      </c>
      <c r="H86" s="233">
        <v>25072</v>
      </c>
      <c r="I86" s="233">
        <v>25076</v>
      </c>
      <c r="J86" s="111"/>
      <c r="K86" s="176"/>
      <c r="L86" s="188" t="s">
        <v>447</v>
      </c>
      <c r="M86" s="188">
        <v>0</v>
      </c>
      <c r="N86" s="188">
        <v>0</v>
      </c>
      <c r="O86" s="188">
        <v>0</v>
      </c>
      <c r="P86" s="142">
        <v>0</v>
      </c>
      <c r="Q86" s="188">
        <v>0</v>
      </c>
      <c r="R86" s="188">
        <v>0</v>
      </c>
      <c r="S86" s="188">
        <v>0</v>
      </c>
      <c r="T86" s="142">
        <v>0</v>
      </c>
      <c r="U86" s="188">
        <v>1</v>
      </c>
      <c r="V86" s="188">
        <v>1</v>
      </c>
      <c r="W86" s="188">
        <v>0</v>
      </c>
      <c r="X86" s="188">
        <v>0</v>
      </c>
      <c r="Y86" s="188">
        <v>1</v>
      </c>
      <c r="Z86" s="188">
        <v>0</v>
      </c>
      <c r="AA86" s="188">
        <v>0</v>
      </c>
      <c r="AB86" s="188">
        <v>0</v>
      </c>
      <c r="AC86" s="188">
        <v>0</v>
      </c>
      <c r="AD86" s="188">
        <v>1</v>
      </c>
      <c r="AE86" s="188">
        <v>1</v>
      </c>
      <c r="AF86" s="188">
        <v>1</v>
      </c>
      <c r="AG86" s="188">
        <v>0</v>
      </c>
      <c r="AH86" s="188">
        <v>0</v>
      </c>
      <c r="AI86" s="188">
        <v>1</v>
      </c>
      <c r="AJ86" s="188">
        <v>1</v>
      </c>
      <c r="AK86" s="188">
        <v>0</v>
      </c>
      <c r="AL86" s="188">
        <v>1</v>
      </c>
      <c r="AM86" s="188">
        <v>1</v>
      </c>
      <c r="AN86" s="188">
        <v>0</v>
      </c>
      <c r="AO86" s="188">
        <v>1</v>
      </c>
      <c r="AP86" s="188">
        <v>0</v>
      </c>
      <c r="AQ86" s="188">
        <v>1</v>
      </c>
      <c r="AR86" s="188">
        <v>0</v>
      </c>
      <c r="AS86" s="188">
        <v>0</v>
      </c>
      <c r="AT86" s="188">
        <v>1</v>
      </c>
      <c r="AU86" s="188">
        <v>0</v>
      </c>
      <c r="AV86" s="188">
        <v>0</v>
      </c>
      <c r="AW86" s="188">
        <v>1</v>
      </c>
      <c r="AX86" s="188">
        <v>0</v>
      </c>
      <c r="AY86" s="188">
        <v>0</v>
      </c>
      <c r="AZ86" s="188">
        <v>0</v>
      </c>
      <c r="BA86" s="188">
        <v>0</v>
      </c>
      <c r="BB86" s="188">
        <v>0</v>
      </c>
      <c r="BC86" s="188">
        <v>0</v>
      </c>
      <c r="BD86" s="188">
        <v>1</v>
      </c>
      <c r="BE86" s="188">
        <v>0</v>
      </c>
      <c r="BF86" s="188">
        <v>0</v>
      </c>
      <c r="BG86" s="188">
        <v>1</v>
      </c>
      <c r="BH86" s="188">
        <v>0</v>
      </c>
      <c r="BI86" s="188">
        <v>0</v>
      </c>
      <c r="BJ86" s="188">
        <v>0</v>
      </c>
    </row>
    <row r="87" s="188" customFormat="1" ht="14.25" hidden="1" customHeight="1">
      <c r="C87" s="174"/>
      <c r="D87" s="186"/>
      <c r="E87" s="180" t="s">
        <v>622</v>
      </c>
      <c r="F87" s="111" t="s">
        <v>623</v>
      </c>
      <c r="G87" s="177" t="s">
        <v>498</v>
      </c>
      <c r="H87" s="177">
        <v>25152</v>
      </c>
      <c r="I87" s="177">
        <v>25156</v>
      </c>
      <c r="J87" s="111"/>
      <c r="K87" s="176"/>
      <c r="L87" s="188" t="s">
        <v>66</v>
      </c>
      <c r="M87" s="188">
        <v>0</v>
      </c>
      <c r="N87" s="188">
        <v>1</v>
      </c>
      <c r="O87" s="188">
        <v>0</v>
      </c>
      <c r="P87" s="142">
        <v>1</v>
      </c>
      <c r="Q87" s="188">
        <v>0</v>
      </c>
      <c r="R87" s="188">
        <v>0</v>
      </c>
      <c r="S87" s="188">
        <v>0</v>
      </c>
      <c r="T87" s="142">
        <v>0</v>
      </c>
      <c r="U87" s="188">
        <v>0</v>
      </c>
      <c r="V87" s="188">
        <v>1</v>
      </c>
      <c r="W87" s="188">
        <v>0</v>
      </c>
      <c r="X87" s="188">
        <v>0</v>
      </c>
      <c r="Y87" s="188">
        <v>1</v>
      </c>
      <c r="Z87" s="188">
        <v>0</v>
      </c>
      <c r="AA87" s="188">
        <v>1</v>
      </c>
      <c r="AB87" s="188">
        <v>0</v>
      </c>
      <c r="AC87" s="188">
        <v>0</v>
      </c>
      <c r="AD87" s="188">
        <v>0</v>
      </c>
      <c r="AE87" s="188">
        <v>1</v>
      </c>
      <c r="AF87" s="188">
        <v>1</v>
      </c>
      <c r="AG87" s="188">
        <v>1</v>
      </c>
      <c r="AH87" s="188">
        <v>0</v>
      </c>
      <c r="AI87" s="188">
        <v>1</v>
      </c>
      <c r="AJ87" s="188">
        <v>1</v>
      </c>
      <c r="AK87" s="188">
        <v>0</v>
      </c>
      <c r="AL87" s="188">
        <v>1</v>
      </c>
      <c r="AM87" s="188">
        <v>0</v>
      </c>
      <c r="AN87" s="188">
        <v>0</v>
      </c>
      <c r="AO87" s="188">
        <v>0</v>
      </c>
      <c r="AP87" s="188">
        <v>1</v>
      </c>
      <c r="AQ87" s="188">
        <v>0</v>
      </c>
      <c r="AR87" s="188">
        <v>0</v>
      </c>
      <c r="AS87" s="188">
        <v>0</v>
      </c>
      <c r="AT87" s="188">
        <v>0</v>
      </c>
      <c r="AU87" s="188">
        <v>0</v>
      </c>
      <c r="AV87" s="188">
        <v>0</v>
      </c>
      <c r="AW87" s="188">
        <v>0</v>
      </c>
      <c r="AX87" s="188">
        <v>0</v>
      </c>
      <c r="AY87" s="188">
        <v>0</v>
      </c>
      <c r="AZ87" s="188">
        <v>0</v>
      </c>
      <c r="BA87" s="188">
        <v>0</v>
      </c>
      <c r="BB87" s="188">
        <v>0</v>
      </c>
      <c r="BC87" s="188">
        <v>0</v>
      </c>
      <c r="BD87" s="188">
        <v>0</v>
      </c>
      <c r="BE87" s="188">
        <v>0</v>
      </c>
      <c r="BF87" s="188">
        <v>1</v>
      </c>
      <c r="BG87" s="188">
        <v>0</v>
      </c>
      <c r="BH87" s="188">
        <v>0</v>
      </c>
      <c r="BI87" s="188">
        <v>0</v>
      </c>
      <c r="BJ87" s="188">
        <v>0</v>
      </c>
    </row>
    <row r="88" s="188" customFormat="1" ht="28.399999999999999" hidden="1" customHeight="1">
      <c r="C88" s="174"/>
      <c r="D88" s="186"/>
      <c r="E88" s="180" t="s">
        <v>624</v>
      </c>
      <c r="F88" s="111" t="s">
        <v>625</v>
      </c>
      <c r="G88" s="177" t="s">
        <v>498</v>
      </c>
      <c r="H88" s="177">
        <v>25291</v>
      </c>
      <c r="I88" s="177">
        <v>25298</v>
      </c>
      <c r="J88" s="111"/>
      <c r="K88" s="176"/>
      <c r="L88" s="188" t="s">
        <v>325</v>
      </c>
      <c r="M88" s="188">
        <v>0</v>
      </c>
      <c r="N88" s="188">
        <v>0</v>
      </c>
      <c r="O88" s="188">
        <v>0</v>
      </c>
      <c r="P88" s="142">
        <v>0</v>
      </c>
      <c r="Q88" s="188">
        <v>0</v>
      </c>
      <c r="R88" s="188">
        <v>0</v>
      </c>
      <c r="S88" s="188">
        <v>0</v>
      </c>
      <c r="T88" s="142">
        <v>0</v>
      </c>
      <c r="U88" s="188">
        <v>1</v>
      </c>
      <c r="V88" s="188">
        <v>0</v>
      </c>
      <c r="W88" s="188">
        <v>1</v>
      </c>
      <c r="X88" s="188">
        <v>0</v>
      </c>
      <c r="Y88" s="188">
        <v>0</v>
      </c>
      <c r="Z88" s="188">
        <v>1</v>
      </c>
      <c r="AA88" s="188">
        <v>0</v>
      </c>
      <c r="AB88" s="188">
        <v>0</v>
      </c>
      <c r="AC88" s="188">
        <v>0</v>
      </c>
      <c r="AD88" s="188">
        <v>1</v>
      </c>
      <c r="AE88" s="188">
        <v>1</v>
      </c>
      <c r="AF88" s="188">
        <v>1</v>
      </c>
      <c r="AG88" s="188">
        <v>0</v>
      </c>
      <c r="AH88" s="188">
        <v>0</v>
      </c>
      <c r="AI88" s="188">
        <v>0</v>
      </c>
      <c r="AJ88" s="188">
        <v>1</v>
      </c>
      <c r="AK88" s="188">
        <v>0</v>
      </c>
      <c r="AL88" s="188">
        <v>1</v>
      </c>
      <c r="AM88" s="188">
        <v>0</v>
      </c>
      <c r="AN88" s="188">
        <v>1</v>
      </c>
      <c r="AO88" s="188">
        <v>1</v>
      </c>
      <c r="AP88" s="188">
        <v>0</v>
      </c>
      <c r="AQ88" s="188">
        <v>0</v>
      </c>
      <c r="AR88" s="188">
        <v>0</v>
      </c>
      <c r="AS88" s="188">
        <v>0</v>
      </c>
      <c r="AT88" s="188">
        <v>0</v>
      </c>
      <c r="AU88" s="188">
        <v>0</v>
      </c>
      <c r="AV88" s="188">
        <v>0</v>
      </c>
      <c r="AW88" s="188">
        <v>0</v>
      </c>
      <c r="AX88" s="188">
        <v>0</v>
      </c>
      <c r="AY88" s="188">
        <v>0</v>
      </c>
      <c r="AZ88" s="188">
        <v>0</v>
      </c>
      <c r="BA88" s="188">
        <v>0</v>
      </c>
      <c r="BB88" s="188">
        <v>0</v>
      </c>
      <c r="BC88" s="188">
        <v>0</v>
      </c>
      <c r="BD88" s="188">
        <v>0</v>
      </c>
      <c r="BE88" s="188">
        <v>0</v>
      </c>
      <c r="BF88" s="188">
        <v>0</v>
      </c>
      <c r="BG88" s="188">
        <v>0</v>
      </c>
      <c r="BH88" s="188">
        <v>0</v>
      </c>
      <c r="BI88" s="188">
        <v>0</v>
      </c>
      <c r="BJ88" s="188">
        <v>0</v>
      </c>
    </row>
    <row r="89" s="188" customFormat="1" ht="28.399999999999999" hidden="1" customHeight="1">
      <c r="A89" s="144"/>
      <c r="D89" s="189"/>
      <c r="E89" s="180" t="s">
        <v>626</v>
      </c>
      <c r="F89" s="145" t="s">
        <v>627</v>
      </c>
      <c r="G89" s="180" t="s">
        <v>498</v>
      </c>
      <c r="H89" s="180">
        <v>31537</v>
      </c>
      <c r="I89" s="180">
        <v>31561</v>
      </c>
      <c r="J89" s="145"/>
      <c r="K89" s="180"/>
      <c r="L89" s="188" t="s">
        <v>66</v>
      </c>
      <c r="M89" s="188">
        <v>1</v>
      </c>
      <c r="N89" s="188">
        <v>0</v>
      </c>
      <c r="O89" s="188">
        <v>0</v>
      </c>
      <c r="P89" s="142">
        <v>1</v>
      </c>
      <c r="Q89" s="188">
        <v>0</v>
      </c>
      <c r="R89" s="188">
        <v>0</v>
      </c>
      <c r="S89" s="188">
        <v>0</v>
      </c>
      <c r="T89" s="142">
        <v>0</v>
      </c>
      <c r="U89" s="188">
        <v>0</v>
      </c>
      <c r="V89" s="188">
        <v>0</v>
      </c>
      <c r="W89" s="188">
        <v>1</v>
      </c>
      <c r="X89" s="188">
        <v>0</v>
      </c>
      <c r="Y89" s="188">
        <v>0</v>
      </c>
      <c r="Z89" s="188">
        <v>1</v>
      </c>
      <c r="AA89" s="188">
        <v>1</v>
      </c>
      <c r="AB89" s="188">
        <v>0</v>
      </c>
      <c r="AC89" s="188">
        <v>0</v>
      </c>
      <c r="AD89" s="188">
        <v>0</v>
      </c>
      <c r="AE89" s="188">
        <v>1</v>
      </c>
      <c r="AF89" s="188">
        <v>1</v>
      </c>
      <c r="AG89" s="188">
        <v>1</v>
      </c>
      <c r="AH89" s="188">
        <v>0</v>
      </c>
      <c r="AI89" s="188">
        <v>0</v>
      </c>
      <c r="AJ89" s="188">
        <v>1</v>
      </c>
      <c r="AK89" s="188">
        <v>1</v>
      </c>
      <c r="AL89" s="188">
        <v>1</v>
      </c>
      <c r="AM89" s="188">
        <v>0</v>
      </c>
      <c r="AN89" s="188">
        <v>0</v>
      </c>
      <c r="AO89" s="188">
        <v>0</v>
      </c>
      <c r="AP89" s="188">
        <v>1</v>
      </c>
      <c r="AQ89" s="188">
        <v>0</v>
      </c>
      <c r="AR89" s="188">
        <v>0</v>
      </c>
      <c r="AS89" s="188">
        <v>0</v>
      </c>
      <c r="AT89" s="188">
        <v>0</v>
      </c>
      <c r="AU89" s="188">
        <v>0</v>
      </c>
      <c r="AV89" s="188">
        <v>0</v>
      </c>
      <c r="AW89" s="188">
        <v>0</v>
      </c>
      <c r="AX89" s="188">
        <v>0</v>
      </c>
      <c r="AY89" s="188">
        <v>0</v>
      </c>
      <c r="AZ89" s="188">
        <v>0</v>
      </c>
      <c r="BA89" s="188">
        <v>0</v>
      </c>
      <c r="BB89" s="188">
        <v>0</v>
      </c>
      <c r="BC89" s="188">
        <v>0</v>
      </c>
      <c r="BD89" s="188">
        <v>0</v>
      </c>
      <c r="BE89" s="188">
        <v>0</v>
      </c>
      <c r="BF89" s="188">
        <v>0</v>
      </c>
      <c r="BG89" s="188">
        <v>0</v>
      </c>
      <c r="BH89" s="188">
        <v>0</v>
      </c>
      <c r="BI89" s="188">
        <v>1</v>
      </c>
      <c r="BJ89" s="188">
        <v>0</v>
      </c>
    </row>
    <row r="90" s="143" customFormat="1" ht="14.25" hidden="1" customHeight="1">
      <c r="A90" s="137" t="s">
        <v>481</v>
      </c>
      <c r="B90" s="234" t="s">
        <v>513</v>
      </c>
      <c r="C90" s="235" t="s">
        <v>98</v>
      </c>
      <c r="D90" s="164" t="s">
        <v>73</v>
      </c>
      <c r="E90" s="236" t="s">
        <v>308</v>
      </c>
      <c r="F90" s="237" t="s">
        <v>572</v>
      </c>
      <c r="G90" s="238" t="s">
        <v>498</v>
      </c>
      <c r="H90" s="236"/>
      <c r="I90" s="236"/>
      <c r="J90" s="239"/>
      <c r="K90" s="164">
        <v>1</v>
      </c>
      <c r="L90" s="164" t="s">
        <v>66</v>
      </c>
      <c r="M90" s="143">
        <v>1</v>
      </c>
      <c r="N90" s="143">
        <v>0</v>
      </c>
      <c r="O90" s="143">
        <v>0</v>
      </c>
      <c r="P90" s="142">
        <v>1</v>
      </c>
      <c r="Q90" s="143">
        <v>0</v>
      </c>
      <c r="R90" s="143">
        <v>0</v>
      </c>
      <c r="S90" s="143">
        <v>0</v>
      </c>
      <c r="T90" s="142">
        <v>0</v>
      </c>
      <c r="U90" s="143">
        <v>0</v>
      </c>
      <c r="V90" s="143">
        <v>0</v>
      </c>
      <c r="W90" s="143">
        <v>1</v>
      </c>
      <c r="X90" s="143">
        <v>0</v>
      </c>
      <c r="Y90" s="143">
        <v>0</v>
      </c>
      <c r="Z90" s="143">
        <v>1</v>
      </c>
      <c r="AA90" s="143">
        <v>1</v>
      </c>
      <c r="AB90" s="143">
        <v>0</v>
      </c>
      <c r="AC90" s="143">
        <v>0</v>
      </c>
      <c r="AD90" s="143">
        <v>0</v>
      </c>
      <c r="AE90" s="143">
        <v>0</v>
      </c>
      <c r="AF90" s="143">
        <v>0</v>
      </c>
      <c r="AG90" s="143">
        <v>1</v>
      </c>
      <c r="AH90" s="143">
        <v>1</v>
      </c>
      <c r="AI90" s="143">
        <v>1</v>
      </c>
      <c r="AJ90" s="143">
        <v>0</v>
      </c>
      <c r="AK90" s="143">
        <v>0</v>
      </c>
      <c r="AL90" s="143">
        <v>1</v>
      </c>
      <c r="AM90" s="143">
        <v>0</v>
      </c>
      <c r="AN90" s="143">
        <v>0</v>
      </c>
      <c r="AO90" s="143">
        <v>0</v>
      </c>
      <c r="AP90" s="143">
        <v>1</v>
      </c>
      <c r="AQ90" s="143">
        <v>1</v>
      </c>
      <c r="AR90" s="143">
        <v>0</v>
      </c>
      <c r="AS90" s="143">
        <v>1</v>
      </c>
      <c r="AT90" s="143">
        <v>0</v>
      </c>
      <c r="AU90" s="143">
        <v>0</v>
      </c>
      <c r="AV90" s="143">
        <v>1</v>
      </c>
      <c r="AW90" s="143">
        <v>0</v>
      </c>
      <c r="AX90" s="143">
        <v>0</v>
      </c>
      <c r="AY90" s="143">
        <v>0</v>
      </c>
      <c r="AZ90" s="143">
        <v>0</v>
      </c>
      <c r="BA90" s="143">
        <v>0</v>
      </c>
      <c r="BB90" s="143">
        <v>0</v>
      </c>
      <c r="BC90" s="143">
        <v>0</v>
      </c>
      <c r="BD90" s="143">
        <v>0</v>
      </c>
      <c r="BE90" s="143">
        <v>0</v>
      </c>
      <c r="BF90" s="143">
        <v>0</v>
      </c>
      <c r="BG90" s="143">
        <v>0</v>
      </c>
      <c r="BH90" s="143">
        <v>0</v>
      </c>
      <c r="BI90" s="143">
        <v>1</v>
      </c>
      <c r="BJ90" s="143">
        <v>0</v>
      </c>
    </row>
    <row r="91" s="136" customFormat="1" ht="49.5" hidden="1" customHeight="1">
      <c r="A91" s="137" t="s">
        <v>481</v>
      </c>
      <c r="B91" s="136" t="s">
        <v>513</v>
      </c>
      <c r="C91" s="146" t="s">
        <v>100</v>
      </c>
      <c r="D91" s="146" t="s">
        <v>73</v>
      </c>
      <c r="E91" s="139" t="s">
        <v>628</v>
      </c>
      <c r="F91" s="111" t="s">
        <v>629</v>
      </c>
      <c r="G91" s="139" t="s">
        <v>486</v>
      </c>
      <c r="H91" s="139"/>
      <c r="I91" s="139"/>
      <c r="J91" s="111"/>
      <c r="K91" s="171">
        <v>4</v>
      </c>
      <c r="L91" s="139" t="s">
        <v>325</v>
      </c>
      <c r="M91" s="136">
        <v>0</v>
      </c>
      <c r="N91" s="136">
        <v>1</v>
      </c>
      <c r="O91" s="136">
        <v>0</v>
      </c>
      <c r="P91" s="136">
        <v>1</v>
      </c>
      <c r="Q91" s="136">
        <v>0</v>
      </c>
      <c r="R91" s="136">
        <v>0</v>
      </c>
      <c r="S91" s="136">
        <v>0</v>
      </c>
      <c r="T91" s="136">
        <v>0</v>
      </c>
      <c r="U91" s="136">
        <v>0</v>
      </c>
      <c r="V91" s="136">
        <v>1</v>
      </c>
      <c r="W91" s="136">
        <v>0</v>
      </c>
      <c r="X91" s="136">
        <v>0</v>
      </c>
      <c r="Y91" s="136">
        <v>1</v>
      </c>
      <c r="Z91" s="136">
        <v>0</v>
      </c>
      <c r="AA91" s="136">
        <v>1</v>
      </c>
      <c r="AB91" s="136">
        <v>0</v>
      </c>
      <c r="AC91" s="136">
        <v>0</v>
      </c>
      <c r="AD91" s="136">
        <v>0</v>
      </c>
      <c r="AE91" s="136">
        <v>1</v>
      </c>
      <c r="AF91" s="136">
        <v>1</v>
      </c>
      <c r="AG91" s="136">
        <v>1</v>
      </c>
      <c r="AH91" s="136">
        <v>0</v>
      </c>
      <c r="AI91" s="136">
        <v>0</v>
      </c>
      <c r="AJ91" s="136">
        <v>1</v>
      </c>
      <c r="AK91" s="136">
        <v>1</v>
      </c>
      <c r="AL91" s="136">
        <v>1</v>
      </c>
      <c r="AM91" s="136">
        <v>1</v>
      </c>
      <c r="AN91" s="136">
        <v>0</v>
      </c>
      <c r="AO91" s="136">
        <v>0</v>
      </c>
      <c r="AP91" s="136">
        <v>1</v>
      </c>
      <c r="AQ91" s="136">
        <v>0</v>
      </c>
      <c r="AR91" s="136">
        <v>0</v>
      </c>
      <c r="AS91" s="136">
        <v>0</v>
      </c>
      <c r="AT91" s="136">
        <v>0</v>
      </c>
      <c r="AU91" s="136">
        <v>0</v>
      </c>
      <c r="AV91" s="136">
        <v>0</v>
      </c>
      <c r="AW91" s="136">
        <v>0</v>
      </c>
      <c r="AX91" s="136">
        <v>0</v>
      </c>
      <c r="AY91" s="136">
        <v>0</v>
      </c>
      <c r="AZ91" s="136">
        <v>0</v>
      </c>
      <c r="BA91" s="136">
        <v>0</v>
      </c>
      <c r="BB91" s="136">
        <v>0</v>
      </c>
      <c r="BC91" s="136">
        <v>0</v>
      </c>
      <c r="BD91" s="136">
        <v>0</v>
      </c>
      <c r="BE91" s="136">
        <v>0</v>
      </c>
      <c r="BF91" s="136">
        <v>0</v>
      </c>
      <c r="BG91" s="136">
        <v>0</v>
      </c>
      <c r="BH91" s="136">
        <v>0</v>
      </c>
      <c r="BI91" s="136">
        <v>0</v>
      </c>
      <c r="BJ91" s="136">
        <v>0</v>
      </c>
    </row>
    <row r="92" s="136" customFormat="1" ht="45.75" hidden="1" customHeight="1">
      <c r="E92" s="139" t="s">
        <v>630</v>
      </c>
      <c r="F92" s="111" t="s">
        <v>572</v>
      </c>
      <c r="G92" s="139" t="s">
        <v>486</v>
      </c>
      <c r="H92" s="139"/>
      <c r="I92" s="139"/>
      <c r="J92" s="111"/>
      <c r="K92" s="171"/>
      <c r="L92" s="139" t="s">
        <v>66</v>
      </c>
      <c r="M92" s="136">
        <v>0</v>
      </c>
      <c r="N92" s="136">
        <v>0</v>
      </c>
      <c r="O92" s="136">
        <v>0</v>
      </c>
      <c r="P92" s="142">
        <v>0</v>
      </c>
      <c r="Q92" s="136">
        <v>0</v>
      </c>
      <c r="R92" s="136">
        <v>0</v>
      </c>
      <c r="S92" s="136">
        <v>0</v>
      </c>
      <c r="T92" s="142">
        <v>0</v>
      </c>
      <c r="U92" s="136">
        <v>1</v>
      </c>
      <c r="V92" s="136">
        <v>1</v>
      </c>
      <c r="W92" s="136">
        <v>0</v>
      </c>
      <c r="X92" s="136">
        <v>1</v>
      </c>
      <c r="Y92" s="136">
        <v>1</v>
      </c>
      <c r="Z92" s="136">
        <v>0</v>
      </c>
      <c r="AA92" s="136">
        <v>0</v>
      </c>
      <c r="AB92" s="136">
        <v>0</v>
      </c>
      <c r="AC92" s="136">
        <v>0</v>
      </c>
      <c r="AD92" s="136">
        <v>1</v>
      </c>
      <c r="AE92" s="136">
        <v>1</v>
      </c>
      <c r="AF92" s="136">
        <v>1</v>
      </c>
      <c r="AG92" s="136">
        <v>0</v>
      </c>
      <c r="AH92" s="136">
        <v>0</v>
      </c>
      <c r="AI92" s="136">
        <v>0</v>
      </c>
      <c r="AJ92" s="136">
        <v>1</v>
      </c>
      <c r="AK92" s="136">
        <v>1</v>
      </c>
      <c r="AL92" s="136">
        <v>1</v>
      </c>
      <c r="AM92" s="136">
        <v>1</v>
      </c>
      <c r="AN92" s="136">
        <v>0</v>
      </c>
      <c r="AO92" s="136">
        <v>0</v>
      </c>
      <c r="AP92" s="136">
        <v>1</v>
      </c>
      <c r="AQ92" s="136">
        <v>0</v>
      </c>
      <c r="AR92" s="136">
        <v>0</v>
      </c>
      <c r="AS92" s="136">
        <v>0</v>
      </c>
      <c r="AT92" s="136">
        <v>0</v>
      </c>
      <c r="AU92" s="136">
        <v>0</v>
      </c>
      <c r="AV92" s="136">
        <v>0</v>
      </c>
      <c r="AW92" s="136">
        <v>0</v>
      </c>
      <c r="AX92" s="136">
        <v>0</v>
      </c>
      <c r="AY92" s="136">
        <v>0</v>
      </c>
      <c r="AZ92" s="136">
        <v>0</v>
      </c>
      <c r="BA92" s="136">
        <v>0</v>
      </c>
      <c r="BB92" s="136">
        <v>0</v>
      </c>
      <c r="BC92" s="136">
        <v>0</v>
      </c>
      <c r="BD92" s="136">
        <v>0</v>
      </c>
      <c r="BE92" s="136">
        <v>0</v>
      </c>
      <c r="BF92" s="136">
        <v>1</v>
      </c>
      <c r="BG92" s="136">
        <v>0</v>
      </c>
      <c r="BH92" s="136">
        <v>0</v>
      </c>
      <c r="BI92" s="136">
        <v>0</v>
      </c>
      <c r="BJ92" s="136">
        <v>0</v>
      </c>
    </row>
    <row r="93" s="136" customFormat="1" ht="60" hidden="1" customHeight="1">
      <c r="E93" s="139" t="s">
        <v>631</v>
      </c>
      <c r="F93" s="111" t="s">
        <v>525</v>
      </c>
      <c r="G93" s="139" t="s">
        <v>486</v>
      </c>
      <c r="H93" s="139"/>
      <c r="I93" s="139"/>
      <c r="J93" s="111"/>
      <c r="K93" s="171"/>
      <c r="L93" s="139" t="s">
        <v>325</v>
      </c>
      <c r="M93" s="136">
        <v>0</v>
      </c>
      <c r="N93" s="136">
        <v>0</v>
      </c>
      <c r="O93" s="136">
        <v>0</v>
      </c>
      <c r="P93" s="142">
        <v>0</v>
      </c>
      <c r="Q93" s="136">
        <v>0</v>
      </c>
      <c r="R93" s="136">
        <v>0</v>
      </c>
      <c r="S93" s="136">
        <v>0</v>
      </c>
      <c r="T93" s="142">
        <v>0</v>
      </c>
      <c r="U93" s="136">
        <v>1</v>
      </c>
      <c r="V93" s="136">
        <v>1</v>
      </c>
      <c r="W93" s="136">
        <v>0</v>
      </c>
      <c r="X93" s="136">
        <v>0</v>
      </c>
      <c r="Y93" s="136">
        <v>1</v>
      </c>
      <c r="Z93" s="136">
        <v>0</v>
      </c>
      <c r="AA93" s="136">
        <v>0</v>
      </c>
      <c r="AB93" s="136">
        <v>0</v>
      </c>
      <c r="AC93" s="136">
        <v>1</v>
      </c>
      <c r="AD93" s="136">
        <v>1</v>
      </c>
      <c r="AE93" s="136">
        <v>1</v>
      </c>
      <c r="AF93" s="136">
        <v>1</v>
      </c>
      <c r="AG93" s="136">
        <v>0</v>
      </c>
      <c r="AH93" s="136">
        <v>0</v>
      </c>
      <c r="AI93" s="136">
        <v>0</v>
      </c>
      <c r="AJ93" s="136">
        <v>0</v>
      </c>
      <c r="AK93" s="136">
        <v>1</v>
      </c>
      <c r="AL93" s="136">
        <v>1</v>
      </c>
      <c r="AM93" s="136">
        <v>1</v>
      </c>
      <c r="AN93" s="136">
        <v>1</v>
      </c>
      <c r="AO93" s="136">
        <v>0</v>
      </c>
      <c r="AP93" s="136">
        <v>1</v>
      </c>
      <c r="AQ93" s="136">
        <v>1</v>
      </c>
      <c r="AR93" s="136">
        <v>0</v>
      </c>
      <c r="AS93" s="136">
        <v>0</v>
      </c>
      <c r="AT93" s="136">
        <v>0</v>
      </c>
      <c r="AU93" s="136">
        <v>1</v>
      </c>
      <c r="AV93" s="136">
        <v>0</v>
      </c>
      <c r="AW93" s="136">
        <v>0</v>
      </c>
      <c r="AX93" s="136">
        <v>1</v>
      </c>
      <c r="AY93" s="136">
        <v>0</v>
      </c>
      <c r="AZ93" s="136">
        <v>1</v>
      </c>
      <c r="BA93" s="136">
        <v>0</v>
      </c>
      <c r="BB93" s="136">
        <v>0</v>
      </c>
      <c r="BC93" s="136">
        <v>0</v>
      </c>
      <c r="BD93" s="136">
        <v>0</v>
      </c>
      <c r="BE93" s="136">
        <v>0</v>
      </c>
      <c r="BF93" s="136">
        <v>0</v>
      </c>
      <c r="BG93" s="136">
        <v>0</v>
      </c>
      <c r="BH93" s="136">
        <v>0</v>
      </c>
      <c r="BI93" s="136">
        <v>0</v>
      </c>
      <c r="BJ93" s="136">
        <v>0</v>
      </c>
    </row>
    <row r="94" s="162" customFormat="1" ht="49.5" hidden="1" customHeight="1">
      <c r="A94" s="144"/>
      <c r="E94" s="197" t="s">
        <v>632</v>
      </c>
      <c r="F94" s="197" t="s">
        <v>491</v>
      </c>
      <c r="G94" s="197" t="s">
        <v>486</v>
      </c>
      <c r="H94" s="197"/>
      <c r="I94" s="197"/>
      <c r="J94" s="197"/>
      <c r="K94" s="240"/>
      <c r="L94" s="197" t="s">
        <v>66</v>
      </c>
      <c r="M94" s="162">
        <v>0</v>
      </c>
      <c r="N94" s="162">
        <v>0</v>
      </c>
      <c r="O94" s="162">
        <v>0</v>
      </c>
      <c r="P94" s="142">
        <v>0</v>
      </c>
      <c r="Q94" s="162">
        <v>0</v>
      </c>
      <c r="R94" s="162">
        <v>0</v>
      </c>
      <c r="S94" s="162">
        <v>0</v>
      </c>
      <c r="T94" s="142">
        <v>0</v>
      </c>
      <c r="U94" s="162">
        <v>1</v>
      </c>
      <c r="V94" s="162">
        <v>0</v>
      </c>
      <c r="W94" s="162">
        <v>1</v>
      </c>
      <c r="X94" s="162">
        <v>1</v>
      </c>
      <c r="Y94" s="162">
        <v>1</v>
      </c>
      <c r="Z94" s="162">
        <v>0</v>
      </c>
      <c r="AA94" s="162">
        <v>0</v>
      </c>
      <c r="AB94" s="162">
        <v>0</v>
      </c>
      <c r="AC94" s="162">
        <v>0</v>
      </c>
      <c r="AD94" s="162">
        <v>1</v>
      </c>
      <c r="AE94" s="162">
        <v>1</v>
      </c>
      <c r="AF94" s="162">
        <v>1</v>
      </c>
      <c r="AG94" s="162">
        <v>0</v>
      </c>
      <c r="AH94" s="162">
        <v>0</v>
      </c>
      <c r="AI94" s="162">
        <v>0</v>
      </c>
      <c r="AJ94" s="162">
        <v>1</v>
      </c>
      <c r="AK94" s="162">
        <v>1</v>
      </c>
      <c r="AL94" s="162">
        <v>1</v>
      </c>
      <c r="AM94" s="162">
        <v>1</v>
      </c>
      <c r="AN94" s="162">
        <v>1</v>
      </c>
      <c r="AO94" s="162">
        <v>0</v>
      </c>
      <c r="AP94" s="162">
        <v>1</v>
      </c>
      <c r="AQ94" s="162">
        <v>1</v>
      </c>
      <c r="AR94" s="162">
        <v>0</v>
      </c>
      <c r="AS94" s="162">
        <v>0</v>
      </c>
      <c r="AT94" s="162">
        <v>0</v>
      </c>
      <c r="AU94" s="162">
        <v>1</v>
      </c>
      <c r="AV94" s="162">
        <v>0</v>
      </c>
      <c r="AW94" s="162">
        <v>0</v>
      </c>
      <c r="AX94" s="162">
        <v>1</v>
      </c>
      <c r="AY94" s="162">
        <v>0</v>
      </c>
      <c r="AZ94" s="162">
        <v>1</v>
      </c>
      <c r="BA94" s="162">
        <v>0</v>
      </c>
      <c r="BB94" s="162">
        <v>0</v>
      </c>
      <c r="BC94" s="162">
        <v>0</v>
      </c>
      <c r="BD94" s="162">
        <v>0</v>
      </c>
      <c r="BE94" s="162">
        <v>0</v>
      </c>
      <c r="BF94" s="162">
        <v>1</v>
      </c>
      <c r="BG94" s="162">
        <v>0</v>
      </c>
      <c r="BH94" s="162">
        <v>0</v>
      </c>
      <c r="BI94" s="162">
        <v>0</v>
      </c>
      <c r="BJ94" s="162">
        <v>0</v>
      </c>
    </row>
    <row r="95" s="136" customFormat="1" ht="55.25" hidden="1" customHeight="1">
      <c r="A95" s="137" t="s">
        <v>481</v>
      </c>
      <c r="B95" s="136" t="s">
        <v>513</v>
      </c>
      <c r="C95" s="146" t="s">
        <v>102</v>
      </c>
      <c r="D95" s="146" t="s">
        <v>73</v>
      </c>
      <c r="E95" s="148" t="s">
        <v>633</v>
      </c>
      <c r="F95" s="111" t="s">
        <v>572</v>
      </c>
      <c r="G95" s="148" t="s">
        <v>486</v>
      </c>
      <c r="H95" s="148">
        <v>21395</v>
      </c>
      <c r="I95" s="148">
        <v>21421</v>
      </c>
      <c r="J95" s="111" t="s">
        <v>634</v>
      </c>
      <c r="K95" s="150">
        <v>2</v>
      </c>
      <c r="L95" s="136" t="s">
        <v>66</v>
      </c>
      <c r="M95" s="136">
        <v>1</v>
      </c>
      <c r="N95" s="136">
        <v>0</v>
      </c>
      <c r="O95" s="136">
        <v>0</v>
      </c>
      <c r="P95" s="142">
        <v>1</v>
      </c>
      <c r="Q95" s="136">
        <v>0</v>
      </c>
      <c r="R95" s="136">
        <v>0</v>
      </c>
      <c r="S95" s="136">
        <v>0</v>
      </c>
      <c r="T95" s="142">
        <v>0</v>
      </c>
      <c r="U95" s="136">
        <v>0</v>
      </c>
      <c r="V95" s="136">
        <v>0</v>
      </c>
      <c r="W95" s="136">
        <v>1</v>
      </c>
      <c r="X95" s="136">
        <v>1</v>
      </c>
      <c r="Y95" s="136">
        <v>0</v>
      </c>
      <c r="Z95" s="136">
        <v>1</v>
      </c>
      <c r="AA95" s="136">
        <v>1</v>
      </c>
      <c r="AB95" s="136">
        <v>0</v>
      </c>
      <c r="AC95" s="136">
        <v>0</v>
      </c>
      <c r="AD95" s="136">
        <v>0</v>
      </c>
      <c r="AE95" s="136">
        <v>0</v>
      </c>
      <c r="AF95" s="136">
        <v>1</v>
      </c>
      <c r="AG95" s="136">
        <v>1</v>
      </c>
      <c r="AH95" s="136">
        <v>0</v>
      </c>
      <c r="AI95" s="136">
        <v>0</v>
      </c>
      <c r="AJ95" s="136">
        <v>1</v>
      </c>
      <c r="AK95" s="136">
        <v>0</v>
      </c>
      <c r="AL95" s="136">
        <v>1</v>
      </c>
      <c r="AM95" s="136">
        <v>0</v>
      </c>
      <c r="AN95" s="136">
        <v>0</v>
      </c>
      <c r="AO95" s="136">
        <v>1</v>
      </c>
      <c r="AP95" s="136">
        <v>0</v>
      </c>
      <c r="AQ95" s="136">
        <v>0</v>
      </c>
      <c r="AR95" s="136">
        <v>0</v>
      </c>
      <c r="AS95" s="136">
        <v>0</v>
      </c>
      <c r="AT95" s="136">
        <v>0</v>
      </c>
      <c r="AU95" s="136">
        <v>0</v>
      </c>
      <c r="AV95" s="136">
        <v>0</v>
      </c>
      <c r="AW95" s="136">
        <v>0</v>
      </c>
      <c r="AX95" s="136">
        <v>0</v>
      </c>
      <c r="AY95" s="136">
        <v>0</v>
      </c>
      <c r="AZ95" s="136">
        <v>0</v>
      </c>
      <c r="BA95" s="136">
        <v>0</v>
      </c>
      <c r="BB95" s="136">
        <v>0</v>
      </c>
      <c r="BC95" s="136">
        <v>0</v>
      </c>
      <c r="BD95" s="136">
        <v>0</v>
      </c>
      <c r="BE95" s="136">
        <v>0</v>
      </c>
      <c r="BF95" s="136">
        <v>0</v>
      </c>
      <c r="BG95" s="136">
        <v>0</v>
      </c>
      <c r="BH95" s="136">
        <v>0</v>
      </c>
      <c r="BI95" s="136">
        <v>1</v>
      </c>
      <c r="BJ95" s="136">
        <v>0</v>
      </c>
    </row>
    <row r="96" s="143" customFormat="1" ht="28.399999999999999" hidden="1" customHeight="1">
      <c r="A96" s="144"/>
      <c r="E96" s="152" t="s">
        <v>635</v>
      </c>
      <c r="F96" s="145" t="s">
        <v>572</v>
      </c>
      <c r="G96" s="152" t="s">
        <v>486</v>
      </c>
      <c r="H96" s="152"/>
      <c r="I96" s="152"/>
      <c r="J96" s="145"/>
      <c r="K96" s="141"/>
      <c r="L96" s="136" t="s">
        <v>325</v>
      </c>
      <c r="M96" s="143">
        <v>1</v>
      </c>
      <c r="N96" s="143">
        <v>0</v>
      </c>
      <c r="O96" s="143">
        <v>0</v>
      </c>
      <c r="P96" s="142">
        <v>1</v>
      </c>
      <c r="Q96" s="143">
        <v>0</v>
      </c>
      <c r="R96" s="143">
        <v>0</v>
      </c>
      <c r="S96" s="143">
        <v>0</v>
      </c>
      <c r="T96" s="142">
        <v>0</v>
      </c>
      <c r="U96" s="143">
        <v>0</v>
      </c>
      <c r="V96" s="143">
        <v>1</v>
      </c>
      <c r="W96" s="143">
        <v>0</v>
      </c>
      <c r="X96" s="143">
        <v>1</v>
      </c>
      <c r="Y96" s="143">
        <v>0</v>
      </c>
      <c r="Z96" s="143">
        <v>1</v>
      </c>
      <c r="AA96" s="143">
        <v>1</v>
      </c>
      <c r="AB96" s="143">
        <v>0</v>
      </c>
      <c r="AC96" s="143">
        <v>0</v>
      </c>
      <c r="AD96" s="143">
        <v>0</v>
      </c>
      <c r="AE96" s="143">
        <v>0</v>
      </c>
      <c r="AF96" s="143">
        <v>1</v>
      </c>
      <c r="AG96" s="143">
        <v>1</v>
      </c>
      <c r="AH96" s="143">
        <v>1</v>
      </c>
      <c r="AI96" s="143">
        <v>0</v>
      </c>
      <c r="AJ96" s="143">
        <v>1</v>
      </c>
      <c r="AK96" s="143">
        <v>0</v>
      </c>
      <c r="AL96" s="143">
        <v>1</v>
      </c>
      <c r="AM96" s="143">
        <v>0</v>
      </c>
      <c r="AN96" s="143">
        <v>0</v>
      </c>
      <c r="AO96" s="143">
        <v>0</v>
      </c>
      <c r="AP96" s="143">
        <v>1</v>
      </c>
      <c r="AQ96" s="143">
        <v>1</v>
      </c>
      <c r="AR96" s="143">
        <v>0</v>
      </c>
      <c r="AS96" s="143">
        <v>0</v>
      </c>
      <c r="AT96" s="143">
        <v>0</v>
      </c>
      <c r="AU96" s="143">
        <v>0</v>
      </c>
      <c r="AV96" s="143">
        <v>0</v>
      </c>
      <c r="AW96" s="143">
        <v>0</v>
      </c>
      <c r="AX96" s="143">
        <v>1</v>
      </c>
      <c r="AY96" s="143">
        <v>0</v>
      </c>
      <c r="AZ96" s="143">
        <v>0</v>
      </c>
      <c r="BA96" s="143">
        <v>0</v>
      </c>
      <c r="BB96" s="143">
        <v>0</v>
      </c>
      <c r="BC96" s="143">
        <v>0</v>
      </c>
      <c r="BD96" s="143">
        <v>0</v>
      </c>
      <c r="BE96" s="143">
        <v>1</v>
      </c>
      <c r="BF96" s="143">
        <v>0</v>
      </c>
      <c r="BG96" s="143">
        <v>0</v>
      </c>
      <c r="BH96" s="143">
        <v>0</v>
      </c>
      <c r="BI96" s="143">
        <v>0</v>
      </c>
      <c r="BJ96" s="143">
        <v>0</v>
      </c>
    </row>
    <row r="97" s="146" customFormat="1" ht="28.5" hidden="1" customHeight="1">
      <c r="A97" s="137" t="s">
        <v>481</v>
      </c>
      <c r="B97" s="241" t="s">
        <v>513</v>
      </c>
      <c r="C97" s="242" t="s">
        <v>104</v>
      </c>
      <c r="D97" s="146" t="s">
        <v>73</v>
      </c>
      <c r="E97" s="158" t="s">
        <v>636</v>
      </c>
      <c r="F97" s="184" t="s">
        <v>637</v>
      </c>
      <c r="G97" s="148" t="s">
        <v>486</v>
      </c>
      <c r="H97" s="148"/>
      <c r="I97" s="148"/>
      <c r="J97" s="184" t="s">
        <v>638</v>
      </c>
      <c r="K97" s="150">
        <v>8</v>
      </c>
      <c r="L97" s="146" t="s">
        <v>66</v>
      </c>
      <c r="M97" s="146">
        <v>0</v>
      </c>
      <c r="N97" s="146">
        <v>1</v>
      </c>
      <c r="O97" s="146">
        <v>0</v>
      </c>
      <c r="P97" s="142">
        <v>1</v>
      </c>
      <c r="Q97" s="146">
        <v>0</v>
      </c>
      <c r="R97" s="146">
        <v>0</v>
      </c>
      <c r="S97" s="146">
        <v>0</v>
      </c>
      <c r="T97" s="142">
        <v>0</v>
      </c>
      <c r="U97" s="146">
        <v>0</v>
      </c>
      <c r="V97" s="146">
        <v>1</v>
      </c>
      <c r="W97" s="146">
        <v>0</v>
      </c>
      <c r="X97" s="146">
        <v>1</v>
      </c>
      <c r="Y97" s="146">
        <v>1</v>
      </c>
      <c r="Z97" s="146">
        <v>0</v>
      </c>
      <c r="AA97" s="146">
        <v>1</v>
      </c>
      <c r="AB97" s="146">
        <v>0</v>
      </c>
      <c r="AC97" s="146">
        <v>0</v>
      </c>
      <c r="AD97" s="146">
        <v>0</v>
      </c>
      <c r="AE97" s="146">
        <v>1</v>
      </c>
      <c r="AF97" s="146">
        <v>1</v>
      </c>
      <c r="AG97" s="146">
        <v>1</v>
      </c>
      <c r="AH97" s="146">
        <v>1</v>
      </c>
      <c r="AI97" s="146">
        <v>0</v>
      </c>
      <c r="AJ97" s="146">
        <v>1</v>
      </c>
      <c r="AK97" s="146">
        <v>0</v>
      </c>
      <c r="AL97" s="146">
        <v>1</v>
      </c>
      <c r="AM97" s="146">
        <v>1</v>
      </c>
      <c r="AN97" s="146">
        <v>1</v>
      </c>
      <c r="AO97" s="146">
        <v>0</v>
      </c>
      <c r="AP97" s="146">
        <v>1</v>
      </c>
      <c r="AQ97" s="146">
        <v>0</v>
      </c>
      <c r="AR97" s="146">
        <v>0</v>
      </c>
      <c r="AS97" s="146">
        <v>0</v>
      </c>
      <c r="AT97" s="146">
        <v>0</v>
      </c>
      <c r="AU97" s="146">
        <v>0</v>
      </c>
      <c r="AV97" s="146">
        <v>0</v>
      </c>
      <c r="AW97" s="146">
        <v>0</v>
      </c>
      <c r="AX97" s="146">
        <v>0</v>
      </c>
      <c r="AY97" s="146">
        <v>0</v>
      </c>
      <c r="AZ97" s="146">
        <v>0</v>
      </c>
      <c r="BA97" s="146">
        <v>0</v>
      </c>
      <c r="BB97" s="146">
        <v>0</v>
      </c>
      <c r="BC97" s="146">
        <v>0</v>
      </c>
      <c r="BD97" s="146">
        <v>0</v>
      </c>
      <c r="BE97" s="146">
        <v>0</v>
      </c>
      <c r="BF97" s="146">
        <v>0</v>
      </c>
      <c r="BG97" s="146">
        <v>0</v>
      </c>
      <c r="BH97" s="146">
        <v>0</v>
      </c>
      <c r="BI97" s="146">
        <v>1</v>
      </c>
      <c r="BJ97" s="146">
        <v>0</v>
      </c>
    </row>
    <row r="98" s="136" customFormat="1" ht="14.25" hidden="1" customHeight="1">
      <c r="B98" s="241"/>
      <c r="C98" s="241"/>
      <c r="E98" s="148" t="s">
        <v>639</v>
      </c>
      <c r="F98" s="111" t="s">
        <v>525</v>
      </c>
      <c r="G98" s="148" t="s">
        <v>486</v>
      </c>
      <c r="H98" s="148"/>
      <c r="I98" s="148"/>
      <c r="J98" s="111"/>
      <c r="K98" s="139"/>
      <c r="L98" s="136" t="s">
        <v>325</v>
      </c>
      <c r="M98" s="136">
        <v>0</v>
      </c>
      <c r="N98" s="136">
        <v>1</v>
      </c>
      <c r="O98" s="136">
        <v>0</v>
      </c>
      <c r="P98" s="142">
        <v>1</v>
      </c>
      <c r="Q98" s="136">
        <v>0</v>
      </c>
      <c r="R98" s="136">
        <v>0</v>
      </c>
      <c r="S98" s="136">
        <v>0</v>
      </c>
      <c r="T98" s="142">
        <v>0</v>
      </c>
      <c r="U98" s="136">
        <v>0</v>
      </c>
      <c r="V98" s="136">
        <v>1</v>
      </c>
      <c r="W98" s="136">
        <v>0</v>
      </c>
      <c r="X98" s="136">
        <v>0</v>
      </c>
      <c r="Y98" s="136">
        <v>1</v>
      </c>
      <c r="Z98" s="136">
        <v>0</v>
      </c>
      <c r="AA98" s="136">
        <v>1</v>
      </c>
      <c r="AB98" s="136">
        <v>0</v>
      </c>
      <c r="AC98" s="136">
        <v>0</v>
      </c>
      <c r="AD98" s="136">
        <v>0</v>
      </c>
      <c r="AE98" s="136">
        <v>1</v>
      </c>
      <c r="AF98" s="136">
        <v>1</v>
      </c>
      <c r="AG98" s="136">
        <v>1</v>
      </c>
      <c r="AH98" s="136">
        <v>1</v>
      </c>
      <c r="AI98" s="136">
        <v>1</v>
      </c>
      <c r="AJ98" s="136">
        <v>1</v>
      </c>
      <c r="AK98" s="136">
        <v>0</v>
      </c>
      <c r="AL98" s="136">
        <v>1</v>
      </c>
      <c r="AM98" s="136">
        <v>1</v>
      </c>
      <c r="AN98" s="136">
        <v>0</v>
      </c>
      <c r="AO98" s="136">
        <v>0</v>
      </c>
      <c r="AP98" s="136">
        <v>1</v>
      </c>
      <c r="AQ98" s="136">
        <v>1</v>
      </c>
      <c r="AR98" s="136">
        <v>0</v>
      </c>
      <c r="AS98" s="136">
        <v>0</v>
      </c>
      <c r="AT98" s="136">
        <v>0</v>
      </c>
      <c r="AU98" s="136">
        <v>1</v>
      </c>
      <c r="AV98" s="136">
        <v>0</v>
      </c>
      <c r="AW98" s="136">
        <v>0</v>
      </c>
      <c r="AX98" s="136">
        <v>1</v>
      </c>
      <c r="AY98" s="136">
        <v>0</v>
      </c>
      <c r="AZ98" s="136">
        <v>0</v>
      </c>
      <c r="BA98" s="136">
        <v>0</v>
      </c>
      <c r="BB98" s="136">
        <v>1</v>
      </c>
      <c r="BC98" s="136">
        <v>0</v>
      </c>
      <c r="BD98" s="136">
        <v>0</v>
      </c>
      <c r="BE98" s="136">
        <v>1</v>
      </c>
      <c r="BF98" s="136">
        <v>0</v>
      </c>
      <c r="BG98" s="136">
        <v>0</v>
      </c>
      <c r="BH98" s="136">
        <v>1</v>
      </c>
      <c r="BI98" s="136">
        <v>0</v>
      </c>
      <c r="BJ98" s="136">
        <v>0</v>
      </c>
    </row>
    <row r="99" s="142" customFormat="1" ht="14.25" hidden="1" customHeight="1">
      <c r="B99" s="243"/>
      <c r="C99" s="243"/>
      <c r="E99" s="244" t="s">
        <v>640</v>
      </c>
      <c r="F99" s="196" t="s">
        <v>525</v>
      </c>
      <c r="G99" s="244" t="s">
        <v>486</v>
      </c>
      <c r="H99" s="244"/>
      <c r="I99" s="244"/>
      <c r="J99" s="196" t="s">
        <v>641</v>
      </c>
      <c r="K99" s="196"/>
      <c r="L99" s="142" t="s">
        <v>325</v>
      </c>
      <c r="M99" s="142">
        <v>0</v>
      </c>
      <c r="N99" s="142">
        <v>0</v>
      </c>
      <c r="O99" s="142">
        <v>0</v>
      </c>
      <c r="P99" s="142">
        <v>0</v>
      </c>
      <c r="Q99" s="142">
        <v>0</v>
      </c>
      <c r="R99" s="142">
        <v>0</v>
      </c>
      <c r="S99" s="142">
        <v>0</v>
      </c>
      <c r="T99" s="142">
        <v>0</v>
      </c>
      <c r="U99" s="142">
        <v>1</v>
      </c>
      <c r="V99" s="142">
        <v>0</v>
      </c>
      <c r="W99" s="142">
        <v>1</v>
      </c>
      <c r="X99" s="142">
        <v>1</v>
      </c>
      <c r="Y99" s="142">
        <v>1</v>
      </c>
      <c r="Z99" s="142">
        <v>0</v>
      </c>
      <c r="AA99" s="142">
        <v>0</v>
      </c>
      <c r="AB99" s="142">
        <v>0</v>
      </c>
      <c r="AC99" s="142">
        <v>0</v>
      </c>
      <c r="AD99" s="142">
        <v>1</v>
      </c>
      <c r="AE99" s="142">
        <v>1</v>
      </c>
      <c r="AF99" s="142">
        <v>1</v>
      </c>
      <c r="AG99" s="142">
        <v>1</v>
      </c>
      <c r="AH99" s="142">
        <v>1</v>
      </c>
      <c r="AI99" s="142">
        <v>1</v>
      </c>
      <c r="AJ99" s="142">
        <v>1</v>
      </c>
      <c r="AK99" s="142">
        <v>0</v>
      </c>
      <c r="AL99" s="142">
        <v>1</v>
      </c>
      <c r="AM99" s="142">
        <v>1</v>
      </c>
      <c r="AN99" s="142">
        <v>1</v>
      </c>
      <c r="AO99" s="142">
        <v>0</v>
      </c>
      <c r="AP99" s="142">
        <v>1</v>
      </c>
      <c r="AQ99" s="142">
        <v>1</v>
      </c>
      <c r="AR99" s="142">
        <v>0</v>
      </c>
      <c r="AS99" s="142">
        <v>0</v>
      </c>
      <c r="AT99" s="142">
        <v>0</v>
      </c>
      <c r="AU99" s="142">
        <v>0</v>
      </c>
      <c r="AV99" s="142">
        <v>0</v>
      </c>
      <c r="AW99" s="142">
        <v>0</v>
      </c>
      <c r="AX99" s="142">
        <v>1</v>
      </c>
      <c r="AY99" s="142">
        <v>0</v>
      </c>
      <c r="AZ99" s="142">
        <v>0</v>
      </c>
      <c r="BA99" s="142">
        <v>0</v>
      </c>
      <c r="BB99" s="142">
        <v>0</v>
      </c>
      <c r="BC99" s="142">
        <v>0</v>
      </c>
      <c r="BD99" s="142">
        <v>0</v>
      </c>
      <c r="BE99" s="142">
        <v>1</v>
      </c>
      <c r="BF99" s="142">
        <v>0</v>
      </c>
      <c r="BG99" s="142">
        <v>0</v>
      </c>
      <c r="BH99" s="142">
        <v>1</v>
      </c>
      <c r="BI99" s="142">
        <v>0</v>
      </c>
      <c r="BJ99" s="142">
        <v>0</v>
      </c>
    </row>
    <row r="100" s="142" customFormat="1" ht="14.25" hidden="1" customHeight="1">
      <c r="B100" s="243"/>
      <c r="C100" s="243"/>
      <c r="E100" s="244" t="s">
        <v>642</v>
      </c>
      <c r="F100" s="196" t="s">
        <v>550</v>
      </c>
      <c r="G100" s="244" t="s">
        <v>486</v>
      </c>
      <c r="H100" s="244"/>
      <c r="I100" s="244"/>
      <c r="J100" s="196" t="s">
        <v>638</v>
      </c>
      <c r="K100" s="196"/>
      <c r="L100" s="142" t="s">
        <v>325</v>
      </c>
      <c r="M100" s="142">
        <v>0</v>
      </c>
      <c r="N100" s="142">
        <v>0</v>
      </c>
      <c r="O100" s="142">
        <v>0</v>
      </c>
      <c r="P100" s="142">
        <v>0</v>
      </c>
      <c r="Q100" s="142">
        <v>0</v>
      </c>
      <c r="R100" s="142">
        <v>0</v>
      </c>
      <c r="S100" s="142">
        <v>0</v>
      </c>
      <c r="T100" s="142">
        <v>0</v>
      </c>
      <c r="U100" s="142">
        <v>1</v>
      </c>
      <c r="V100" s="142">
        <v>0</v>
      </c>
      <c r="W100" s="142">
        <v>1</v>
      </c>
      <c r="X100" s="142">
        <v>1</v>
      </c>
      <c r="Y100" s="142">
        <v>1</v>
      </c>
      <c r="Z100" s="142">
        <v>0</v>
      </c>
      <c r="AA100" s="142">
        <v>0</v>
      </c>
      <c r="AB100" s="142">
        <v>0</v>
      </c>
      <c r="AC100" s="142">
        <v>0</v>
      </c>
      <c r="AD100" s="142">
        <v>1</v>
      </c>
      <c r="AE100" s="142">
        <v>1</v>
      </c>
      <c r="AF100" s="142">
        <v>1</v>
      </c>
      <c r="AG100" s="142">
        <v>1</v>
      </c>
      <c r="AH100" s="142">
        <v>1</v>
      </c>
      <c r="AI100" s="142">
        <v>0</v>
      </c>
      <c r="AJ100" s="142">
        <v>1</v>
      </c>
      <c r="AK100" s="142">
        <v>0</v>
      </c>
      <c r="AL100" s="142">
        <v>1</v>
      </c>
      <c r="AM100" s="142">
        <v>1</v>
      </c>
      <c r="AN100" s="142">
        <v>1</v>
      </c>
      <c r="AO100" s="142">
        <v>0</v>
      </c>
      <c r="AP100" s="142">
        <v>1</v>
      </c>
      <c r="AQ100" s="142">
        <v>0</v>
      </c>
      <c r="AR100" s="142">
        <v>0</v>
      </c>
      <c r="AS100" s="142">
        <v>0</v>
      </c>
      <c r="AT100" s="142">
        <v>0</v>
      </c>
      <c r="AU100" s="142">
        <v>0</v>
      </c>
      <c r="AV100" s="142">
        <v>0</v>
      </c>
      <c r="AW100" s="142">
        <v>0</v>
      </c>
      <c r="AX100" s="142">
        <v>0</v>
      </c>
      <c r="AY100" s="142">
        <v>0</v>
      </c>
      <c r="AZ100" s="142">
        <v>0</v>
      </c>
      <c r="BA100" s="142">
        <v>0</v>
      </c>
      <c r="BB100" s="142">
        <v>0</v>
      </c>
      <c r="BC100" s="142">
        <v>0</v>
      </c>
      <c r="BD100" s="142">
        <v>0</v>
      </c>
      <c r="BE100" s="142">
        <v>0</v>
      </c>
      <c r="BF100" s="142">
        <v>0</v>
      </c>
      <c r="BG100" s="142">
        <v>0</v>
      </c>
      <c r="BH100" s="142">
        <v>0</v>
      </c>
      <c r="BI100" s="142">
        <v>0</v>
      </c>
      <c r="BJ100" s="142">
        <v>0</v>
      </c>
    </row>
    <row r="101" s="136" customFormat="1" ht="34.5" hidden="1" customHeight="1">
      <c r="B101" s="241"/>
      <c r="C101" s="241"/>
      <c r="E101" s="148" t="s">
        <v>643</v>
      </c>
      <c r="F101" s="111" t="s">
        <v>644</v>
      </c>
      <c r="G101" s="148" t="s">
        <v>486</v>
      </c>
      <c r="H101" s="148"/>
      <c r="I101" s="148"/>
      <c r="J101" s="111"/>
      <c r="K101" s="139"/>
      <c r="L101" s="136" t="s">
        <v>66</v>
      </c>
      <c r="M101" s="136">
        <v>0</v>
      </c>
      <c r="N101" s="136">
        <v>0</v>
      </c>
      <c r="O101" s="136">
        <v>0</v>
      </c>
      <c r="P101" s="142">
        <v>0</v>
      </c>
      <c r="Q101" s="136">
        <v>0</v>
      </c>
      <c r="R101" s="136">
        <v>0</v>
      </c>
      <c r="S101" s="136">
        <v>0</v>
      </c>
      <c r="T101" s="142">
        <v>0</v>
      </c>
      <c r="U101" s="136">
        <v>1</v>
      </c>
      <c r="V101" s="136">
        <v>0</v>
      </c>
      <c r="W101" s="136">
        <v>1</v>
      </c>
      <c r="X101" s="136">
        <v>0</v>
      </c>
      <c r="Y101" s="136">
        <v>1</v>
      </c>
      <c r="Z101" s="136">
        <v>0</v>
      </c>
      <c r="AA101" s="136">
        <v>0</v>
      </c>
      <c r="AB101" s="136">
        <v>0</v>
      </c>
      <c r="AC101" s="136">
        <v>0</v>
      </c>
      <c r="AD101" s="136">
        <v>1</v>
      </c>
      <c r="AE101" s="136">
        <v>1</v>
      </c>
      <c r="AF101" s="136">
        <v>1</v>
      </c>
      <c r="AG101" s="136">
        <v>1</v>
      </c>
      <c r="AH101" s="136">
        <v>1</v>
      </c>
      <c r="AI101" s="136">
        <v>1</v>
      </c>
      <c r="AJ101" s="136">
        <v>1</v>
      </c>
      <c r="AK101" s="136">
        <v>0</v>
      </c>
      <c r="AL101" s="136">
        <v>1</v>
      </c>
      <c r="AM101" s="136">
        <v>1</v>
      </c>
      <c r="AN101" s="136">
        <v>1</v>
      </c>
      <c r="AO101" s="136">
        <v>0</v>
      </c>
      <c r="AP101" s="136">
        <v>1</v>
      </c>
      <c r="AQ101" s="136">
        <v>1</v>
      </c>
      <c r="AR101" s="136">
        <v>0</v>
      </c>
      <c r="AS101" s="136">
        <v>1</v>
      </c>
      <c r="AT101" s="136">
        <v>0</v>
      </c>
      <c r="AU101" s="136">
        <v>0</v>
      </c>
      <c r="AV101" s="136">
        <v>0</v>
      </c>
      <c r="AW101" s="136">
        <v>0</v>
      </c>
      <c r="AX101" s="136">
        <v>1</v>
      </c>
      <c r="AY101" s="136">
        <v>0</v>
      </c>
      <c r="AZ101" s="136">
        <v>0</v>
      </c>
      <c r="BA101" s="136">
        <v>0</v>
      </c>
      <c r="BB101" s="136">
        <v>0</v>
      </c>
      <c r="BC101" s="136">
        <v>0</v>
      </c>
      <c r="BD101" s="136">
        <v>0</v>
      </c>
      <c r="BE101" s="136">
        <v>0</v>
      </c>
      <c r="BF101" s="136">
        <v>1</v>
      </c>
      <c r="BG101" s="136">
        <v>0</v>
      </c>
      <c r="BH101" s="136">
        <v>0</v>
      </c>
      <c r="BI101" s="136">
        <v>0</v>
      </c>
      <c r="BJ101" s="136">
        <v>0</v>
      </c>
    </row>
    <row r="102" s="142" customFormat="1" ht="28.399999999999999" hidden="1" customHeight="1">
      <c r="B102" s="243"/>
      <c r="C102" s="243"/>
      <c r="E102" s="244" t="s">
        <v>645</v>
      </c>
      <c r="F102" s="196" t="s">
        <v>646</v>
      </c>
      <c r="G102" s="244" t="s">
        <v>486</v>
      </c>
      <c r="H102" s="244"/>
      <c r="I102" s="244"/>
      <c r="J102" s="196" t="s">
        <v>647</v>
      </c>
      <c r="K102" s="196"/>
      <c r="L102" s="142" t="s">
        <v>66</v>
      </c>
      <c r="M102" s="142">
        <v>1</v>
      </c>
      <c r="N102" s="142">
        <v>0</v>
      </c>
      <c r="O102" s="142">
        <v>0</v>
      </c>
      <c r="P102" s="142">
        <v>1</v>
      </c>
      <c r="Q102" s="142">
        <v>0</v>
      </c>
      <c r="R102" s="142">
        <v>0</v>
      </c>
      <c r="S102" s="142">
        <v>0</v>
      </c>
      <c r="T102" s="142">
        <v>0</v>
      </c>
      <c r="U102" s="142">
        <v>0</v>
      </c>
      <c r="V102" s="142">
        <v>0</v>
      </c>
      <c r="W102" s="142">
        <v>1</v>
      </c>
      <c r="X102" s="142">
        <v>0</v>
      </c>
      <c r="Y102" s="142">
        <v>1</v>
      </c>
      <c r="Z102" s="142">
        <v>0</v>
      </c>
      <c r="AA102" s="142">
        <v>1</v>
      </c>
      <c r="AB102" s="142">
        <v>0</v>
      </c>
      <c r="AC102" s="142">
        <v>0</v>
      </c>
      <c r="AD102" s="142">
        <v>0</v>
      </c>
      <c r="AE102" s="142">
        <v>1</v>
      </c>
      <c r="AF102" s="142">
        <v>1</v>
      </c>
      <c r="AG102" s="142">
        <v>1</v>
      </c>
      <c r="AH102" s="142">
        <v>0</v>
      </c>
      <c r="AI102" s="142">
        <v>0</v>
      </c>
      <c r="AJ102" s="142">
        <v>1</v>
      </c>
      <c r="AK102" s="142">
        <v>0</v>
      </c>
      <c r="AL102" s="142">
        <v>1</v>
      </c>
      <c r="AM102" s="142">
        <v>0</v>
      </c>
      <c r="AN102" s="142">
        <v>1</v>
      </c>
      <c r="AO102" s="142">
        <v>1</v>
      </c>
      <c r="AP102" s="142">
        <v>0</v>
      </c>
      <c r="AQ102" s="142">
        <v>0</v>
      </c>
      <c r="AR102" s="142">
        <v>0</v>
      </c>
      <c r="AS102" s="142">
        <v>0</v>
      </c>
      <c r="AT102" s="142">
        <v>0</v>
      </c>
      <c r="AU102" s="142">
        <v>0</v>
      </c>
      <c r="AV102" s="142">
        <v>0</v>
      </c>
      <c r="AW102" s="142">
        <v>0</v>
      </c>
      <c r="AX102" s="142">
        <v>0</v>
      </c>
      <c r="AY102" s="142">
        <v>0</v>
      </c>
      <c r="AZ102" s="142">
        <v>0</v>
      </c>
      <c r="BA102" s="142">
        <v>0</v>
      </c>
      <c r="BB102" s="142">
        <v>0</v>
      </c>
      <c r="BC102" s="142">
        <v>0</v>
      </c>
      <c r="BD102" s="142">
        <v>0</v>
      </c>
      <c r="BE102" s="142">
        <v>0</v>
      </c>
      <c r="BF102" s="142">
        <v>0</v>
      </c>
      <c r="BG102" s="142">
        <v>0</v>
      </c>
      <c r="BH102" s="142">
        <v>0</v>
      </c>
      <c r="BI102" s="142">
        <v>1</v>
      </c>
      <c r="BJ102" s="142">
        <v>0</v>
      </c>
    </row>
    <row r="103" s="142" customFormat="1" ht="28.399999999999999" hidden="1" customHeight="1">
      <c r="B103" s="243"/>
      <c r="C103" s="243"/>
      <c r="E103" s="244" t="s">
        <v>648</v>
      </c>
      <c r="F103" s="196" t="s">
        <v>646</v>
      </c>
      <c r="G103" s="244" t="s">
        <v>486</v>
      </c>
      <c r="H103" s="244"/>
      <c r="I103" s="244"/>
      <c r="J103" s="196" t="s">
        <v>647</v>
      </c>
      <c r="K103" s="196"/>
      <c r="L103" s="142" t="s">
        <v>66</v>
      </c>
      <c r="M103" s="142">
        <v>1</v>
      </c>
      <c r="N103" s="142">
        <v>0</v>
      </c>
      <c r="O103" s="142">
        <v>0</v>
      </c>
      <c r="P103" s="142">
        <v>1</v>
      </c>
      <c r="Q103" s="142">
        <v>0</v>
      </c>
      <c r="R103" s="142">
        <v>0</v>
      </c>
      <c r="S103" s="142">
        <v>0</v>
      </c>
      <c r="T103" s="142">
        <v>0</v>
      </c>
      <c r="U103" s="142">
        <v>0</v>
      </c>
      <c r="V103" s="142">
        <v>0</v>
      </c>
      <c r="W103" s="142">
        <v>1</v>
      </c>
      <c r="X103" s="142">
        <v>1</v>
      </c>
      <c r="Y103" s="142">
        <v>1</v>
      </c>
      <c r="Z103" s="142">
        <v>0</v>
      </c>
      <c r="AA103" s="142">
        <v>1</v>
      </c>
      <c r="AB103" s="142">
        <v>0</v>
      </c>
      <c r="AC103" s="142">
        <v>0</v>
      </c>
      <c r="AD103" s="142">
        <v>0</v>
      </c>
      <c r="AE103" s="142">
        <v>1</v>
      </c>
      <c r="AF103" s="142">
        <v>1</v>
      </c>
      <c r="AG103" s="142">
        <v>0</v>
      </c>
      <c r="AH103" s="142">
        <v>0</v>
      </c>
      <c r="AI103" s="142">
        <v>0</v>
      </c>
      <c r="AJ103" s="142">
        <v>1</v>
      </c>
      <c r="AK103" s="142">
        <v>1</v>
      </c>
      <c r="AL103" s="142">
        <v>1</v>
      </c>
      <c r="AM103" s="142">
        <v>1</v>
      </c>
      <c r="AN103" s="142">
        <v>1</v>
      </c>
      <c r="AO103" s="142">
        <v>1</v>
      </c>
      <c r="AP103" s="142">
        <v>0</v>
      </c>
      <c r="AQ103" s="142">
        <v>1</v>
      </c>
      <c r="AR103" s="142">
        <v>0</v>
      </c>
      <c r="AS103" s="142">
        <v>0</v>
      </c>
      <c r="AT103" s="142">
        <v>1</v>
      </c>
      <c r="AU103" s="142">
        <v>0</v>
      </c>
      <c r="AV103" s="142">
        <v>1</v>
      </c>
      <c r="AW103" s="142">
        <v>0</v>
      </c>
      <c r="AX103" s="142">
        <v>0</v>
      </c>
      <c r="AY103" s="142">
        <v>0</v>
      </c>
      <c r="AZ103" s="142">
        <v>0</v>
      </c>
      <c r="BA103" s="142">
        <v>0</v>
      </c>
      <c r="BB103" s="142">
        <v>0</v>
      </c>
      <c r="BC103" s="142">
        <v>0</v>
      </c>
      <c r="BD103" s="142">
        <v>0</v>
      </c>
      <c r="BE103" s="142">
        <v>0</v>
      </c>
      <c r="BF103" s="142">
        <v>0</v>
      </c>
      <c r="BG103" s="142">
        <v>0</v>
      </c>
      <c r="BH103" s="142">
        <v>0</v>
      </c>
      <c r="BI103" s="142">
        <v>1</v>
      </c>
      <c r="BJ103" s="142">
        <v>0</v>
      </c>
    </row>
    <row r="104" s="143" customFormat="1" ht="32.25" hidden="1" customHeight="1">
      <c r="A104" s="144"/>
      <c r="B104" s="245"/>
      <c r="C104" s="245"/>
      <c r="E104" s="152" t="s">
        <v>649</v>
      </c>
      <c r="F104" s="145" t="s">
        <v>644</v>
      </c>
      <c r="G104" s="152" t="s">
        <v>486</v>
      </c>
      <c r="H104" s="152"/>
      <c r="I104" s="152"/>
      <c r="J104" s="111" t="s">
        <v>647</v>
      </c>
      <c r="K104" s="141"/>
      <c r="L104" s="143" t="s">
        <v>66</v>
      </c>
      <c r="M104" s="143">
        <v>0</v>
      </c>
      <c r="N104" s="143">
        <v>0</v>
      </c>
      <c r="O104" s="143">
        <v>0</v>
      </c>
      <c r="P104" s="142">
        <v>0</v>
      </c>
      <c r="Q104" s="143">
        <v>0</v>
      </c>
      <c r="R104" s="143">
        <v>0</v>
      </c>
      <c r="S104" s="143">
        <v>0</v>
      </c>
      <c r="T104" s="142">
        <v>0</v>
      </c>
      <c r="U104" s="143">
        <v>1</v>
      </c>
      <c r="V104" s="143">
        <v>1</v>
      </c>
      <c r="W104" s="143">
        <v>0</v>
      </c>
      <c r="X104" s="143">
        <v>1</v>
      </c>
      <c r="Y104" s="143">
        <v>1</v>
      </c>
      <c r="Z104" s="143">
        <v>0</v>
      </c>
      <c r="AA104" s="143">
        <v>0</v>
      </c>
      <c r="AB104" s="143">
        <v>0</v>
      </c>
      <c r="AC104" s="143">
        <v>0</v>
      </c>
      <c r="AD104" s="143">
        <v>1</v>
      </c>
      <c r="AE104" s="143">
        <v>1</v>
      </c>
      <c r="AF104" s="143">
        <v>1</v>
      </c>
      <c r="AG104" s="143">
        <v>0</v>
      </c>
      <c r="AH104" s="143">
        <v>0</v>
      </c>
      <c r="AI104" s="143">
        <v>0</v>
      </c>
      <c r="AJ104" s="143">
        <v>1</v>
      </c>
      <c r="AK104" s="143">
        <v>1</v>
      </c>
      <c r="AL104" s="143">
        <v>1</v>
      </c>
      <c r="AM104" s="143">
        <v>1</v>
      </c>
      <c r="AN104" s="143">
        <v>1</v>
      </c>
      <c r="AO104" s="143">
        <v>0</v>
      </c>
      <c r="AP104" s="143">
        <v>1</v>
      </c>
      <c r="AQ104" s="143">
        <v>1</v>
      </c>
      <c r="AR104" s="143">
        <v>0</v>
      </c>
      <c r="AS104" s="143">
        <v>1</v>
      </c>
      <c r="AT104" s="143">
        <v>0</v>
      </c>
      <c r="AU104" s="143">
        <v>0</v>
      </c>
      <c r="AV104" s="143">
        <v>0</v>
      </c>
      <c r="AW104" s="143">
        <v>0</v>
      </c>
      <c r="AX104" s="143">
        <v>1</v>
      </c>
      <c r="AY104" s="143">
        <v>0</v>
      </c>
      <c r="AZ104" s="143">
        <v>0</v>
      </c>
      <c r="BA104" s="143">
        <v>0</v>
      </c>
      <c r="BB104" s="143">
        <v>0</v>
      </c>
      <c r="BC104" s="143">
        <v>0</v>
      </c>
      <c r="BD104" s="143">
        <v>0</v>
      </c>
      <c r="BE104" s="143">
        <v>1</v>
      </c>
      <c r="BF104" s="143">
        <v>0</v>
      </c>
      <c r="BG104" s="143">
        <v>0</v>
      </c>
      <c r="BH104" s="143">
        <v>0</v>
      </c>
      <c r="BI104" s="143">
        <v>1</v>
      </c>
      <c r="BJ104" s="143">
        <v>0</v>
      </c>
    </row>
    <row r="105" s="181" customFormat="1" ht="14.25" customHeight="1">
      <c r="A105" s="137" t="s">
        <v>481</v>
      </c>
      <c r="B105" s="174" t="s">
        <v>482</v>
      </c>
      <c r="C105" s="181" t="s">
        <v>118</v>
      </c>
      <c r="D105" s="181" t="s">
        <v>364</v>
      </c>
      <c r="E105" s="183" t="s">
        <v>650</v>
      </c>
      <c r="F105" s="184" t="s">
        <v>512</v>
      </c>
      <c r="G105" s="176" t="s">
        <v>498</v>
      </c>
      <c r="H105" s="246">
        <v>11497</v>
      </c>
      <c r="I105" s="246">
        <v>11511</v>
      </c>
      <c r="J105" s="184"/>
      <c r="K105" s="183">
        <v>14</v>
      </c>
      <c r="L105" s="181" t="s">
        <v>325</v>
      </c>
      <c r="M105" s="181">
        <v>0</v>
      </c>
      <c r="N105" s="181">
        <v>1</v>
      </c>
      <c r="O105" s="181">
        <v>0</v>
      </c>
      <c r="P105" s="142">
        <v>1</v>
      </c>
      <c r="Q105" s="181">
        <v>0</v>
      </c>
      <c r="R105" s="181">
        <v>0</v>
      </c>
      <c r="S105" s="181">
        <v>0</v>
      </c>
      <c r="T105" s="142">
        <v>0</v>
      </c>
      <c r="U105" s="181">
        <v>0</v>
      </c>
      <c r="V105" s="181">
        <v>1</v>
      </c>
      <c r="W105" s="181">
        <v>0</v>
      </c>
      <c r="X105" s="181">
        <v>0</v>
      </c>
      <c r="Y105" s="181">
        <v>0</v>
      </c>
      <c r="Z105" s="181">
        <v>1</v>
      </c>
      <c r="AA105" s="181">
        <v>1</v>
      </c>
      <c r="AB105" s="181">
        <v>0</v>
      </c>
      <c r="AC105" s="181">
        <v>0</v>
      </c>
      <c r="AD105" s="181">
        <v>0</v>
      </c>
      <c r="AE105" s="181">
        <v>1</v>
      </c>
      <c r="AF105" s="181">
        <v>0</v>
      </c>
      <c r="AG105" s="181">
        <v>1</v>
      </c>
      <c r="AH105" s="181">
        <v>0</v>
      </c>
      <c r="AI105" s="181">
        <v>1</v>
      </c>
      <c r="AJ105" s="181">
        <v>1</v>
      </c>
      <c r="AK105" s="181">
        <v>0</v>
      </c>
      <c r="AL105" s="181">
        <v>1</v>
      </c>
      <c r="AM105" s="181">
        <v>0</v>
      </c>
      <c r="AN105" s="181">
        <v>0</v>
      </c>
      <c r="AO105" s="181">
        <v>0</v>
      </c>
      <c r="AP105" s="181">
        <v>1</v>
      </c>
      <c r="AQ105" s="181">
        <v>0</v>
      </c>
      <c r="AR105" s="181">
        <v>0</v>
      </c>
      <c r="AS105" s="181">
        <v>0</v>
      </c>
      <c r="AT105" s="181">
        <v>0</v>
      </c>
      <c r="AU105" s="181">
        <v>0</v>
      </c>
      <c r="AV105" s="181">
        <v>0</v>
      </c>
      <c r="AW105" s="181">
        <v>0</v>
      </c>
      <c r="AX105" s="181">
        <v>0</v>
      </c>
      <c r="AY105" s="181">
        <v>0</v>
      </c>
      <c r="AZ105" s="181">
        <v>0</v>
      </c>
      <c r="BA105" s="181">
        <v>0</v>
      </c>
      <c r="BB105" s="181">
        <v>0</v>
      </c>
      <c r="BC105" s="181">
        <v>0</v>
      </c>
      <c r="BD105" s="181">
        <v>0</v>
      </c>
      <c r="BE105" s="181">
        <v>0</v>
      </c>
      <c r="BF105" s="181">
        <v>0</v>
      </c>
      <c r="BG105" s="181">
        <v>0</v>
      </c>
      <c r="BH105" s="181">
        <v>0</v>
      </c>
      <c r="BI105" s="181">
        <v>0</v>
      </c>
      <c r="BJ105" s="181">
        <v>0</v>
      </c>
    </row>
    <row r="106" s="174" customFormat="1" ht="55.25" hidden="1" customHeight="1">
      <c r="E106" s="187" t="s">
        <v>651</v>
      </c>
      <c r="F106" s="111" t="s">
        <v>652</v>
      </c>
      <c r="G106" s="187" t="s">
        <v>498</v>
      </c>
      <c r="H106" s="187">
        <v>11902</v>
      </c>
      <c r="I106" s="187">
        <v>12031</v>
      </c>
      <c r="J106" s="111"/>
      <c r="K106" s="176"/>
      <c r="L106" s="174" t="s">
        <v>447</v>
      </c>
      <c r="M106" s="174">
        <v>0</v>
      </c>
      <c r="N106" s="174">
        <v>0</v>
      </c>
      <c r="O106" s="174">
        <v>0</v>
      </c>
      <c r="P106" s="142">
        <v>0</v>
      </c>
      <c r="Q106" s="174">
        <v>1</v>
      </c>
      <c r="R106" s="174">
        <v>0</v>
      </c>
      <c r="S106" s="174">
        <v>0</v>
      </c>
      <c r="T106" s="142">
        <v>1</v>
      </c>
      <c r="U106" s="174">
        <v>0</v>
      </c>
      <c r="V106" s="174">
        <v>1</v>
      </c>
      <c r="W106" s="174">
        <v>0</v>
      </c>
      <c r="X106" s="174">
        <v>0</v>
      </c>
      <c r="Y106" s="174">
        <v>1</v>
      </c>
      <c r="Z106" s="174">
        <v>0</v>
      </c>
      <c r="AA106" s="174">
        <v>0</v>
      </c>
      <c r="AB106" s="174">
        <v>1</v>
      </c>
      <c r="AC106" s="174">
        <v>0</v>
      </c>
      <c r="AD106" s="174">
        <v>0</v>
      </c>
      <c r="AE106" s="174">
        <v>0</v>
      </c>
      <c r="AF106" s="174">
        <v>0</v>
      </c>
      <c r="AG106" s="174">
        <v>1</v>
      </c>
      <c r="AH106" s="174">
        <v>1</v>
      </c>
      <c r="AI106" s="174">
        <v>0</v>
      </c>
      <c r="AJ106" s="174">
        <v>0</v>
      </c>
      <c r="AK106" s="174">
        <v>0</v>
      </c>
      <c r="AL106" s="174">
        <v>0</v>
      </c>
      <c r="AM106" s="174">
        <v>1</v>
      </c>
      <c r="AN106" s="174">
        <v>0</v>
      </c>
      <c r="AO106" s="174">
        <v>1</v>
      </c>
      <c r="AP106" s="174">
        <v>0</v>
      </c>
      <c r="AQ106" s="174">
        <v>0</v>
      </c>
      <c r="AR106" s="174">
        <v>0</v>
      </c>
      <c r="AS106" s="174">
        <v>0</v>
      </c>
      <c r="AT106" s="174">
        <v>0</v>
      </c>
      <c r="AU106" s="174">
        <v>0</v>
      </c>
      <c r="AV106" s="174">
        <v>0</v>
      </c>
      <c r="AW106" s="174">
        <v>0</v>
      </c>
      <c r="AX106" s="174">
        <v>0</v>
      </c>
      <c r="AY106" s="174">
        <v>0</v>
      </c>
      <c r="AZ106" s="174">
        <v>0</v>
      </c>
      <c r="BA106" s="174">
        <v>0</v>
      </c>
      <c r="BB106" s="174">
        <v>0</v>
      </c>
      <c r="BC106" s="174">
        <v>0</v>
      </c>
      <c r="BD106" s="174">
        <v>0</v>
      </c>
      <c r="BE106" s="174">
        <v>0</v>
      </c>
      <c r="BF106" s="174">
        <v>0</v>
      </c>
      <c r="BG106" s="174">
        <v>0</v>
      </c>
      <c r="BH106" s="174">
        <v>0</v>
      </c>
      <c r="BI106" s="174">
        <v>0</v>
      </c>
      <c r="BJ106" s="174">
        <v>0</v>
      </c>
    </row>
    <row r="107" s="174" customFormat="1" ht="14.25" hidden="1" customHeight="1">
      <c r="E107" s="196" t="s">
        <v>653</v>
      </c>
      <c r="F107" s="111" t="s">
        <v>654</v>
      </c>
      <c r="G107" s="196" t="s">
        <v>498</v>
      </c>
      <c r="H107" s="196">
        <v>12546</v>
      </c>
      <c r="I107" s="196">
        <v>12570</v>
      </c>
      <c r="J107" s="111"/>
      <c r="K107" s="176"/>
      <c r="L107" s="174" t="s">
        <v>325</v>
      </c>
      <c r="M107" s="174">
        <v>1</v>
      </c>
      <c r="N107" s="174">
        <v>0</v>
      </c>
      <c r="O107" s="174">
        <v>0</v>
      </c>
      <c r="P107" s="142">
        <v>1</v>
      </c>
      <c r="Q107" s="174">
        <v>0</v>
      </c>
      <c r="R107" s="174">
        <v>0</v>
      </c>
      <c r="S107" s="174">
        <v>0</v>
      </c>
      <c r="T107" s="142">
        <v>0</v>
      </c>
      <c r="U107" s="174">
        <v>0</v>
      </c>
      <c r="V107" s="174">
        <v>1</v>
      </c>
      <c r="W107" s="174">
        <v>0</v>
      </c>
      <c r="X107" s="174">
        <v>0</v>
      </c>
      <c r="Y107" s="174">
        <v>0</v>
      </c>
      <c r="Z107" s="174">
        <v>1</v>
      </c>
      <c r="AA107" s="174">
        <v>1</v>
      </c>
      <c r="AB107" s="174">
        <v>0</v>
      </c>
      <c r="AC107" s="174">
        <v>0</v>
      </c>
      <c r="AD107" s="174">
        <v>0</v>
      </c>
      <c r="AE107" s="174">
        <v>1</v>
      </c>
      <c r="AF107" s="174">
        <v>0</v>
      </c>
      <c r="AG107" s="174">
        <v>1</v>
      </c>
      <c r="AH107" s="174">
        <v>0</v>
      </c>
      <c r="AI107" s="174">
        <v>1</v>
      </c>
      <c r="AJ107" s="174">
        <v>0</v>
      </c>
      <c r="AK107" s="174">
        <v>0</v>
      </c>
      <c r="AL107" s="174">
        <v>0</v>
      </c>
      <c r="AM107" s="174">
        <v>1</v>
      </c>
      <c r="AN107" s="174">
        <v>0</v>
      </c>
      <c r="AO107" s="174">
        <v>0</v>
      </c>
      <c r="AP107" s="174">
        <v>1</v>
      </c>
      <c r="AQ107" s="174">
        <v>0</v>
      </c>
      <c r="AR107" s="174">
        <v>0</v>
      </c>
      <c r="AS107" s="174">
        <v>0</v>
      </c>
      <c r="AT107" s="174">
        <v>0</v>
      </c>
      <c r="AU107" s="174">
        <v>0</v>
      </c>
      <c r="AV107" s="174">
        <v>0</v>
      </c>
      <c r="AW107" s="174">
        <v>0</v>
      </c>
      <c r="AX107" s="174">
        <v>0</v>
      </c>
      <c r="AY107" s="174">
        <v>0</v>
      </c>
      <c r="AZ107" s="174">
        <v>0</v>
      </c>
      <c r="BA107" s="174">
        <v>0</v>
      </c>
      <c r="BB107" s="174">
        <v>0</v>
      </c>
      <c r="BC107" s="174">
        <v>0</v>
      </c>
      <c r="BD107" s="174">
        <v>0</v>
      </c>
      <c r="BE107" s="174">
        <v>0</v>
      </c>
      <c r="BF107" s="174">
        <v>0</v>
      </c>
      <c r="BG107" s="174">
        <v>0</v>
      </c>
      <c r="BH107" s="174">
        <v>0</v>
      </c>
      <c r="BI107" s="174">
        <v>0</v>
      </c>
      <c r="BJ107" s="174">
        <v>0</v>
      </c>
    </row>
    <row r="108" s="174" customFormat="1" ht="28.399999999999999" hidden="1" customHeight="1">
      <c r="E108" s="176" t="s">
        <v>655</v>
      </c>
      <c r="F108" s="111" t="s">
        <v>656</v>
      </c>
      <c r="G108" s="176" t="s">
        <v>498</v>
      </c>
      <c r="H108" s="176">
        <v>28160</v>
      </c>
      <c r="I108" s="176">
        <v>28254</v>
      </c>
      <c r="J108" s="111" t="s">
        <v>657</v>
      </c>
      <c r="K108" s="176"/>
      <c r="L108" s="174" t="s">
        <v>325</v>
      </c>
      <c r="M108" s="174">
        <v>1</v>
      </c>
      <c r="N108" s="174">
        <v>0</v>
      </c>
      <c r="O108" s="174">
        <v>0</v>
      </c>
      <c r="P108" s="142">
        <v>1</v>
      </c>
      <c r="Q108" s="174">
        <v>0</v>
      </c>
      <c r="R108" s="174">
        <v>0</v>
      </c>
      <c r="S108" s="174">
        <v>0</v>
      </c>
      <c r="T108" s="142">
        <v>0</v>
      </c>
      <c r="U108" s="174">
        <v>0</v>
      </c>
      <c r="V108" s="174">
        <v>0</v>
      </c>
      <c r="W108" s="174">
        <v>1</v>
      </c>
      <c r="X108" s="174">
        <v>1</v>
      </c>
      <c r="Y108" s="174">
        <v>0</v>
      </c>
      <c r="Z108" s="174">
        <v>1</v>
      </c>
      <c r="AA108" s="174">
        <v>1</v>
      </c>
      <c r="AB108" s="174">
        <v>0</v>
      </c>
      <c r="AC108" s="174">
        <v>0</v>
      </c>
      <c r="AD108" s="174">
        <v>0</v>
      </c>
      <c r="AE108" s="174">
        <v>0</v>
      </c>
      <c r="AF108" s="174">
        <v>0</v>
      </c>
      <c r="AG108" s="174">
        <v>1</v>
      </c>
      <c r="AH108" s="174">
        <v>1</v>
      </c>
      <c r="AI108" s="174">
        <v>0</v>
      </c>
      <c r="AJ108" s="174">
        <v>0</v>
      </c>
      <c r="AK108" s="174">
        <v>0</v>
      </c>
      <c r="AL108" s="174">
        <v>0</v>
      </c>
      <c r="AM108" s="174">
        <v>1</v>
      </c>
      <c r="AN108" s="174">
        <v>1</v>
      </c>
      <c r="AO108" s="174">
        <v>0</v>
      </c>
      <c r="AP108" s="174">
        <v>1</v>
      </c>
      <c r="AQ108" s="174">
        <v>0</v>
      </c>
      <c r="AR108" s="174">
        <v>0</v>
      </c>
      <c r="AS108" s="174">
        <v>0</v>
      </c>
      <c r="AT108" s="174">
        <v>0</v>
      </c>
      <c r="AU108" s="174">
        <v>0</v>
      </c>
      <c r="AV108" s="174">
        <v>0</v>
      </c>
      <c r="AW108" s="174">
        <v>0</v>
      </c>
      <c r="AX108" s="174">
        <v>0</v>
      </c>
      <c r="AY108" s="174">
        <v>0</v>
      </c>
      <c r="AZ108" s="174">
        <v>0</v>
      </c>
      <c r="BA108" s="174">
        <v>0</v>
      </c>
      <c r="BB108" s="174">
        <v>0</v>
      </c>
      <c r="BC108" s="174">
        <v>0</v>
      </c>
      <c r="BD108" s="174">
        <v>0</v>
      </c>
      <c r="BE108" s="174">
        <v>0</v>
      </c>
      <c r="BF108" s="174">
        <v>0</v>
      </c>
      <c r="BG108" s="174">
        <v>0</v>
      </c>
      <c r="BH108" s="174">
        <v>0</v>
      </c>
      <c r="BI108" s="174">
        <v>0</v>
      </c>
      <c r="BJ108" s="174">
        <v>0</v>
      </c>
    </row>
    <row r="109" s="174" customFormat="1" ht="41.75" hidden="1" customHeight="1">
      <c r="E109" s="176" t="s">
        <v>658</v>
      </c>
      <c r="F109" s="111" t="s">
        <v>659</v>
      </c>
      <c r="G109" s="176" t="s">
        <v>498</v>
      </c>
      <c r="H109" s="176">
        <v>28325</v>
      </c>
      <c r="I109" s="176">
        <v>28383</v>
      </c>
      <c r="J109" s="111" t="s">
        <v>657</v>
      </c>
      <c r="K109" s="176"/>
      <c r="L109" s="174" t="s">
        <v>325</v>
      </c>
      <c r="M109" s="174">
        <v>1</v>
      </c>
      <c r="N109" s="174">
        <v>0</v>
      </c>
      <c r="O109" s="174">
        <v>0</v>
      </c>
      <c r="P109" s="142">
        <v>1</v>
      </c>
      <c r="Q109" s="174">
        <v>0</v>
      </c>
      <c r="R109" s="174">
        <v>0</v>
      </c>
      <c r="S109" s="174">
        <v>0</v>
      </c>
      <c r="T109" s="142">
        <v>0</v>
      </c>
      <c r="U109" s="174">
        <v>0</v>
      </c>
      <c r="V109" s="174">
        <v>0</v>
      </c>
      <c r="W109" s="174">
        <v>1</v>
      </c>
      <c r="X109" s="174">
        <v>0</v>
      </c>
      <c r="Y109" s="174">
        <v>0</v>
      </c>
      <c r="Z109" s="174">
        <v>1</v>
      </c>
      <c r="AA109" s="174">
        <v>1</v>
      </c>
      <c r="AB109" s="174">
        <v>0</v>
      </c>
      <c r="AC109" s="174">
        <v>0</v>
      </c>
      <c r="AD109" s="174">
        <v>0</v>
      </c>
      <c r="AE109" s="174">
        <v>0</v>
      </c>
      <c r="AF109" s="174">
        <v>1</v>
      </c>
      <c r="AG109" s="174">
        <v>1</v>
      </c>
      <c r="AH109" s="174">
        <v>1</v>
      </c>
      <c r="AI109" s="174">
        <v>1</v>
      </c>
      <c r="AJ109" s="174">
        <v>0</v>
      </c>
      <c r="AK109" s="174">
        <v>0</v>
      </c>
      <c r="AL109" s="174">
        <v>1</v>
      </c>
      <c r="AM109" s="174">
        <v>0</v>
      </c>
      <c r="AN109" s="174">
        <v>1</v>
      </c>
      <c r="AO109" s="174">
        <v>0</v>
      </c>
      <c r="AP109" s="174">
        <v>1</v>
      </c>
      <c r="AQ109" s="174">
        <v>0</v>
      </c>
      <c r="AR109" s="174">
        <v>0</v>
      </c>
      <c r="AS109" s="174">
        <v>0</v>
      </c>
      <c r="AT109" s="174">
        <v>0</v>
      </c>
      <c r="AU109" s="174">
        <v>0</v>
      </c>
      <c r="AV109" s="174">
        <v>0</v>
      </c>
      <c r="AW109" s="174">
        <v>0</v>
      </c>
      <c r="AX109" s="174">
        <v>0</v>
      </c>
      <c r="AY109" s="174">
        <v>0</v>
      </c>
      <c r="AZ109" s="174">
        <v>0</v>
      </c>
      <c r="BA109" s="174">
        <v>0</v>
      </c>
      <c r="BB109" s="174">
        <v>0</v>
      </c>
      <c r="BC109" s="174">
        <v>0</v>
      </c>
      <c r="BD109" s="174">
        <v>0</v>
      </c>
      <c r="BE109" s="174">
        <v>0</v>
      </c>
      <c r="BF109" s="174">
        <v>0</v>
      </c>
      <c r="BG109" s="174">
        <v>0</v>
      </c>
      <c r="BH109" s="174">
        <v>0</v>
      </c>
      <c r="BI109" s="174">
        <v>0</v>
      </c>
      <c r="BJ109" s="174">
        <v>0</v>
      </c>
    </row>
    <row r="110" s="174" customFormat="1" ht="14.25" hidden="1" customHeight="1">
      <c r="E110" s="176" t="s">
        <v>660</v>
      </c>
      <c r="F110" s="111" t="s">
        <v>550</v>
      </c>
      <c r="G110" s="176" t="s">
        <v>498</v>
      </c>
      <c r="H110" s="176">
        <v>28412</v>
      </c>
      <c r="I110" s="176">
        <v>28442</v>
      </c>
      <c r="J110" s="111"/>
      <c r="K110" s="176"/>
      <c r="L110" s="174" t="s">
        <v>325</v>
      </c>
      <c r="M110" s="174">
        <v>1</v>
      </c>
      <c r="N110" s="174">
        <v>0</v>
      </c>
      <c r="O110" s="174">
        <v>0</v>
      </c>
      <c r="P110" s="142">
        <v>1</v>
      </c>
      <c r="Q110" s="174">
        <v>0</v>
      </c>
      <c r="R110" s="174">
        <v>0</v>
      </c>
      <c r="S110" s="174">
        <v>0</v>
      </c>
      <c r="T110" s="142">
        <v>0</v>
      </c>
      <c r="U110" s="174">
        <v>0</v>
      </c>
      <c r="V110" s="174">
        <v>1</v>
      </c>
      <c r="W110" s="174">
        <v>0</v>
      </c>
      <c r="X110" s="174">
        <v>1</v>
      </c>
      <c r="Y110" s="174">
        <v>0</v>
      </c>
      <c r="Z110" s="174">
        <v>1</v>
      </c>
      <c r="AA110" s="174">
        <v>1</v>
      </c>
      <c r="AB110" s="174">
        <v>0</v>
      </c>
      <c r="AC110" s="174">
        <v>0</v>
      </c>
      <c r="AD110" s="174">
        <v>0</v>
      </c>
      <c r="AE110" s="174">
        <v>0</v>
      </c>
      <c r="AF110" s="174">
        <v>0</v>
      </c>
      <c r="AG110" s="174">
        <v>1</v>
      </c>
      <c r="AH110" s="174">
        <v>0</v>
      </c>
      <c r="AI110" s="174">
        <v>0</v>
      </c>
      <c r="AJ110" s="174">
        <v>0</v>
      </c>
      <c r="AK110" s="174">
        <v>1</v>
      </c>
      <c r="AL110" s="174">
        <v>1</v>
      </c>
      <c r="AM110" s="174">
        <v>0</v>
      </c>
      <c r="AN110" s="174">
        <v>0</v>
      </c>
      <c r="AO110" s="174">
        <v>0</v>
      </c>
      <c r="AP110" s="174">
        <v>1</v>
      </c>
      <c r="AQ110" s="174">
        <v>0</v>
      </c>
      <c r="AR110" s="174">
        <v>0</v>
      </c>
      <c r="AS110" s="174">
        <v>0</v>
      </c>
      <c r="AT110" s="174">
        <v>0</v>
      </c>
      <c r="AU110" s="174">
        <v>0</v>
      </c>
      <c r="AV110" s="174">
        <v>0</v>
      </c>
      <c r="AW110" s="174">
        <v>0</v>
      </c>
      <c r="AX110" s="174">
        <v>0</v>
      </c>
      <c r="AY110" s="174">
        <v>0</v>
      </c>
      <c r="AZ110" s="174">
        <v>0</v>
      </c>
      <c r="BA110" s="174">
        <v>0</v>
      </c>
      <c r="BB110" s="174">
        <v>0</v>
      </c>
      <c r="BC110" s="174">
        <v>0</v>
      </c>
      <c r="BD110" s="174">
        <v>0</v>
      </c>
      <c r="BE110" s="174">
        <v>0</v>
      </c>
      <c r="BF110" s="174">
        <v>0</v>
      </c>
      <c r="BG110" s="174">
        <v>0</v>
      </c>
      <c r="BH110" s="174">
        <v>0</v>
      </c>
      <c r="BI110" s="174">
        <v>0</v>
      </c>
      <c r="BJ110" s="174">
        <v>0</v>
      </c>
    </row>
    <row r="111" s="174" customFormat="1" ht="28.399999999999999" hidden="1" customHeight="1">
      <c r="E111" s="176" t="s">
        <v>661</v>
      </c>
      <c r="F111" s="111" t="s">
        <v>554</v>
      </c>
      <c r="G111" s="176" t="s">
        <v>498</v>
      </c>
      <c r="H111" s="176">
        <v>28712</v>
      </c>
      <c r="I111" s="176">
        <v>28762</v>
      </c>
      <c r="J111" s="111"/>
      <c r="K111" s="176"/>
      <c r="L111" s="174" t="s">
        <v>325</v>
      </c>
      <c r="M111" s="174">
        <v>1</v>
      </c>
      <c r="N111" s="174">
        <v>0</v>
      </c>
      <c r="O111" s="174">
        <v>0</v>
      </c>
      <c r="P111" s="142">
        <v>1</v>
      </c>
      <c r="Q111" s="174">
        <v>0</v>
      </c>
      <c r="R111" s="174">
        <v>0</v>
      </c>
      <c r="S111" s="174">
        <v>0</v>
      </c>
      <c r="T111" s="142">
        <v>0</v>
      </c>
      <c r="U111" s="174">
        <v>0</v>
      </c>
      <c r="V111" s="174">
        <v>1</v>
      </c>
      <c r="W111" s="174">
        <v>0</v>
      </c>
      <c r="X111" s="174">
        <v>1</v>
      </c>
      <c r="Y111" s="174">
        <v>0</v>
      </c>
      <c r="Z111" s="174">
        <v>1</v>
      </c>
      <c r="AA111" s="174">
        <v>1</v>
      </c>
      <c r="AB111" s="174">
        <v>0</v>
      </c>
      <c r="AC111" s="174">
        <v>0</v>
      </c>
      <c r="AD111" s="174">
        <v>0</v>
      </c>
      <c r="AE111" s="174">
        <v>0</v>
      </c>
      <c r="AF111" s="174">
        <v>1</v>
      </c>
      <c r="AG111" s="174">
        <v>1</v>
      </c>
      <c r="AH111" s="174">
        <v>0</v>
      </c>
      <c r="AI111" s="174">
        <v>1</v>
      </c>
      <c r="AJ111" s="174">
        <v>0</v>
      </c>
      <c r="AK111" s="174">
        <v>1</v>
      </c>
      <c r="AL111" s="174">
        <v>1</v>
      </c>
      <c r="AM111" s="174">
        <v>1</v>
      </c>
      <c r="AN111" s="174">
        <v>0</v>
      </c>
      <c r="AO111" s="174">
        <v>0</v>
      </c>
      <c r="AP111" s="174">
        <v>1</v>
      </c>
      <c r="AQ111" s="174">
        <v>0</v>
      </c>
      <c r="AR111" s="174">
        <v>0</v>
      </c>
      <c r="AS111" s="174">
        <v>0</v>
      </c>
      <c r="AT111" s="174">
        <v>0</v>
      </c>
      <c r="AU111" s="174">
        <v>0</v>
      </c>
      <c r="AV111" s="174">
        <v>0</v>
      </c>
      <c r="AW111" s="174">
        <v>0</v>
      </c>
      <c r="AX111" s="174">
        <v>0</v>
      </c>
      <c r="AY111" s="174">
        <v>0</v>
      </c>
      <c r="AZ111" s="174">
        <v>0</v>
      </c>
      <c r="BA111" s="174">
        <v>0</v>
      </c>
      <c r="BB111" s="174">
        <v>0</v>
      </c>
      <c r="BC111" s="174">
        <v>0</v>
      </c>
      <c r="BD111" s="174">
        <v>0</v>
      </c>
      <c r="BE111" s="174">
        <v>0</v>
      </c>
      <c r="BF111" s="174">
        <v>0</v>
      </c>
      <c r="BG111" s="174">
        <v>0</v>
      </c>
      <c r="BH111" s="174">
        <v>0</v>
      </c>
      <c r="BI111" s="174">
        <v>0</v>
      </c>
      <c r="BJ111" s="174">
        <v>0</v>
      </c>
    </row>
    <row r="112" s="174" customFormat="1" ht="28.399999999999999" hidden="1" customHeight="1">
      <c r="E112" s="176" t="s">
        <v>662</v>
      </c>
      <c r="F112" s="111" t="s">
        <v>546</v>
      </c>
      <c r="G112" s="176" t="s">
        <v>498</v>
      </c>
      <c r="H112" s="176">
        <v>28832</v>
      </c>
      <c r="I112" s="176">
        <v>28842</v>
      </c>
      <c r="J112" s="111"/>
      <c r="K112" s="176"/>
      <c r="L112" s="174" t="s">
        <v>325</v>
      </c>
      <c r="M112" s="174">
        <v>1</v>
      </c>
      <c r="N112" s="174">
        <v>0</v>
      </c>
      <c r="O112" s="174">
        <v>0</v>
      </c>
      <c r="P112" s="142">
        <v>1</v>
      </c>
      <c r="Q112" s="174">
        <v>0</v>
      </c>
      <c r="R112" s="174">
        <v>0</v>
      </c>
      <c r="S112" s="174">
        <v>0</v>
      </c>
      <c r="T112" s="142">
        <v>0</v>
      </c>
      <c r="U112" s="174">
        <v>0</v>
      </c>
      <c r="V112" s="174">
        <v>1</v>
      </c>
      <c r="W112" s="174">
        <v>0</v>
      </c>
      <c r="X112" s="174">
        <v>0</v>
      </c>
      <c r="Y112" s="174">
        <v>0</v>
      </c>
      <c r="Z112" s="174">
        <v>1</v>
      </c>
      <c r="AA112" s="174">
        <v>1</v>
      </c>
      <c r="AB112" s="174">
        <v>0</v>
      </c>
      <c r="AC112" s="174">
        <v>0</v>
      </c>
      <c r="AD112" s="174">
        <v>0</v>
      </c>
      <c r="AE112" s="174">
        <v>0</v>
      </c>
      <c r="AF112" s="174">
        <v>1</v>
      </c>
      <c r="AG112" s="174">
        <v>1</v>
      </c>
      <c r="AH112" s="174">
        <v>0</v>
      </c>
      <c r="AI112" s="174">
        <v>1</v>
      </c>
      <c r="AJ112" s="174">
        <v>0</v>
      </c>
      <c r="AK112" s="174">
        <v>1</v>
      </c>
      <c r="AL112" s="174">
        <v>1</v>
      </c>
      <c r="AM112" s="174">
        <v>1</v>
      </c>
      <c r="AN112" s="174">
        <v>0</v>
      </c>
      <c r="AO112" s="174">
        <v>0</v>
      </c>
      <c r="AP112" s="174">
        <v>1</v>
      </c>
      <c r="AQ112" s="174">
        <v>0</v>
      </c>
      <c r="AR112" s="174">
        <v>0</v>
      </c>
      <c r="AS112" s="174">
        <v>0</v>
      </c>
      <c r="AT112" s="174">
        <v>0</v>
      </c>
      <c r="AU112" s="174">
        <v>0</v>
      </c>
      <c r="AV112" s="174">
        <v>0</v>
      </c>
      <c r="AW112" s="174">
        <v>0</v>
      </c>
      <c r="AX112" s="174">
        <v>0</v>
      </c>
      <c r="AY112" s="174">
        <v>0</v>
      </c>
      <c r="AZ112" s="174">
        <v>0</v>
      </c>
      <c r="BA112" s="174">
        <v>0</v>
      </c>
      <c r="BB112" s="174">
        <v>0</v>
      </c>
      <c r="BC112" s="174">
        <v>0</v>
      </c>
      <c r="BD112" s="174">
        <v>0</v>
      </c>
      <c r="BE112" s="174">
        <v>0</v>
      </c>
      <c r="BF112" s="174">
        <v>0</v>
      </c>
      <c r="BG112" s="174">
        <v>0</v>
      </c>
      <c r="BH112" s="174">
        <v>0</v>
      </c>
      <c r="BI112" s="174">
        <v>0</v>
      </c>
      <c r="BJ112" s="174">
        <v>0</v>
      </c>
    </row>
    <row r="113" s="174" customFormat="1" ht="14.25" hidden="1" customHeight="1">
      <c r="E113" s="176" t="s">
        <v>663</v>
      </c>
      <c r="F113" s="111" t="s">
        <v>504</v>
      </c>
      <c r="G113" s="176" t="s">
        <v>498</v>
      </c>
      <c r="H113" s="176">
        <v>28915</v>
      </c>
      <c r="I113" s="176">
        <v>28920</v>
      </c>
      <c r="J113" s="111"/>
      <c r="K113" s="176"/>
      <c r="L113" s="174" t="s">
        <v>325</v>
      </c>
      <c r="M113" s="174">
        <v>1</v>
      </c>
      <c r="N113" s="174">
        <v>0</v>
      </c>
      <c r="O113" s="174">
        <v>0</v>
      </c>
      <c r="P113" s="142">
        <v>1</v>
      </c>
      <c r="Q113" s="174">
        <v>0</v>
      </c>
      <c r="R113" s="174">
        <v>0</v>
      </c>
      <c r="S113" s="174">
        <v>0</v>
      </c>
      <c r="T113" s="142">
        <v>0</v>
      </c>
      <c r="U113" s="174">
        <v>0</v>
      </c>
      <c r="V113" s="174">
        <v>1</v>
      </c>
      <c r="W113" s="174">
        <v>0</v>
      </c>
      <c r="X113" s="174">
        <v>0</v>
      </c>
      <c r="Y113" s="174">
        <v>1</v>
      </c>
      <c r="Z113" s="174">
        <v>0</v>
      </c>
      <c r="AA113" s="174">
        <v>1</v>
      </c>
      <c r="AB113" s="174">
        <v>0</v>
      </c>
      <c r="AC113" s="174">
        <v>0</v>
      </c>
      <c r="AD113" s="174">
        <v>0</v>
      </c>
      <c r="AE113" s="174">
        <v>0</v>
      </c>
      <c r="AF113" s="174">
        <v>0</v>
      </c>
      <c r="AG113" s="174">
        <v>1</v>
      </c>
      <c r="AH113" s="174">
        <v>1</v>
      </c>
      <c r="AI113" s="174">
        <v>0</v>
      </c>
      <c r="AJ113" s="174">
        <v>0</v>
      </c>
      <c r="AK113" s="174">
        <v>0</v>
      </c>
      <c r="AL113" s="174">
        <v>0</v>
      </c>
      <c r="AM113" s="174">
        <v>1</v>
      </c>
      <c r="AN113" s="174">
        <v>1</v>
      </c>
      <c r="AO113" s="174">
        <v>0</v>
      </c>
      <c r="AP113" s="174">
        <v>1</v>
      </c>
      <c r="AQ113" s="174">
        <v>0</v>
      </c>
      <c r="AR113" s="174">
        <v>0</v>
      </c>
      <c r="AS113" s="174">
        <v>0</v>
      </c>
      <c r="AT113" s="174">
        <v>0</v>
      </c>
      <c r="AU113" s="174">
        <v>0</v>
      </c>
      <c r="AV113" s="174">
        <v>0</v>
      </c>
      <c r="AW113" s="174">
        <v>0</v>
      </c>
      <c r="AX113" s="174">
        <v>0</v>
      </c>
      <c r="AY113" s="174">
        <v>0</v>
      </c>
      <c r="AZ113" s="174">
        <v>0</v>
      </c>
      <c r="BA113" s="174">
        <v>0</v>
      </c>
      <c r="BB113" s="174">
        <v>0</v>
      </c>
      <c r="BC113" s="174">
        <v>0</v>
      </c>
      <c r="BD113" s="174">
        <v>0</v>
      </c>
      <c r="BE113" s="174">
        <v>0</v>
      </c>
      <c r="BF113" s="174">
        <v>0</v>
      </c>
      <c r="BG113" s="174">
        <v>0</v>
      </c>
      <c r="BH113" s="174">
        <v>0</v>
      </c>
      <c r="BI113" s="174">
        <v>0</v>
      </c>
      <c r="BJ113" s="174">
        <v>0</v>
      </c>
    </row>
    <row r="114" s="174" customFormat="1" ht="28.399999999999999" hidden="1" customHeight="1">
      <c r="E114" s="176" t="s">
        <v>664</v>
      </c>
      <c r="F114" s="111" t="s">
        <v>546</v>
      </c>
      <c r="G114" s="176" t="s">
        <v>498</v>
      </c>
      <c r="H114" s="176">
        <v>28975</v>
      </c>
      <c r="I114" s="176">
        <v>28985</v>
      </c>
      <c r="J114" s="111"/>
      <c r="K114" s="176"/>
      <c r="L114" s="174" t="s">
        <v>325</v>
      </c>
      <c r="M114" s="174">
        <v>0</v>
      </c>
      <c r="N114" s="174">
        <v>1</v>
      </c>
      <c r="P114" s="142">
        <v>1</v>
      </c>
      <c r="T114" s="142"/>
      <c r="V114" s="174">
        <v>1</v>
      </c>
      <c r="Y114" s="174">
        <v>1</v>
      </c>
      <c r="AA114" s="174">
        <v>1</v>
      </c>
      <c r="AF114" s="174">
        <v>1</v>
      </c>
      <c r="AG114" s="174">
        <v>1</v>
      </c>
      <c r="AH114" s="174">
        <v>1</v>
      </c>
      <c r="AI114" s="174">
        <v>1</v>
      </c>
      <c r="AM114" s="174">
        <v>1</v>
      </c>
      <c r="AN114" s="174">
        <v>1</v>
      </c>
      <c r="AP114" s="174">
        <v>1</v>
      </c>
    </row>
    <row r="115" s="174" customFormat="1" ht="41.75" hidden="1" customHeight="1">
      <c r="E115" s="176" t="s">
        <v>665</v>
      </c>
      <c r="F115" s="111" t="s">
        <v>666</v>
      </c>
      <c r="G115" s="176" t="s">
        <v>498</v>
      </c>
      <c r="H115" s="176">
        <v>29120</v>
      </c>
      <c r="I115" s="176">
        <v>29238</v>
      </c>
      <c r="J115" s="111"/>
      <c r="K115" s="176"/>
      <c r="L115" s="174" t="s">
        <v>447</v>
      </c>
      <c r="M115" s="174">
        <v>0</v>
      </c>
      <c r="N115" s="174">
        <v>0</v>
      </c>
      <c r="O115" s="174">
        <v>0</v>
      </c>
      <c r="P115" s="142">
        <v>0</v>
      </c>
      <c r="Q115" s="174">
        <v>1</v>
      </c>
      <c r="R115" s="174">
        <v>0</v>
      </c>
      <c r="S115" s="174">
        <v>0</v>
      </c>
      <c r="T115" s="142">
        <v>1</v>
      </c>
      <c r="U115" s="174">
        <v>0</v>
      </c>
      <c r="V115" s="174">
        <v>1</v>
      </c>
      <c r="W115" s="174">
        <v>0</v>
      </c>
      <c r="X115" s="174">
        <v>1</v>
      </c>
      <c r="Y115" s="174">
        <v>1</v>
      </c>
      <c r="Z115" s="174">
        <v>0</v>
      </c>
      <c r="AA115" s="174">
        <v>0</v>
      </c>
      <c r="AB115" s="174">
        <v>1</v>
      </c>
      <c r="AC115" s="174">
        <v>0</v>
      </c>
      <c r="AD115" s="174">
        <v>0</v>
      </c>
      <c r="AE115" s="174">
        <v>0</v>
      </c>
      <c r="AF115" s="174">
        <v>1</v>
      </c>
      <c r="AG115" s="174">
        <v>1</v>
      </c>
      <c r="AH115" s="174">
        <v>1</v>
      </c>
      <c r="AI115" s="174">
        <v>1</v>
      </c>
      <c r="AJ115" s="174">
        <v>1</v>
      </c>
      <c r="AK115" s="174">
        <v>0</v>
      </c>
      <c r="AL115" s="174">
        <v>1</v>
      </c>
      <c r="AM115" s="174">
        <v>1</v>
      </c>
      <c r="AN115" s="174">
        <v>1</v>
      </c>
      <c r="AO115" s="174">
        <v>0</v>
      </c>
      <c r="AP115" s="174">
        <v>1</v>
      </c>
      <c r="AQ115" s="174">
        <v>0</v>
      </c>
      <c r="AR115" s="174">
        <v>0</v>
      </c>
      <c r="AS115" s="174">
        <v>0</v>
      </c>
      <c r="AT115" s="174">
        <v>0</v>
      </c>
      <c r="AU115" s="174">
        <v>0</v>
      </c>
      <c r="AV115" s="174">
        <v>0</v>
      </c>
      <c r="AW115" s="174">
        <v>0</v>
      </c>
      <c r="AX115" s="174">
        <v>0</v>
      </c>
      <c r="AY115" s="174">
        <v>0</v>
      </c>
      <c r="AZ115" s="174">
        <v>0</v>
      </c>
      <c r="BA115" s="174">
        <v>0</v>
      </c>
      <c r="BB115" s="174">
        <v>0</v>
      </c>
      <c r="BC115" s="174">
        <v>0</v>
      </c>
      <c r="BD115" s="174">
        <v>0</v>
      </c>
      <c r="BE115" s="174">
        <v>0</v>
      </c>
      <c r="BF115" s="174">
        <v>0</v>
      </c>
      <c r="BG115" s="174">
        <v>0</v>
      </c>
      <c r="BH115" s="174">
        <v>0</v>
      </c>
      <c r="BI115" s="174">
        <v>0</v>
      </c>
      <c r="BJ115" s="174">
        <v>0</v>
      </c>
    </row>
    <row r="116" s="174" customFormat="1" ht="41.75" hidden="1" customHeight="1">
      <c r="E116" s="196" t="s">
        <v>667</v>
      </c>
      <c r="F116" s="111" t="s">
        <v>668</v>
      </c>
      <c r="G116" s="196" t="s">
        <v>498</v>
      </c>
      <c r="H116" s="196">
        <v>29975</v>
      </c>
      <c r="I116" s="196">
        <v>30015</v>
      </c>
      <c r="J116" s="111"/>
      <c r="K116" s="176"/>
      <c r="L116" s="174" t="s">
        <v>325</v>
      </c>
      <c r="M116" s="174">
        <v>1</v>
      </c>
      <c r="N116" s="174">
        <v>0</v>
      </c>
      <c r="O116" s="174">
        <v>0</v>
      </c>
      <c r="P116" s="142">
        <v>1</v>
      </c>
      <c r="Q116" s="174">
        <v>0</v>
      </c>
      <c r="R116" s="174">
        <v>0</v>
      </c>
      <c r="S116" s="174">
        <v>0</v>
      </c>
      <c r="T116" s="142">
        <v>0</v>
      </c>
      <c r="U116" s="174">
        <v>0</v>
      </c>
      <c r="V116" s="174">
        <v>0</v>
      </c>
      <c r="W116" s="174">
        <v>1</v>
      </c>
      <c r="X116" s="174">
        <v>0</v>
      </c>
      <c r="Y116" s="174">
        <v>1</v>
      </c>
      <c r="Z116" s="174">
        <v>0</v>
      </c>
      <c r="AA116" s="174">
        <v>1</v>
      </c>
      <c r="AB116" s="174">
        <v>0</v>
      </c>
      <c r="AC116" s="174">
        <v>0</v>
      </c>
      <c r="AD116" s="174">
        <v>0</v>
      </c>
      <c r="AE116" s="174">
        <v>0</v>
      </c>
      <c r="AF116" s="174">
        <v>0</v>
      </c>
      <c r="AG116" s="174">
        <v>1</v>
      </c>
      <c r="AH116" s="174">
        <v>1</v>
      </c>
      <c r="AI116" s="174">
        <v>0</v>
      </c>
      <c r="AJ116" s="174">
        <v>0</v>
      </c>
      <c r="AK116" s="174">
        <v>0</v>
      </c>
      <c r="AL116" s="174">
        <v>0</v>
      </c>
      <c r="AM116" s="174">
        <v>1</v>
      </c>
      <c r="AN116" s="174">
        <v>1</v>
      </c>
      <c r="AO116" s="174">
        <v>1</v>
      </c>
      <c r="AP116" s="174">
        <v>0</v>
      </c>
      <c r="AQ116" s="174">
        <v>0</v>
      </c>
      <c r="AR116" s="174">
        <v>0</v>
      </c>
      <c r="AS116" s="174">
        <v>0</v>
      </c>
      <c r="AT116" s="174">
        <v>0</v>
      </c>
      <c r="AU116" s="174">
        <v>0</v>
      </c>
      <c r="AV116" s="174">
        <v>0</v>
      </c>
      <c r="AW116" s="174">
        <v>0</v>
      </c>
      <c r="AX116" s="174">
        <v>0</v>
      </c>
      <c r="AY116" s="174">
        <v>0</v>
      </c>
      <c r="AZ116" s="174">
        <v>0</v>
      </c>
      <c r="BA116" s="174">
        <v>0</v>
      </c>
      <c r="BB116" s="174">
        <v>0</v>
      </c>
      <c r="BC116" s="174">
        <v>0</v>
      </c>
      <c r="BD116" s="174">
        <v>0</v>
      </c>
      <c r="BE116" s="174">
        <v>0</v>
      </c>
      <c r="BF116" s="174">
        <v>0</v>
      </c>
      <c r="BG116" s="174">
        <v>0</v>
      </c>
      <c r="BH116" s="174">
        <v>0</v>
      </c>
      <c r="BI116" s="174">
        <v>0</v>
      </c>
      <c r="BJ116" s="174">
        <v>0</v>
      </c>
    </row>
    <row r="117" s="174" customFormat="1" ht="14.25" hidden="1" customHeight="1">
      <c r="E117" s="176" t="s">
        <v>669</v>
      </c>
      <c r="F117" s="111" t="s">
        <v>550</v>
      </c>
      <c r="G117" s="176" t="s">
        <v>498</v>
      </c>
      <c r="H117" s="176">
        <v>30212</v>
      </c>
      <c r="I117" s="176">
        <v>30242</v>
      </c>
      <c r="J117" s="111"/>
      <c r="K117" s="176"/>
      <c r="L117" s="174" t="s">
        <v>325</v>
      </c>
      <c r="M117" s="174">
        <v>0</v>
      </c>
      <c r="N117" s="174">
        <v>1</v>
      </c>
      <c r="O117" s="174">
        <v>0</v>
      </c>
      <c r="P117" s="142">
        <v>1</v>
      </c>
      <c r="Q117" s="174">
        <v>0</v>
      </c>
      <c r="R117" s="174">
        <v>0</v>
      </c>
      <c r="S117" s="174">
        <v>0</v>
      </c>
      <c r="T117" s="142">
        <v>0</v>
      </c>
      <c r="U117" s="174">
        <v>0</v>
      </c>
      <c r="V117" s="174">
        <v>1</v>
      </c>
      <c r="W117" s="174">
        <v>0</v>
      </c>
      <c r="X117" s="174">
        <v>0</v>
      </c>
      <c r="Y117" s="174">
        <v>0</v>
      </c>
      <c r="Z117" s="174">
        <v>1</v>
      </c>
      <c r="AA117" s="174">
        <v>1</v>
      </c>
      <c r="AB117" s="174">
        <v>0</v>
      </c>
      <c r="AC117" s="174">
        <v>0</v>
      </c>
      <c r="AD117" s="174">
        <v>0</v>
      </c>
      <c r="AE117" s="174">
        <v>1</v>
      </c>
      <c r="AF117" s="174">
        <v>1</v>
      </c>
      <c r="AG117" s="174">
        <v>1</v>
      </c>
      <c r="AH117" s="174">
        <v>1</v>
      </c>
      <c r="AI117" s="174">
        <v>1</v>
      </c>
      <c r="AJ117" s="174">
        <v>0</v>
      </c>
      <c r="AK117" s="174">
        <v>0</v>
      </c>
      <c r="AL117" s="174">
        <v>1</v>
      </c>
      <c r="AM117" s="174">
        <v>0</v>
      </c>
      <c r="AN117" s="174">
        <v>0</v>
      </c>
      <c r="AO117" s="174">
        <v>0</v>
      </c>
      <c r="AP117" s="174">
        <v>1</v>
      </c>
      <c r="AQ117" s="174">
        <v>0</v>
      </c>
      <c r="AR117" s="174">
        <v>0</v>
      </c>
      <c r="AS117" s="174">
        <v>0</v>
      </c>
      <c r="AT117" s="174">
        <v>0</v>
      </c>
      <c r="AU117" s="174">
        <v>0</v>
      </c>
      <c r="AV117" s="174">
        <v>0</v>
      </c>
      <c r="AW117" s="174">
        <v>0</v>
      </c>
      <c r="AX117" s="174">
        <v>0</v>
      </c>
      <c r="AY117" s="174">
        <v>0</v>
      </c>
      <c r="AZ117" s="174">
        <v>0</v>
      </c>
      <c r="BA117" s="174">
        <v>0</v>
      </c>
      <c r="BB117" s="174">
        <v>0</v>
      </c>
      <c r="BC117" s="174">
        <v>0</v>
      </c>
      <c r="BD117" s="174">
        <v>0</v>
      </c>
      <c r="BE117" s="174">
        <v>0</v>
      </c>
      <c r="BF117" s="174">
        <v>0</v>
      </c>
      <c r="BG117" s="174">
        <v>0</v>
      </c>
      <c r="BH117" s="174">
        <v>0</v>
      </c>
      <c r="BI117" s="174">
        <v>0</v>
      </c>
      <c r="BJ117" s="174">
        <v>0</v>
      </c>
    </row>
    <row r="118" s="174" customFormat="1" ht="14.25" hidden="1" customHeight="1">
      <c r="B118" s="188"/>
      <c r="E118" s="176" t="s">
        <v>670</v>
      </c>
      <c r="F118" s="111" t="s">
        <v>542</v>
      </c>
      <c r="G118" s="180" t="s">
        <v>498</v>
      </c>
      <c r="H118" s="180">
        <v>30741</v>
      </c>
      <c r="I118" s="180">
        <v>30752</v>
      </c>
      <c r="J118" s="111"/>
      <c r="K118" s="176"/>
      <c r="L118" s="174" t="s">
        <v>325</v>
      </c>
      <c r="M118" s="174">
        <v>1</v>
      </c>
      <c r="N118" s="174">
        <v>0</v>
      </c>
      <c r="O118" s="174">
        <v>0</v>
      </c>
      <c r="P118" s="142">
        <v>1</v>
      </c>
      <c r="Q118" s="174">
        <v>0</v>
      </c>
      <c r="R118" s="174">
        <v>0</v>
      </c>
      <c r="S118" s="174">
        <v>0</v>
      </c>
      <c r="T118" s="142">
        <v>0</v>
      </c>
      <c r="U118" s="174">
        <v>0</v>
      </c>
      <c r="V118" s="174">
        <v>1</v>
      </c>
      <c r="W118" s="174">
        <v>0</v>
      </c>
      <c r="X118" s="174">
        <v>0</v>
      </c>
      <c r="Y118" s="174">
        <v>1</v>
      </c>
      <c r="Z118" s="174">
        <v>0</v>
      </c>
      <c r="AA118" s="174">
        <v>1</v>
      </c>
      <c r="AB118" s="174">
        <v>0</v>
      </c>
      <c r="AC118" s="174">
        <v>0</v>
      </c>
      <c r="AD118" s="174">
        <v>0</v>
      </c>
      <c r="AE118" s="174">
        <v>0</v>
      </c>
      <c r="AF118" s="174">
        <v>1</v>
      </c>
      <c r="AG118" s="174">
        <v>1</v>
      </c>
      <c r="AH118" s="174">
        <v>1</v>
      </c>
      <c r="AI118" s="174">
        <v>1</v>
      </c>
      <c r="AJ118" s="174">
        <v>0</v>
      </c>
      <c r="AK118" s="174">
        <v>0</v>
      </c>
      <c r="AL118" s="174">
        <v>1</v>
      </c>
      <c r="AM118" s="174">
        <v>0</v>
      </c>
      <c r="AN118" s="174">
        <v>1</v>
      </c>
      <c r="AO118" s="174">
        <v>1</v>
      </c>
      <c r="AP118" s="174">
        <v>0</v>
      </c>
      <c r="AQ118" s="174">
        <v>0</v>
      </c>
      <c r="AR118" s="174">
        <v>0</v>
      </c>
      <c r="AS118" s="174">
        <v>0</v>
      </c>
      <c r="AT118" s="174">
        <v>0</v>
      </c>
      <c r="AU118" s="174">
        <v>0</v>
      </c>
      <c r="AV118" s="174">
        <v>0</v>
      </c>
      <c r="AW118" s="174">
        <v>0</v>
      </c>
      <c r="AX118" s="174">
        <v>0</v>
      </c>
      <c r="AY118" s="174">
        <v>0</v>
      </c>
      <c r="AZ118" s="174">
        <v>0</v>
      </c>
      <c r="BA118" s="174">
        <v>0</v>
      </c>
      <c r="BB118" s="174">
        <v>0</v>
      </c>
      <c r="BC118" s="174">
        <v>0</v>
      </c>
      <c r="BD118" s="174">
        <v>0</v>
      </c>
      <c r="BE118" s="174">
        <v>0</v>
      </c>
      <c r="BF118" s="174">
        <v>0</v>
      </c>
      <c r="BG118" s="174">
        <v>0</v>
      </c>
      <c r="BH118" s="174">
        <v>0</v>
      </c>
      <c r="BI118" s="174">
        <v>0</v>
      </c>
      <c r="BJ118" s="174">
        <v>0</v>
      </c>
    </row>
    <row r="119" s="207" customFormat="1" ht="45" hidden="1" customHeight="1">
      <c r="A119" s="137" t="s">
        <v>481</v>
      </c>
      <c r="B119" s="174" t="s">
        <v>513</v>
      </c>
      <c r="C119" s="181" t="s">
        <v>121</v>
      </c>
      <c r="D119" s="181" t="s">
        <v>17</v>
      </c>
      <c r="E119" s="232" t="s">
        <v>671</v>
      </c>
      <c r="F119" s="184" t="s">
        <v>672</v>
      </c>
      <c r="G119" s="232" t="s">
        <v>498</v>
      </c>
      <c r="H119" s="232">
        <v>8640</v>
      </c>
      <c r="I119" s="232">
        <v>8730</v>
      </c>
      <c r="J119" s="184" t="s">
        <v>657</v>
      </c>
      <c r="K119" s="183">
        <v>20</v>
      </c>
      <c r="L119" s="207" t="s">
        <v>325</v>
      </c>
      <c r="M119" s="207">
        <v>0</v>
      </c>
      <c r="N119" s="207">
        <v>0</v>
      </c>
      <c r="O119" s="207">
        <v>0</v>
      </c>
      <c r="P119" s="199">
        <v>0</v>
      </c>
      <c r="Q119" s="207">
        <v>0</v>
      </c>
      <c r="R119" s="207">
        <v>0</v>
      </c>
      <c r="S119" s="207">
        <v>0</v>
      </c>
      <c r="T119" s="199">
        <v>0</v>
      </c>
      <c r="U119" s="207">
        <v>1</v>
      </c>
      <c r="V119" s="207">
        <v>0</v>
      </c>
      <c r="W119" s="207">
        <v>1</v>
      </c>
      <c r="X119" s="207">
        <v>1</v>
      </c>
      <c r="Y119" s="207">
        <v>0</v>
      </c>
      <c r="Z119" s="207">
        <v>1</v>
      </c>
      <c r="AA119" s="207">
        <v>0</v>
      </c>
      <c r="AB119" s="207">
        <v>0</v>
      </c>
      <c r="AC119" s="207">
        <v>0</v>
      </c>
      <c r="AD119" s="207">
        <v>1</v>
      </c>
      <c r="AE119" s="207">
        <v>1</v>
      </c>
      <c r="AF119" s="207">
        <v>1</v>
      </c>
      <c r="AG119" s="207">
        <v>0</v>
      </c>
      <c r="AH119" s="207">
        <v>0</v>
      </c>
      <c r="AI119" s="207">
        <v>0</v>
      </c>
      <c r="AJ119" s="207">
        <v>0</v>
      </c>
      <c r="AK119" s="207">
        <v>1</v>
      </c>
      <c r="AL119" s="207">
        <v>1</v>
      </c>
      <c r="AM119" s="207">
        <v>1</v>
      </c>
      <c r="AN119" s="207">
        <v>0</v>
      </c>
      <c r="AO119" s="207">
        <v>1</v>
      </c>
      <c r="AP119" s="207">
        <v>0</v>
      </c>
      <c r="AQ119" s="207">
        <v>0</v>
      </c>
      <c r="AR119" s="207">
        <v>0</v>
      </c>
      <c r="AS119" s="207">
        <v>0</v>
      </c>
      <c r="AT119" s="207">
        <v>0</v>
      </c>
      <c r="AU119" s="207">
        <v>0</v>
      </c>
      <c r="AV119" s="207">
        <v>0</v>
      </c>
      <c r="AW119" s="207">
        <v>0</v>
      </c>
      <c r="AX119" s="207">
        <v>0</v>
      </c>
      <c r="AY119" s="207">
        <v>0</v>
      </c>
      <c r="AZ119" s="207">
        <v>0</v>
      </c>
      <c r="BA119" s="207">
        <v>0</v>
      </c>
      <c r="BB119" s="207">
        <v>0</v>
      </c>
      <c r="BC119" s="207">
        <v>0</v>
      </c>
      <c r="BD119" s="207">
        <v>0</v>
      </c>
      <c r="BE119" s="207">
        <v>0</v>
      </c>
      <c r="BF119" s="207">
        <v>0</v>
      </c>
      <c r="BG119" s="207">
        <v>0</v>
      </c>
      <c r="BH119" s="207">
        <v>0</v>
      </c>
      <c r="BI119" s="207">
        <v>0</v>
      </c>
      <c r="BJ119" s="207">
        <v>0</v>
      </c>
    </row>
    <row r="120" s="188" customFormat="1" ht="45" hidden="1" customHeight="1">
      <c r="C120" s="174"/>
      <c r="D120" s="174"/>
      <c r="E120" s="180" t="s">
        <v>673</v>
      </c>
      <c r="F120" s="111" t="s">
        <v>508</v>
      </c>
      <c r="G120" s="177" t="s">
        <v>498</v>
      </c>
      <c r="H120" s="177">
        <v>8910</v>
      </c>
      <c r="I120" s="177">
        <v>8928</v>
      </c>
      <c r="J120" s="111" t="s">
        <v>674</v>
      </c>
      <c r="K120" s="176"/>
      <c r="L120" s="188" t="s">
        <v>325</v>
      </c>
      <c r="M120" s="188">
        <v>0</v>
      </c>
      <c r="N120" s="188">
        <v>0</v>
      </c>
      <c r="O120" s="188">
        <v>1</v>
      </c>
      <c r="P120" s="142">
        <v>1</v>
      </c>
      <c r="T120" s="142"/>
      <c r="W120" s="188">
        <v>1</v>
      </c>
      <c r="X120" s="188">
        <v>1</v>
      </c>
      <c r="Z120" s="188">
        <v>1</v>
      </c>
      <c r="AA120" s="188">
        <v>0</v>
      </c>
      <c r="AD120" s="188">
        <v>1</v>
      </c>
      <c r="AF120" s="188">
        <v>1</v>
      </c>
      <c r="AL120" s="188">
        <v>1</v>
      </c>
      <c r="AO120" s="188">
        <v>1</v>
      </c>
    </row>
    <row r="121" s="188" customFormat="1" ht="28.399999999999999" hidden="1" customHeight="1">
      <c r="C121" s="174"/>
      <c r="D121" s="174"/>
      <c r="E121" s="197" t="s">
        <v>675</v>
      </c>
      <c r="F121" s="111" t="s">
        <v>676</v>
      </c>
      <c r="G121" s="233" t="s">
        <v>498</v>
      </c>
      <c r="H121" s="233">
        <v>12255</v>
      </c>
      <c r="I121" s="233">
        <v>12301</v>
      </c>
      <c r="J121" s="111"/>
      <c r="K121" s="176"/>
      <c r="L121" s="188" t="s">
        <v>447</v>
      </c>
      <c r="M121" s="188">
        <v>0</v>
      </c>
      <c r="N121" s="188">
        <v>0</v>
      </c>
      <c r="O121" s="188">
        <v>0</v>
      </c>
      <c r="P121" s="142">
        <v>0</v>
      </c>
      <c r="Q121" s="188">
        <v>0</v>
      </c>
      <c r="R121" s="188">
        <v>0</v>
      </c>
      <c r="S121" s="188">
        <v>0</v>
      </c>
      <c r="T121" s="142">
        <v>0</v>
      </c>
      <c r="U121" s="188">
        <v>1</v>
      </c>
      <c r="V121" s="188">
        <v>1</v>
      </c>
      <c r="W121" s="188">
        <v>0</v>
      </c>
      <c r="X121" s="188">
        <v>0</v>
      </c>
      <c r="Y121" s="188">
        <v>1</v>
      </c>
      <c r="Z121" s="188">
        <v>0</v>
      </c>
      <c r="AA121" s="188">
        <v>0</v>
      </c>
      <c r="AB121" s="188">
        <v>0</v>
      </c>
      <c r="AC121" s="188">
        <v>0</v>
      </c>
      <c r="AD121" s="188">
        <v>1</v>
      </c>
      <c r="AE121" s="188">
        <v>1</v>
      </c>
      <c r="AF121" s="188">
        <v>1</v>
      </c>
      <c r="AG121" s="188">
        <v>1</v>
      </c>
      <c r="AH121" s="188">
        <v>0</v>
      </c>
      <c r="AI121" s="188">
        <v>1</v>
      </c>
      <c r="AJ121" s="188">
        <v>1</v>
      </c>
      <c r="AK121" s="188">
        <v>0</v>
      </c>
      <c r="AL121" s="188">
        <v>1</v>
      </c>
      <c r="AM121" s="188">
        <v>1</v>
      </c>
      <c r="AN121" s="188">
        <v>0</v>
      </c>
      <c r="AO121" s="188">
        <v>0</v>
      </c>
      <c r="AP121" s="188">
        <v>1</v>
      </c>
      <c r="AQ121" s="188">
        <v>0</v>
      </c>
      <c r="AR121" s="188">
        <v>0</v>
      </c>
      <c r="AS121" s="188">
        <v>0</v>
      </c>
      <c r="AT121" s="188">
        <v>0</v>
      </c>
      <c r="AU121" s="188">
        <v>0</v>
      </c>
      <c r="AV121" s="188">
        <v>0</v>
      </c>
      <c r="AW121" s="188">
        <v>0</v>
      </c>
      <c r="AX121" s="188">
        <v>0</v>
      </c>
      <c r="AY121" s="188">
        <v>0</v>
      </c>
      <c r="AZ121" s="188">
        <v>0</v>
      </c>
      <c r="BA121" s="188">
        <v>0</v>
      </c>
      <c r="BB121" s="188">
        <v>0</v>
      </c>
      <c r="BC121" s="188">
        <v>0</v>
      </c>
      <c r="BD121" s="188">
        <v>0</v>
      </c>
      <c r="BE121" s="188">
        <v>0</v>
      </c>
      <c r="BF121" s="188">
        <v>0</v>
      </c>
      <c r="BG121" s="188">
        <v>1</v>
      </c>
      <c r="BH121" s="188">
        <v>0</v>
      </c>
      <c r="BI121" s="188">
        <v>0</v>
      </c>
      <c r="BJ121" s="188">
        <v>0</v>
      </c>
    </row>
    <row r="122" s="188" customFormat="1" ht="14.25" hidden="1" customHeight="1">
      <c r="C122" s="174"/>
      <c r="D122" s="174"/>
      <c r="E122" s="180" t="s">
        <v>677</v>
      </c>
      <c r="F122" s="111" t="s">
        <v>544</v>
      </c>
      <c r="G122" s="177" t="s">
        <v>498</v>
      </c>
      <c r="H122" s="177">
        <v>12335</v>
      </c>
      <c r="I122" s="177">
        <v>12350</v>
      </c>
      <c r="J122" s="111"/>
      <c r="K122" s="176"/>
      <c r="L122" s="188" t="s">
        <v>325</v>
      </c>
      <c r="M122" s="188">
        <v>0</v>
      </c>
      <c r="N122" s="188">
        <v>0</v>
      </c>
      <c r="O122" s="188">
        <v>1</v>
      </c>
      <c r="P122" s="142">
        <v>1</v>
      </c>
      <c r="Q122" s="188">
        <v>0</v>
      </c>
      <c r="R122" s="188">
        <v>0</v>
      </c>
      <c r="S122" s="188">
        <v>0</v>
      </c>
      <c r="T122" s="142">
        <v>0</v>
      </c>
      <c r="U122" s="188">
        <v>0</v>
      </c>
      <c r="V122" s="188">
        <v>0</v>
      </c>
      <c r="W122" s="188">
        <v>1</v>
      </c>
      <c r="X122" s="188">
        <v>1</v>
      </c>
      <c r="Y122" s="188">
        <v>0</v>
      </c>
      <c r="Z122" s="188">
        <v>1</v>
      </c>
      <c r="AA122" s="188">
        <v>1</v>
      </c>
      <c r="AB122" s="188">
        <v>0</v>
      </c>
      <c r="AC122" s="188">
        <v>0</v>
      </c>
      <c r="AD122" s="188">
        <v>0</v>
      </c>
      <c r="AE122" s="188">
        <v>0</v>
      </c>
      <c r="AF122" s="188">
        <v>1</v>
      </c>
      <c r="AG122" s="188">
        <v>0</v>
      </c>
      <c r="AH122" s="188">
        <v>0</v>
      </c>
      <c r="AI122" s="188">
        <v>1</v>
      </c>
      <c r="AJ122" s="188">
        <v>0</v>
      </c>
      <c r="AK122" s="188">
        <v>0</v>
      </c>
      <c r="AL122" s="188">
        <v>1</v>
      </c>
      <c r="AM122" s="188">
        <v>0</v>
      </c>
      <c r="AN122" s="188">
        <v>0</v>
      </c>
      <c r="AO122" s="188">
        <v>1</v>
      </c>
      <c r="AP122" s="188">
        <v>0</v>
      </c>
      <c r="AQ122" s="188">
        <v>0</v>
      </c>
      <c r="AR122" s="188">
        <v>0</v>
      </c>
      <c r="AS122" s="188">
        <v>0</v>
      </c>
      <c r="AT122" s="188">
        <v>0</v>
      </c>
      <c r="AU122" s="188">
        <v>0</v>
      </c>
      <c r="AV122" s="188">
        <v>0</v>
      </c>
      <c r="AW122" s="188">
        <v>0</v>
      </c>
      <c r="AX122" s="188">
        <v>0</v>
      </c>
      <c r="AY122" s="188">
        <v>0</v>
      </c>
      <c r="AZ122" s="188">
        <v>0</v>
      </c>
      <c r="BA122" s="188">
        <v>0</v>
      </c>
      <c r="BB122" s="188">
        <v>0</v>
      </c>
      <c r="BC122" s="188">
        <v>0</v>
      </c>
      <c r="BD122" s="188">
        <v>0</v>
      </c>
      <c r="BE122" s="188">
        <v>0</v>
      </c>
      <c r="BF122" s="188">
        <v>0</v>
      </c>
      <c r="BG122" s="188">
        <v>0</v>
      </c>
      <c r="BH122" s="188">
        <v>0</v>
      </c>
      <c r="BI122" s="188">
        <v>0</v>
      </c>
      <c r="BJ122" s="188">
        <v>0</v>
      </c>
    </row>
    <row r="123" s="188" customFormat="1" ht="41.75" hidden="1" customHeight="1">
      <c r="C123" s="174"/>
      <c r="D123" s="174"/>
      <c r="E123" s="180" t="s">
        <v>678</v>
      </c>
      <c r="F123" s="111" t="s">
        <v>550</v>
      </c>
      <c r="G123" s="177" t="s">
        <v>498</v>
      </c>
      <c r="H123" s="177">
        <v>12450</v>
      </c>
      <c r="I123" s="177">
        <v>12480</v>
      </c>
      <c r="J123" s="111"/>
      <c r="K123" s="176"/>
      <c r="L123" s="188" t="s">
        <v>325</v>
      </c>
      <c r="M123" s="188">
        <v>1</v>
      </c>
      <c r="N123" s="188">
        <v>0</v>
      </c>
      <c r="O123" s="188">
        <v>0</v>
      </c>
      <c r="P123" s="142">
        <v>1</v>
      </c>
      <c r="Q123" s="188">
        <v>0</v>
      </c>
      <c r="R123" s="188">
        <v>0</v>
      </c>
      <c r="S123" s="188">
        <v>0</v>
      </c>
      <c r="T123" s="142">
        <v>0</v>
      </c>
      <c r="U123" s="188">
        <v>0</v>
      </c>
      <c r="V123" s="188">
        <v>0</v>
      </c>
      <c r="W123" s="188">
        <v>1</v>
      </c>
      <c r="X123" s="188">
        <v>0</v>
      </c>
      <c r="Y123" s="188">
        <v>0</v>
      </c>
      <c r="Z123" s="188">
        <v>1</v>
      </c>
      <c r="AA123" s="188">
        <v>1</v>
      </c>
      <c r="AB123" s="188">
        <v>0</v>
      </c>
      <c r="AC123" s="188">
        <v>0</v>
      </c>
      <c r="AD123" s="188">
        <v>0</v>
      </c>
      <c r="AE123" s="188">
        <v>1</v>
      </c>
      <c r="AF123" s="188">
        <v>1</v>
      </c>
      <c r="AG123" s="188">
        <v>1</v>
      </c>
      <c r="AH123" s="188">
        <v>0</v>
      </c>
      <c r="AI123" s="188">
        <v>1</v>
      </c>
      <c r="AJ123" s="188">
        <v>1</v>
      </c>
      <c r="AK123" s="188">
        <v>0</v>
      </c>
      <c r="AL123" s="188">
        <v>1</v>
      </c>
      <c r="AM123" s="188">
        <v>0</v>
      </c>
      <c r="AN123" s="188">
        <v>0</v>
      </c>
      <c r="AO123" s="188">
        <v>0</v>
      </c>
      <c r="AP123" s="188">
        <v>1</v>
      </c>
      <c r="AQ123" s="188">
        <v>0</v>
      </c>
      <c r="AR123" s="188">
        <v>0</v>
      </c>
      <c r="AS123" s="188">
        <v>0</v>
      </c>
      <c r="AT123" s="188">
        <v>0</v>
      </c>
      <c r="AU123" s="188">
        <v>0</v>
      </c>
      <c r="AV123" s="188">
        <v>0</v>
      </c>
      <c r="AW123" s="188">
        <v>0</v>
      </c>
      <c r="AX123" s="188">
        <v>0</v>
      </c>
      <c r="AY123" s="188">
        <v>0</v>
      </c>
      <c r="AZ123" s="188">
        <v>0</v>
      </c>
      <c r="BA123" s="188">
        <v>0</v>
      </c>
      <c r="BB123" s="188">
        <v>0</v>
      </c>
      <c r="BC123" s="188">
        <v>0</v>
      </c>
      <c r="BD123" s="188">
        <v>0</v>
      </c>
      <c r="BE123" s="188">
        <v>0</v>
      </c>
      <c r="BF123" s="188">
        <v>0</v>
      </c>
      <c r="BG123" s="188">
        <v>0</v>
      </c>
      <c r="BH123" s="188">
        <v>0</v>
      </c>
      <c r="BI123" s="188">
        <v>0</v>
      </c>
      <c r="BJ123" s="188">
        <v>0</v>
      </c>
    </row>
    <row r="124" s="188" customFormat="1" ht="28.399999999999999" hidden="1" customHeight="1">
      <c r="C124" s="174"/>
      <c r="D124" s="174"/>
      <c r="E124" s="180" t="s">
        <v>679</v>
      </c>
      <c r="F124" s="111" t="s">
        <v>680</v>
      </c>
      <c r="G124" s="177" t="s">
        <v>498</v>
      </c>
      <c r="H124" s="177">
        <v>16850</v>
      </c>
      <c r="I124" s="177">
        <v>16950</v>
      </c>
      <c r="J124" s="111"/>
      <c r="K124" s="176"/>
      <c r="L124" s="188" t="s">
        <v>325</v>
      </c>
      <c r="M124" s="188">
        <v>1</v>
      </c>
      <c r="N124" s="188">
        <v>0</v>
      </c>
      <c r="O124" s="188">
        <v>0</v>
      </c>
      <c r="P124" s="142">
        <v>1</v>
      </c>
      <c r="Q124" s="188">
        <v>0</v>
      </c>
      <c r="R124" s="188">
        <v>0</v>
      </c>
      <c r="S124" s="188">
        <v>0</v>
      </c>
      <c r="T124" s="142">
        <v>0</v>
      </c>
      <c r="U124" s="188">
        <v>0</v>
      </c>
      <c r="V124" s="188">
        <v>0</v>
      </c>
      <c r="W124" s="188">
        <v>1</v>
      </c>
      <c r="X124" s="188">
        <v>1</v>
      </c>
      <c r="Y124" s="188">
        <v>0</v>
      </c>
      <c r="Z124" s="188">
        <v>1</v>
      </c>
      <c r="AA124" s="188">
        <v>1</v>
      </c>
      <c r="AB124" s="188">
        <v>0</v>
      </c>
      <c r="AC124" s="188">
        <v>0</v>
      </c>
      <c r="AD124" s="188">
        <v>0</v>
      </c>
      <c r="AE124" s="188">
        <v>1</v>
      </c>
      <c r="AF124" s="188">
        <v>1</v>
      </c>
      <c r="AG124" s="188">
        <v>1</v>
      </c>
      <c r="AH124" s="188">
        <v>0</v>
      </c>
      <c r="AI124" s="188">
        <v>1</v>
      </c>
      <c r="AJ124" s="188">
        <v>1</v>
      </c>
      <c r="AK124" s="188">
        <v>0</v>
      </c>
      <c r="AL124" s="188">
        <v>1</v>
      </c>
      <c r="AM124" s="188">
        <v>0</v>
      </c>
      <c r="AN124" s="188">
        <v>0</v>
      </c>
      <c r="AO124" s="188">
        <v>0</v>
      </c>
      <c r="AP124" s="188">
        <v>1</v>
      </c>
      <c r="AQ124" s="188">
        <v>0</v>
      </c>
      <c r="AR124" s="188">
        <v>0</v>
      </c>
      <c r="AS124" s="188">
        <v>0</v>
      </c>
      <c r="AT124" s="188">
        <v>0</v>
      </c>
      <c r="AU124" s="188">
        <v>0</v>
      </c>
      <c r="AV124" s="188">
        <v>0</v>
      </c>
      <c r="AW124" s="188">
        <v>0</v>
      </c>
      <c r="AX124" s="188">
        <v>0</v>
      </c>
      <c r="AY124" s="188">
        <v>0</v>
      </c>
      <c r="AZ124" s="188">
        <v>0</v>
      </c>
      <c r="BA124" s="188">
        <v>0</v>
      </c>
      <c r="BB124" s="188">
        <v>0</v>
      </c>
      <c r="BC124" s="188">
        <v>0</v>
      </c>
      <c r="BD124" s="188">
        <v>0</v>
      </c>
      <c r="BE124" s="188">
        <v>0</v>
      </c>
      <c r="BF124" s="188">
        <v>0</v>
      </c>
      <c r="BG124" s="188">
        <v>1</v>
      </c>
      <c r="BH124" s="188">
        <v>0</v>
      </c>
      <c r="BI124" s="188">
        <v>0</v>
      </c>
      <c r="BJ124" s="188">
        <v>0</v>
      </c>
    </row>
    <row r="125" s="162" customFormat="1" ht="68.650000000000006" hidden="1" customHeight="1">
      <c r="A125" s="247" t="s">
        <v>681</v>
      </c>
      <c r="C125" s="142"/>
      <c r="D125" s="142" t="s">
        <v>66</v>
      </c>
      <c r="E125" s="197" t="s">
        <v>682</v>
      </c>
      <c r="F125" s="196" t="s">
        <v>683</v>
      </c>
      <c r="G125" s="233" t="s">
        <v>498</v>
      </c>
      <c r="H125" s="233">
        <v>17130</v>
      </c>
      <c r="I125" s="233">
        <v>17233</v>
      </c>
      <c r="J125" s="196" t="s">
        <v>657</v>
      </c>
      <c r="K125" s="196"/>
      <c r="L125" s="142" t="s">
        <v>66</v>
      </c>
      <c r="M125" s="162">
        <v>0</v>
      </c>
      <c r="N125" s="162">
        <v>0</v>
      </c>
      <c r="O125" s="162">
        <v>0</v>
      </c>
      <c r="P125" s="142">
        <v>0</v>
      </c>
      <c r="Q125" s="162">
        <v>0</v>
      </c>
      <c r="R125" s="162">
        <v>0</v>
      </c>
      <c r="S125" s="162">
        <v>0</v>
      </c>
      <c r="T125" s="142">
        <v>1</v>
      </c>
      <c r="U125" s="162">
        <v>0</v>
      </c>
      <c r="V125" s="162">
        <v>1</v>
      </c>
      <c r="W125" s="162">
        <v>0</v>
      </c>
      <c r="X125" s="162">
        <v>0</v>
      </c>
      <c r="Y125" s="162">
        <v>1</v>
      </c>
      <c r="Z125" s="162">
        <v>0</v>
      </c>
      <c r="AA125" s="162">
        <v>0</v>
      </c>
      <c r="AB125" s="162">
        <v>1</v>
      </c>
      <c r="AC125" s="162">
        <v>0</v>
      </c>
      <c r="AD125" s="162">
        <v>0</v>
      </c>
      <c r="AE125" s="162">
        <v>1</v>
      </c>
      <c r="AF125" s="162">
        <v>1</v>
      </c>
      <c r="AG125" s="162">
        <v>1</v>
      </c>
      <c r="AH125" s="162">
        <v>1</v>
      </c>
      <c r="AI125" s="162">
        <v>0</v>
      </c>
      <c r="AJ125" s="162">
        <v>1</v>
      </c>
      <c r="AK125" s="162">
        <v>0</v>
      </c>
      <c r="AL125" s="162">
        <v>1</v>
      </c>
      <c r="AM125" s="162">
        <v>1</v>
      </c>
      <c r="AN125" s="162">
        <v>1</v>
      </c>
      <c r="AO125" s="162">
        <v>0</v>
      </c>
      <c r="AP125" s="162">
        <v>1</v>
      </c>
      <c r="AQ125" s="162">
        <v>0</v>
      </c>
      <c r="AR125" s="162">
        <v>0</v>
      </c>
      <c r="AS125" s="162">
        <v>0</v>
      </c>
      <c r="AT125" s="162">
        <v>0</v>
      </c>
      <c r="AU125" s="162">
        <v>0</v>
      </c>
      <c r="AV125" s="162">
        <v>0</v>
      </c>
      <c r="AW125" s="162">
        <v>0</v>
      </c>
      <c r="AX125" s="162">
        <v>0</v>
      </c>
      <c r="AY125" s="162">
        <v>0</v>
      </c>
      <c r="AZ125" s="162">
        <v>0</v>
      </c>
      <c r="BA125" s="162">
        <v>0</v>
      </c>
      <c r="BB125" s="162">
        <v>0</v>
      </c>
      <c r="BC125" s="162">
        <v>0</v>
      </c>
      <c r="BD125" s="162">
        <v>0</v>
      </c>
      <c r="BE125" s="162">
        <v>0</v>
      </c>
      <c r="BF125" s="162">
        <v>0</v>
      </c>
      <c r="BG125" s="162">
        <v>1</v>
      </c>
      <c r="BH125" s="162">
        <v>0</v>
      </c>
      <c r="BI125" s="162">
        <v>1</v>
      </c>
      <c r="BJ125" s="162">
        <v>0</v>
      </c>
    </row>
    <row r="126" s="188" customFormat="1" ht="28.399999999999999" hidden="1" customHeight="1">
      <c r="C126" s="174"/>
      <c r="D126" s="174"/>
      <c r="E126" s="180" t="s">
        <v>684</v>
      </c>
      <c r="F126" s="176" t="s">
        <v>485</v>
      </c>
      <c r="G126" s="177" t="s">
        <v>498</v>
      </c>
      <c r="H126" s="177">
        <v>17340</v>
      </c>
      <c r="I126" s="177">
        <v>17400</v>
      </c>
      <c r="J126" s="176"/>
      <c r="K126" s="176"/>
      <c r="L126" s="188" t="s">
        <v>325</v>
      </c>
      <c r="M126" s="188">
        <v>0</v>
      </c>
      <c r="N126" s="188">
        <v>1</v>
      </c>
      <c r="O126" s="188">
        <v>0</v>
      </c>
      <c r="P126" s="174">
        <v>1</v>
      </c>
      <c r="Q126" s="188">
        <v>0</v>
      </c>
      <c r="R126" s="188">
        <v>0</v>
      </c>
      <c r="S126" s="188">
        <v>0</v>
      </c>
      <c r="T126" s="174">
        <v>0</v>
      </c>
      <c r="U126" s="188">
        <v>0</v>
      </c>
      <c r="V126" s="188">
        <v>1</v>
      </c>
      <c r="W126" s="188">
        <v>0</v>
      </c>
      <c r="X126" s="188">
        <v>1</v>
      </c>
      <c r="Y126" s="188">
        <v>0</v>
      </c>
      <c r="Z126" s="188">
        <v>1</v>
      </c>
      <c r="AA126" s="188">
        <v>1</v>
      </c>
      <c r="AB126" s="188">
        <v>0</v>
      </c>
      <c r="AC126" s="188">
        <v>0</v>
      </c>
      <c r="AD126" s="188">
        <v>0</v>
      </c>
      <c r="AE126" s="188">
        <v>1</v>
      </c>
      <c r="AF126" s="188">
        <v>1</v>
      </c>
      <c r="AG126" s="188">
        <v>1</v>
      </c>
      <c r="AH126" s="188">
        <v>0</v>
      </c>
      <c r="AI126" s="188">
        <v>1</v>
      </c>
      <c r="AJ126" s="188">
        <v>1</v>
      </c>
      <c r="AK126" s="188">
        <v>0</v>
      </c>
      <c r="AL126" s="188">
        <v>1</v>
      </c>
      <c r="AM126" s="188">
        <v>1</v>
      </c>
      <c r="AN126" s="188">
        <v>1</v>
      </c>
      <c r="AO126" s="188">
        <v>0</v>
      </c>
      <c r="AP126" s="188">
        <v>1</v>
      </c>
      <c r="AQ126" s="188">
        <v>0</v>
      </c>
      <c r="AR126" s="188">
        <v>0</v>
      </c>
      <c r="AS126" s="188">
        <v>0</v>
      </c>
      <c r="AT126" s="188">
        <v>0</v>
      </c>
      <c r="AU126" s="188">
        <v>0</v>
      </c>
      <c r="AV126" s="188">
        <v>0</v>
      </c>
      <c r="AW126" s="188">
        <v>0</v>
      </c>
      <c r="AX126" s="188">
        <v>0</v>
      </c>
      <c r="AY126" s="188">
        <v>0</v>
      </c>
      <c r="AZ126" s="188">
        <v>0</v>
      </c>
      <c r="BA126" s="188">
        <v>0</v>
      </c>
      <c r="BB126" s="188">
        <v>0</v>
      </c>
      <c r="BC126" s="188">
        <v>0</v>
      </c>
      <c r="BD126" s="188">
        <v>0</v>
      </c>
      <c r="BE126" s="188">
        <v>0</v>
      </c>
      <c r="BF126" s="188">
        <v>0</v>
      </c>
      <c r="BG126" s="188">
        <v>0</v>
      </c>
      <c r="BH126" s="188">
        <v>0</v>
      </c>
      <c r="BI126" s="188">
        <v>0</v>
      </c>
      <c r="BJ126" s="188">
        <v>0</v>
      </c>
    </row>
    <row r="127" s="188" customFormat="1" ht="14.25" hidden="1" customHeight="1">
      <c r="C127" s="174"/>
      <c r="D127" s="174"/>
      <c r="E127" s="248" t="s">
        <v>685</v>
      </c>
      <c r="F127" s="176" t="s">
        <v>485</v>
      </c>
      <c r="G127" s="249" t="s">
        <v>498</v>
      </c>
      <c r="H127" s="249">
        <v>17412</v>
      </c>
      <c r="I127" s="249">
        <v>17472</v>
      </c>
      <c r="J127" s="176"/>
      <c r="K127" s="176"/>
      <c r="L127" s="188" t="s">
        <v>325</v>
      </c>
      <c r="N127" s="188">
        <v>1</v>
      </c>
      <c r="P127" s="174">
        <v>1</v>
      </c>
      <c r="T127" s="174"/>
      <c r="V127" s="188">
        <v>1</v>
      </c>
      <c r="Z127" s="188">
        <v>1</v>
      </c>
      <c r="AA127" s="188">
        <v>1</v>
      </c>
      <c r="AE127" s="188">
        <v>1</v>
      </c>
      <c r="AF127" s="188">
        <v>1</v>
      </c>
      <c r="AG127" s="188">
        <v>1</v>
      </c>
      <c r="AJ127" s="188">
        <v>1</v>
      </c>
      <c r="AL127" s="188">
        <v>1</v>
      </c>
      <c r="AM127" s="188">
        <v>1</v>
      </c>
      <c r="AN127" s="188">
        <v>1</v>
      </c>
      <c r="AP127" s="188">
        <v>1</v>
      </c>
    </row>
    <row r="128" s="188" customFormat="1" ht="41.75" hidden="1" customHeight="1">
      <c r="C128" s="174"/>
      <c r="D128" s="174"/>
      <c r="E128" s="180" t="s">
        <v>686</v>
      </c>
      <c r="F128" s="111" t="s">
        <v>687</v>
      </c>
      <c r="G128" s="177" t="s">
        <v>498</v>
      </c>
      <c r="H128" s="177">
        <v>17601</v>
      </c>
      <c r="I128" s="177">
        <v>17700</v>
      </c>
      <c r="J128" s="111"/>
      <c r="K128" s="176"/>
      <c r="L128" s="188" t="s">
        <v>325</v>
      </c>
      <c r="M128" s="188">
        <v>0</v>
      </c>
      <c r="N128" s="188">
        <v>0</v>
      </c>
      <c r="O128" s="188">
        <v>0</v>
      </c>
      <c r="P128" s="142">
        <v>0</v>
      </c>
      <c r="Q128" s="188">
        <v>0</v>
      </c>
      <c r="R128" s="188">
        <v>0</v>
      </c>
      <c r="S128" s="188">
        <v>0</v>
      </c>
      <c r="T128" s="142">
        <v>0</v>
      </c>
      <c r="U128" s="188">
        <v>1</v>
      </c>
      <c r="V128" s="188">
        <v>0</v>
      </c>
      <c r="W128" s="188">
        <v>1</v>
      </c>
      <c r="X128" s="188">
        <v>1</v>
      </c>
      <c r="Y128" s="188">
        <v>0</v>
      </c>
      <c r="Z128" s="188">
        <v>1</v>
      </c>
      <c r="AA128" s="188">
        <v>1</v>
      </c>
      <c r="AB128" s="188">
        <v>0</v>
      </c>
      <c r="AC128" s="188">
        <v>0</v>
      </c>
      <c r="AD128" s="188">
        <v>1</v>
      </c>
      <c r="AE128" s="188">
        <v>1</v>
      </c>
      <c r="AF128" s="188">
        <v>1</v>
      </c>
      <c r="AG128" s="188">
        <v>1</v>
      </c>
      <c r="AH128" s="188">
        <v>1</v>
      </c>
      <c r="AI128" s="188">
        <v>0</v>
      </c>
      <c r="AJ128" s="188">
        <v>1</v>
      </c>
      <c r="AK128" s="188">
        <v>0</v>
      </c>
      <c r="AL128" s="188">
        <v>1</v>
      </c>
      <c r="AM128" s="188">
        <v>1</v>
      </c>
      <c r="AN128" s="188">
        <v>0</v>
      </c>
      <c r="AO128" s="188">
        <v>0</v>
      </c>
      <c r="AP128" s="188">
        <v>1</v>
      </c>
      <c r="AQ128" s="188">
        <v>0</v>
      </c>
      <c r="AR128" s="188">
        <v>0</v>
      </c>
      <c r="AS128" s="188">
        <v>0</v>
      </c>
      <c r="AT128" s="188">
        <v>0</v>
      </c>
      <c r="AU128" s="188">
        <v>0</v>
      </c>
      <c r="AV128" s="188">
        <v>0</v>
      </c>
      <c r="AW128" s="188">
        <v>0</v>
      </c>
      <c r="AX128" s="188">
        <v>0</v>
      </c>
      <c r="AY128" s="188">
        <v>0</v>
      </c>
      <c r="AZ128" s="188">
        <v>0</v>
      </c>
      <c r="BA128" s="188">
        <v>0</v>
      </c>
      <c r="BB128" s="188">
        <v>0</v>
      </c>
      <c r="BC128" s="188">
        <v>0</v>
      </c>
      <c r="BD128" s="188">
        <v>0</v>
      </c>
      <c r="BE128" s="188">
        <v>0</v>
      </c>
      <c r="BF128" s="188">
        <v>0</v>
      </c>
      <c r="BG128" s="188">
        <v>0</v>
      </c>
      <c r="BH128" s="188">
        <v>0</v>
      </c>
      <c r="BI128" s="188">
        <v>0</v>
      </c>
      <c r="BJ128" s="188">
        <v>0</v>
      </c>
    </row>
    <row r="129" s="188" customFormat="1" ht="14.25" hidden="1" customHeight="1">
      <c r="C129" s="174"/>
      <c r="D129" s="174"/>
      <c r="E129" s="180" t="s">
        <v>688</v>
      </c>
      <c r="F129" s="111" t="s">
        <v>689</v>
      </c>
      <c r="G129" s="177" t="s">
        <v>498</v>
      </c>
      <c r="H129" s="177">
        <v>21885</v>
      </c>
      <c r="I129" s="177">
        <v>21930</v>
      </c>
      <c r="J129" s="111"/>
      <c r="K129" s="176"/>
      <c r="L129" s="188" t="s">
        <v>325</v>
      </c>
      <c r="M129" s="188">
        <v>0</v>
      </c>
      <c r="N129" s="188">
        <v>0</v>
      </c>
      <c r="O129" s="188">
        <v>1</v>
      </c>
      <c r="P129" s="142">
        <v>1</v>
      </c>
      <c r="Q129" s="188">
        <v>0</v>
      </c>
      <c r="R129" s="188">
        <v>0</v>
      </c>
      <c r="S129" s="188">
        <v>0</v>
      </c>
      <c r="T129" s="142">
        <v>0</v>
      </c>
      <c r="U129" s="188">
        <v>0</v>
      </c>
      <c r="V129" s="188">
        <v>1</v>
      </c>
      <c r="W129" s="188">
        <v>0</v>
      </c>
      <c r="X129" s="188">
        <v>1</v>
      </c>
      <c r="Y129" s="188">
        <v>0</v>
      </c>
      <c r="Z129" s="188">
        <v>1</v>
      </c>
      <c r="AA129" s="188">
        <v>1</v>
      </c>
      <c r="AB129" s="188">
        <v>0</v>
      </c>
      <c r="AC129" s="188">
        <v>0</v>
      </c>
      <c r="AD129" s="188">
        <v>0</v>
      </c>
      <c r="AE129" s="188">
        <v>0</v>
      </c>
      <c r="AF129" s="188">
        <v>1</v>
      </c>
      <c r="AG129" s="188">
        <v>1</v>
      </c>
      <c r="AH129" s="188">
        <v>0</v>
      </c>
      <c r="AI129" s="188">
        <v>0</v>
      </c>
      <c r="AJ129" s="188">
        <v>1</v>
      </c>
      <c r="AK129" s="188">
        <v>0</v>
      </c>
      <c r="AL129" s="188">
        <v>1</v>
      </c>
      <c r="AM129" s="188">
        <v>0</v>
      </c>
      <c r="AN129" s="188">
        <v>1</v>
      </c>
      <c r="AO129" s="188">
        <v>0</v>
      </c>
      <c r="AP129" s="188">
        <v>1</v>
      </c>
      <c r="AQ129" s="188">
        <v>0</v>
      </c>
      <c r="AR129" s="188">
        <v>0</v>
      </c>
      <c r="AS129" s="188">
        <v>0</v>
      </c>
      <c r="AT129" s="188">
        <v>0</v>
      </c>
      <c r="AU129" s="188">
        <v>0</v>
      </c>
      <c r="AV129" s="188">
        <v>0</v>
      </c>
      <c r="AW129" s="188">
        <v>0</v>
      </c>
      <c r="AX129" s="188">
        <v>0</v>
      </c>
      <c r="AY129" s="188">
        <v>0</v>
      </c>
      <c r="AZ129" s="188">
        <v>0</v>
      </c>
      <c r="BA129" s="188">
        <v>0</v>
      </c>
      <c r="BB129" s="188">
        <v>0</v>
      </c>
      <c r="BC129" s="188">
        <v>0</v>
      </c>
      <c r="BD129" s="188">
        <v>0</v>
      </c>
      <c r="BE129" s="188">
        <v>0</v>
      </c>
      <c r="BF129" s="188">
        <v>0</v>
      </c>
      <c r="BG129" s="188">
        <v>0</v>
      </c>
      <c r="BH129" s="188">
        <v>0</v>
      </c>
      <c r="BI129" s="188">
        <v>0</v>
      </c>
      <c r="BJ129" s="188">
        <v>0</v>
      </c>
    </row>
    <row r="130" s="188" customFormat="1" ht="28.399999999999999" hidden="1" customHeight="1">
      <c r="C130" s="174"/>
      <c r="D130" s="174"/>
      <c r="E130" s="180" t="s">
        <v>690</v>
      </c>
      <c r="F130" s="111" t="s">
        <v>550</v>
      </c>
      <c r="G130" s="177" t="s">
        <v>498</v>
      </c>
      <c r="H130" s="177">
        <v>22530</v>
      </c>
      <c r="I130" s="177">
        <v>22560</v>
      </c>
      <c r="J130" s="111"/>
      <c r="K130" s="176"/>
      <c r="L130" s="188" t="s">
        <v>325</v>
      </c>
      <c r="M130" s="188">
        <v>1</v>
      </c>
      <c r="N130" s="188">
        <v>0</v>
      </c>
      <c r="O130" s="188">
        <v>0</v>
      </c>
      <c r="P130" s="142">
        <v>1</v>
      </c>
      <c r="Q130" s="188">
        <v>0</v>
      </c>
      <c r="R130" s="188">
        <v>0</v>
      </c>
      <c r="S130" s="188">
        <v>0</v>
      </c>
      <c r="T130" s="142">
        <v>0</v>
      </c>
      <c r="U130" s="188">
        <v>0</v>
      </c>
      <c r="V130" s="188">
        <v>0</v>
      </c>
      <c r="W130" s="188">
        <v>1</v>
      </c>
      <c r="X130" s="188">
        <v>0</v>
      </c>
      <c r="Y130" s="188">
        <v>1</v>
      </c>
      <c r="Z130" s="188">
        <v>0</v>
      </c>
      <c r="AA130" s="188">
        <v>1</v>
      </c>
      <c r="AB130" s="188">
        <v>0</v>
      </c>
      <c r="AC130" s="188">
        <v>0</v>
      </c>
      <c r="AD130" s="188">
        <v>0</v>
      </c>
      <c r="AE130" s="188">
        <v>1</v>
      </c>
      <c r="AF130" s="188">
        <v>1</v>
      </c>
      <c r="AG130" s="188">
        <v>1</v>
      </c>
      <c r="AH130" s="188">
        <v>0</v>
      </c>
      <c r="AI130" s="188">
        <v>0</v>
      </c>
      <c r="AJ130" s="188">
        <v>0</v>
      </c>
      <c r="AK130" s="188">
        <v>0</v>
      </c>
      <c r="AL130" s="188">
        <v>0</v>
      </c>
      <c r="AM130" s="188">
        <v>1</v>
      </c>
      <c r="AN130" s="188">
        <v>1</v>
      </c>
      <c r="AO130" s="188">
        <v>1</v>
      </c>
      <c r="AP130" s="188">
        <v>0</v>
      </c>
      <c r="AQ130" s="188">
        <v>0</v>
      </c>
      <c r="AR130" s="188">
        <v>0</v>
      </c>
      <c r="AS130" s="188">
        <v>0</v>
      </c>
      <c r="AT130" s="188">
        <v>0</v>
      </c>
      <c r="AU130" s="188">
        <v>0</v>
      </c>
      <c r="AV130" s="188">
        <v>0</v>
      </c>
      <c r="AW130" s="188">
        <v>0</v>
      </c>
      <c r="AX130" s="188">
        <v>0</v>
      </c>
      <c r="AY130" s="188">
        <v>0</v>
      </c>
      <c r="AZ130" s="188">
        <v>0</v>
      </c>
      <c r="BA130" s="188">
        <v>0</v>
      </c>
      <c r="BB130" s="188">
        <v>0</v>
      </c>
      <c r="BC130" s="188">
        <v>0</v>
      </c>
      <c r="BD130" s="188">
        <v>0</v>
      </c>
      <c r="BE130" s="188">
        <v>0</v>
      </c>
      <c r="BF130" s="188">
        <v>0</v>
      </c>
      <c r="BG130" s="188">
        <v>0</v>
      </c>
      <c r="BH130" s="188">
        <v>0</v>
      </c>
      <c r="BI130" s="188">
        <v>0</v>
      </c>
      <c r="BJ130" s="188">
        <v>0</v>
      </c>
    </row>
    <row r="131" s="188" customFormat="1" ht="28.399999999999999" hidden="1" customHeight="1">
      <c r="C131" s="174"/>
      <c r="D131" s="174"/>
      <c r="E131" s="180" t="s">
        <v>691</v>
      </c>
      <c r="F131" s="111" t="s">
        <v>692</v>
      </c>
      <c r="G131" s="177" t="s">
        <v>498</v>
      </c>
      <c r="H131" s="177">
        <v>22608</v>
      </c>
      <c r="I131" s="177">
        <v>22656</v>
      </c>
      <c r="J131" s="111"/>
      <c r="K131" s="176"/>
      <c r="L131" s="188" t="s">
        <v>66</v>
      </c>
      <c r="M131" s="188">
        <v>1</v>
      </c>
      <c r="N131" s="188">
        <v>0</v>
      </c>
      <c r="O131" s="188">
        <v>0</v>
      </c>
      <c r="P131" s="142">
        <v>1</v>
      </c>
      <c r="Q131" s="188">
        <v>0</v>
      </c>
      <c r="R131" s="188">
        <v>0</v>
      </c>
      <c r="S131" s="188">
        <v>0</v>
      </c>
      <c r="T131" s="142">
        <v>0</v>
      </c>
      <c r="U131" s="188">
        <v>0</v>
      </c>
      <c r="V131" s="188">
        <v>0</v>
      </c>
      <c r="W131" s="188">
        <v>1</v>
      </c>
      <c r="X131" s="188">
        <v>0</v>
      </c>
      <c r="Y131" s="188">
        <v>0</v>
      </c>
      <c r="Z131" s="188">
        <v>1</v>
      </c>
      <c r="AA131" s="188">
        <v>1</v>
      </c>
      <c r="AB131" s="188">
        <v>0</v>
      </c>
      <c r="AC131" s="188">
        <v>0</v>
      </c>
      <c r="AD131" s="188">
        <v>0</v>
      </c>
      <c r="AE131" s="188">
        <v>0</v>
      </c>
      <c r="AF131" s="188">
        <v>1</v>
      </c>
      <c r="AG131" s="188">
        <v>1</v>
      </c>
      <c r="AH131" s="188">
        <v>0</v>
      </c>
      <c r="AI131" s="188">
        <v>0</v>
      </c>
      <c r="AJ131" s="188">
        <v>0</v>
      </c>
      <c r="AK131" s="188">
        <v>0</v>
      </c>
      <c r="AL131" s="188">
        <v>1</v>
      </c>
      <c r="AM131" s="188">
        <v>0</v>
      </c>
      <c r="AN131" s="188">
        <v>0</v>
      </c>
      <c r="AO131" s="188">
        <v>1</v>
      </c>
      <c r="AP131" s="188">
        <v>0</v>
      </c>
      <c r="AQ131" s="188">
        <v>0</v>
      </c>
      <c r="AR131" s="188">
        <v>0</v>
      </c>
      <c r="AS131" s="188">
        <v>0</v>
      </c>
      <c r="AT131" s="188">
        <v>0</v>
      </c>
      <c r="AU131" s="188">
        <v>0</v>
      </c>
      <c r="AV131" s="188">
        <v>0</v>
      </c>
      <c r="AW131" s="188">
        <v>0</v>
      </c>
      <c r="AX131" s="188">
        <v>0</v>
      </c>
      <c r="AY131" s="188">
        <v>0</v>
      </c>
      <c r="AZ131" s="188">
        <v>0</v>
      </c>
      <c r="BA131" s="188">
        <v>0</v>
      </c>
      <c r="BB131" s="188">
        <v>0</v>
      </c>
      <c r="BC131" s="188">
        <v>0</v>
      </c>
      <c r="BD131" s="188">
        <v>0</v>
      </c>
      <c r="BE131" s="188">
        <v>0</v>
      </c>
      <c r="BF131" s="188">
        <v>1</v>
      </c>
      <c r="BG131" s="188">
        <v>0</v>
      </c>
      <c r="BH131" s="188">
        <v>0</v>
      </c>
      <c r="BI131" s="188">
        <v>1</v>
      </c>
      <c r="BJ131" s="188">
        <v>0</v>
      </c>
    </row>
    <row r="132" s="188" customFormat="1" ht="55.25" hidden="1" customHeight="1">
      <c r="C132" s="174"/>
      <c r="D132" s="174"/>
      <c r="E132" s="180" t="s">
        <v>693</v>
      </c>
      <c r="F132" s="111" t="s">
        <v>521</v>
      </c>
      <c r="G132" s="177" t="s">
        <v>498</v>
      </c>
      <c r="H132" s="177">
        <v>22680</v>
      </c>
      <c r="I132" s="177">
        <v>22800</v>
      </c>
      <c r="J132" s="111"/>
      <c r="K132" s="176"/>
      <c r="L132" s="188" t="s">
        <v>325</v>
      </c>
      <c r="M132" s="188">
        <v>0</v>
      </c>
      <c r="N132" s="188">
        <v>0</v>
      </c>
      <c r="O132" s="188">
        <v>0</v>
      </c>
      <c r="P132" s="142">
        <v>0</v>
      </c>
      <c r="Q132" s="188">
        <v>0</v>
      </c>
      <c r="R132" s="188">
        <v>0</v>
      </c>
      <c r="S132" s="188">
        <v>0</v>
      </c>
      <c r="T132" s="142">
        <v>0</v>
      </c>
      <c r="U132" s="188">
        <v>1</v>
      </c>
      <c r="V132" s="188">
        <v>1</v>
      </c>
      <c r="W132" s="188">
        <v>0</v>
      </c>
      <c r="X132" s="188">
        <v>0</v>
      </c>
      <c r="Y132" s="188">
        <v>0</v>
      </c>
      <c r="Z132" s="188">
        <v>1</v>
      </c>
      <c r="AA132" s="188">
        <v>0</v>
      </c>
      <c r="AB132" s="188">
        <v>0</v>
      </c>
      <c r="AC132" s="188">
        <v>0</v>
      </c>
      <c r="AD132" s="188">
        <v>1</v>
      </c>
      <c r="AE132" s="188">
        <v>1</v>
      </c>
      <c r="AF132" s="188">
        <v>1</v>
      </c>
      <c r="AG132" s="188">
        <v>1</v>
      </c>
      <c r="AH132" s="188">
        <v>0</v>
      </c>
      <c r="AI132" s="188">
        <v>1</v>
      </c>
      <c r="AJ132" s="188">
        <v>1</v>
      </c>
      <c r="AK132" s="188">
        <v>0</v>
      </c>
      <c r="AL132" s="188">
        <v>1</v>
      </c>
      <c r="AM132" s="188">
        <v>0</v>
      </c>
      <c r="AN132" s="188">
        <v>1</v>
      </c>
      <c r="AO132" s="188">
        <v>0</v>
      </c>
      <c r="AP132" s="188">
        <v>1</v>
      </c>
      <c r="AQ132" s="188">
        <v>0</v>
      </c>
      <c r="AR132" s="188">
        <v>0</v>
      </c>
      <c r="AS132" s="188">
        <v>0</v>
      </c>
      <c r="AT132" s="188">
        <v>0</v>
      </c>
      <c r="AU132" s="188">
        <v>0</v>
      </c>
      <c r="AV132" s="188">
        <v>0</v>
      </c>
      <c r="AW132" s="188">
        <v>0</v>
      </c>
      <c r="AX132" s="188">
        <v>0</v>
      </c>
      <c r="AY132" s="188">
        <v>0</v>
      </c>
      <c r="AZ132" s="188">
        <v>0</v>
      </c>
      <c r="BA132" s="188">
        <v>0</v>
      </c>
      <c r="BB132" s="188">
        <v>0</v>
      </c>
      <c r="BC132" s="188">
        <v>0</v>
      </c>
      <c r="BD132" s="188">
        <v>0</v>
      </c>
      <c r="BE132" s="188">
        <v>0</v>
      </c>
      <c r="BF132" s="188">
        <v>0</v>
      </c>
      <c r="BG132" s="188">
        <v>0</v>
      </c>
      <c r="BH132" s="188">
        <v>0</v>
      </c>
      <c r="BI132" s="188">
        <v>0</v>
      </c>
      <c r="BJ132" s="188">
        <v>0</v>
      </c>
    </row>
    <row r="133" s="188" customFormat="1" ht="28.399999999999999" hidden="1" customHeight="1">
      <c r="C133" s="174"/>
      <c r="D133" s="174"/>
      <c r="E133" s="208" t="s">
        <v>694</v>
      </c>
      <c r="F133" s="111" t="s">
        <v>695</v>
      </c>
      <c r="G133" s="209" t="s">
        <v>498</v>
      </c>
      <c r="H133" s="209">
        <v>22930</v>
      </c>
      <c r="I133" s="209">
        <v>22985</v>
      </c>
      <c r="J133" s="111"/>
      <c r="K133" s="176"/>
      <c r="L133" s="188" t="s">
        <v>325</v>
      </c>
      <c r="P133" s="142"/>
      <c r="T133" s="142"/>
      <c r="U133" s="188">
        <v>1</v>
      </c>
      <c r="V133" s="188">
        <v>1</v>
      </c>
      <c r="Y133" s="188">
        <v>1</v>
      </c>
      <c r="AD133" s="188">
        <v>1</v>
      </c>
      <c r="AE133" s="188">
        <v>1</v>
      </c>
      <c r="AF133" s="188">
        <v>1</v>
      </c>
      <c r="AJ133" s="188">
        <v>1</v>
      </c>
      <c r="AL133" s="188">
        <v>1</v>
      </c>
      <c r="AM133" s="188">
        <v>1</v>
      </c>
      <c r="AP133" s="188">
        <v>1</v>
      </c>
      <c r="AQ133" s="188">
        <v>1</v>
      </c>
      <c r="AU133" s="188">
        <v>1</v>
      </c>
      <c r="AW133" s="188">
        <v>1</v>
      </c>
      <c r="AZ133" s="188">
        <v>1</v>
      </c>
      <c r="BE133" s="188">
        <v>1</v>
      </c>
      <c r="BH133" s="188">
        <v>1</v>
      </c>
    </row>
    <row r="134" s="188" customFormat="1" ht="55.25" hidden="1" customHeight="1">
      <c r="C134" s="174"/>
      <c r="D134" s="174"/>
      <c r="E134" s="180" t="s">
        <v>696</v>
      </c>
      <c r="F134" s="111" t="s">
        <v>697</v>
      </c>
      <c r="G134" s="177" t="s">
        <v>498</v>
      </c>
      <c r="H134" s="177">
        <v>23010</v>
      </c>
      <c r="I134" s="177">
        <v>23190</v>
      </c>
      <c r="J134" s="111" t="s">
        <v>657</v>
      </c>
      <c r="K134" s="176"/>
      <c r="L134" s="188" t="s">
        <v>447</v>
      </c>
      <c r="M134" s="188">
        <v>0</v>
      </c>
      <c r="N134" s="188">
        <v>0</v>
      </c>
      <c r="O134" s="188">
        <v>0</v>
      </c>
      <c r="P134" s="142">
        <v>0</v>
      </c>
      <c r="Q134" s="188">
        <v>0</v>
      </c>
      <c r="R134" s="188">
        <v>0</v>
      </c>
      <c r="S134" s="188">
        <v>0</v>
      </c>
      <c r="T134" s="142">
        <v>0</v>
      </c>
      <c r="U134" s="188">
        <v>1</v>
      </c>
      <c r="V134" s="188">
        <v>0</v>
      </c>
      <c r="W134" s="188">
        <v>1</v>
      </c>
      <c r="X134" s="188">
        <v>1</v>
      </c>
      <c r="Y134" s="188">
        <v>0</v>
      </c>
      <c r="Z134" s="188">
        <v>1</v>
      </c>
      <c r="AA134" s="188">
        <v>0</v>
      </c>
      <c r="AB134" s="188">
        <v>0</v>
      </c>
      <c r="AC134" s="188">
        <v>0</v>
      </c>
      <c r="AD134" s="188">
        <v>1</v>
      </c>
      <c r="AE134" s="188">
        <v>1</v>
      </c>
      <c r="AF134" s="188">
        <v>1</v>
      </c>
      <c r="AG134" s="188">
        <v>1</v>
      </c>
      <c r="AH134" s="188">
        <v>0</v>
      </c>
      <c r="AI134" s="188">
        <v>0</v>
      </c>
      <c r="AJ134" s="188">
        <v>1</v>
      </c>
      <c r="AK134" s="188">
        <v>0</v>
      </c>
      <c r="AL134" s="188">
        <v>1</v>
      </c>
      <c r="AM134" s="188">
        <v>1</v>
      </c>
      <c r="AN134" s="188">
        <v>0</v>
      </c>
      <c r="AO134" s="188">
        <v>0</v>
      </c>
      <c r="AP134" s="188">
        <v>1</v>
      </c>
      <c r="AQ134" s="188">
        <v>0</v>
      </c>
      <c r="AR134" s="188">
        <v>0</v>
      </c>
      <c r="AS134" s="188">
        <v>0</v>
      </c>
      <c r="AT134" s="188">
        <v>0</v>
      </c>
      <c r="AU134" s="188">
        <v>0</v>
      </c>
      <c r="AV134" s="188">
        <v>0</v>
      </c>
      <c r="AW134" s="188">
        <v>0</v>
      </c>
      <c r="AX134" s="188">
        <v>0</v>
      </c>
      <c r="AY134" s="188">
        <v>0</v>
      </c>
      <c r="AZ134" s="188">
        <v>0</v>
      </c>
      <c r="BA134" s="188">
        <v>0</v>
      </c>
      <c r="BB134" s="188">
        <v>0</v>
      </c>
      <c r="BC134" s="188">
        <v>0</v>
      </c>
      <c r="BD134" s="188">
        <v>0</v>
      </c>
      <c r="BE134" s="188">
        <v>0</v>
      </c>
      <c r="BF134" s="188">
        <v>0</v>
      </c>
      <c r="BG134" s="188">
        <v>1</v>
      </c>
      <c r="BH134" s="188">
        <v>0</v>
      </c>
      <c r="BI134" s="188">
        <v>0</v>
      </c>
      <c r="BJ134" s="188">
        <v>0</v>
      </c>
    </row>
    <row r="135" s="188" customFormat="1" ht="28.399999999999999" hidden="1" customHeight="1">
      <c r="C135" s="174"/>
      <c r="D135" s="174"/>
      <c r="E135" s="180" t="s">
        <v>698</v>
      </c>
      <c r="F135" s="111" t="s">
        <v>699</v>
      </c>
      <c r="G135" s="177" t="s">
        <v>498</v>
      </c>
      <c r="H135" s="177">
        <v>23254</v>
      </c>
      <c r="I135" s="177">
        <v>23308</v>
      </c>
      <c r="J135" s="111" t="s">
        <v>700</v>
      </c>
      <c r="K135" s="176"/>
      <c r="L135" s="188" t="s">
        <v>325</v>
      </c>
      <c r="M135" s="188">
        <v>0</v>
      </c>
      <c r="N135" s="188">
        <v>0</v>
      </c>
      <c r="O135" s="188">
        <v>1</v>
      </c>
      <c r="P135" s="142">
        <v>1</v>
      </c>
      <c r="Q135" s="188">
        <v>0</v>
      </c>
      <c r="R135" s="188">
        <v>0</v>
      </c>
      <c r="S135" s="188">
        <v>0</v>
      </c>
      <c r="T135" s="142">
        <v>0</v>
      </c>
      <c r="U135" s="188">
        <v>0</v>
      </c>
      <c r="V135" s="188">
        <v>0</v>
      </c>
      <c r="W135" s="188">
        <v>1</v>
      </c>
      <c r="X135" s="188">
        <v>1</v>
      </c>
      <c r="Y135" s="188">
        <v>0</v>
      </c>
      <c r="Z135" s="188">
        <v>1</v>
      </c>
      <c r="AA135" s="188">
        <v>1</v>
      </c>
      <c r="AB135" s="188">
        <v>0</v>
      </c>
      <c r="AC135" s="188">
        <v>0</v>
      </c>
      <c r="AD135" s="188">
        <v>0</v>
      </c>
      <c r="AE135" s="188">
        <v>0</v>
      </c>
      <c r="AF135" s="188">
        <v>1</v>
      </c>
      <c r="AG135" s="188">
        <v>0</v>
      </c>
      <c r="AH135" s="188">
        <v>0</v>
      </c>
      <c r="AI135" s="188">
        <v>0</v>
      </c>
      <c r="AJ135" s="188">
        <v>1</v>
      </c>
      <c r="AK135" s="188">
        <v>0</v>
      </c>
      <c r="AL135" s="188">
        <v>1</v>
      </c>
      <c r="AM135" s="188">
        <v>0</v>
      </c>
      <c r="AN135" s="188">
        <v>0</v>
      </c>
      <c r="AO135" s="188">
        <v>0</v>
      </c>
      <c r="AP135" s="188">
        <v>1</v>
      </c>
      <c r="AQ135" s="188">
        <v>0</v>
      </c>
      <c r="AR135" s="188">
        <v>0</v>
      </c>
      <c r="AS135" s="188">
        <v>0</v>
      </c>
      <c r="AT135" s="188">
        <v>0</v>
      </c>
      <c r="AU135" s="188">
        <v>0</v>
      </c>
      <c r="AV135" s="188">
        <v>0</v>
      </c>
      <c r="AW135" s="188">
        <v>0</v>
      </c>
      <c r="AX135" s="188">
        <v>0</v>
      </c>
      <c r="AY135" s="188">
        <v>0</v>
      </c>
      <c r="AZ135" s="188">
        <v>0</v>
      </c>
      <c r="BA135" s="188">
        <v>0</v>
      </c>
      <c r="BB135" s="188">
        <v>0</v>
      </c>
      <c r="BC135" s="188">
        <v>0</v>
      </c>
      <c r="BD135" s="188">
        <v>0</v>
      </c>
      <c r="BE135" s="188">
        <v>0</v>
      </c>
      <c r="BF135" s="188">
        <v>0</v>
      </c>
      <c r="BG135" s="188">
        <v>0</v>
      </c>
      <c r="BH135" s="188">
        <v>0</v>
      </c>
      <c r="BI135" s="188">
        <v>0</v>
      </c>
      <c r="BJ135" s="188">
        <v>0</v>
      </c>
    </row>
    <row r="136" s="188" customFormat="1" ht="28.399999999999999" hidden="1" customHeight="1">
      <c r="C136" s="174"/>
      <c r="D136" s="174"/>
      <c r="E136" s="180" t="s">
        <v>701</v>
      </c>
      <c r="F136" s="111" t="s">
        <v>502</v>
      </c>
      <c r="G136" s="177" t="s">
        <v>498</v>
      </c>
      <c r="H136" s="177">
        <v>27840</v>
      </c>
      <c r="I136" s="177">
        <v>27857</v>
      </c>
      <c r="J136" s="111"/>
      <c r="K136" s="176"/>
      <c r="L136" s="188" t="s">
        <v>325</v>
      </c>
      <c r="M136" s="188">
        <v>0</v>
      </c>
      <c r="N136" s="188">
        <v>0</v>
      </c>
      <c r="O136" s="188">
        <v>1</v>
      </c>
      <c r="P136" s="142">
        <v>1</v>
      </c>
      <c r="Q136" s="188">
        <v>0</v>
      </c>
      <c r="R136" s="188">
        <v>0</v>
      </c>
      <c r="S136" s="188">
        <v>0</v>
      </c>
      <c r="T136" s="142">
        <v>0</v>
      </c>
      <c r="U136" s="188">
        <v>0</v>
      </c>
      <c r="V136" s="188">
        <v>1</v>
      </c>
      <c r="W136" s="188">
        <v>0</v>
      </c>
      <c r="X136" s="188">
        <v>1</v>
      </c>
      <c r="Y136" s="188">
        <v>0</v>
      </c>
      <c r="Z136" s="188">
        <v>1</v>
      </c>
      <c r="AA136" s="188">
        <v>1</v>
      </c>
      <c r="AB136" s="188">
        <v>0</v>
      </c>
      <c r="AC136" s="188">
        <v>0</v>
      </c>
      <c r="AD136" s="188">
        <v>0</v>
      </c>
      <c r="AE136" s="188">
        <v>0</v>
      </c>
      <c r="AF136" s="188">
        <v>1</v>
      </c>
      <c r="AG136" s="188">
        <v>1</v>
      </c>
      <c r="AH136" s="188">
        <v>0</v>
      </c>
      <c r="AI136" s="188">
        <v>1</v>
      </c>
      <c r="AJ136" s="188">
        <v>1</v>
      </c>
      <c r="AK136" s="188">
        <v>0</v>
      </c>
      <c r="AL136" s="188">
        <v>1</v>
      </c>
      <c r="AM136" s="188">
        <v>0</v>
      </c>
      <c r="AN136" s="188">
        <v>0</v>
      </c>
      <c r="AO136" s="188">
        <v>0</v>
      </c>
      <c r="AP136" s="188">
        <v>1</v>
      </c>
      <c r="AQ136" s="188">
        <v>0</v>
      </c>
      <c r="AR136" s="188">
        <v>0</v>
      </c>
      <c r="AS136" s="188">
        <v>0</v>
      </c>
      <c r="AT136" s="188">
        <v>0</v>
      </c>
      <c r="AU136" s="188">
        <v>0</v>
      </c>
      <c r="AV136" s="188">
        <v>0</v>
      </c>
      <c r="AW136" s="188">
        <v>0</v>
      </c>
      <c r="AX136" s="188">
        <v>0</v>
      </c>
      <c r="AY136" s="188">
        <v>0</v>
      </c>
      <c r="AZ136" s="188">
        <v>0</v>
      </c>
      <c r="BA136" s="188">
        <v>0</v>
      </c>
      <c r="BB136" s="188">
        <v>0</v>
      </c>
      <c r="BC136" s="188">
        <v>0</v>
      </c>
      <c r="BD136" s="188">
        <v>0</v>
      </c>
      <c r="BE136" s="188">
        <v>0</v>
      </c>
      <c r="BF136" s="188">
        <v>0</v>
      </c>
      <c r="BG136" s="188">
        <v>0</v>
      </c>
      <c r="BH136" s="188">
        <v>0</v>
      </c>
      <c r="BI136" s="188">
        <v>0</v>
      </c>
      <c r="BJ136" s="188">
        <v>0</v>
      </c>
    </row>
    <row r="137" s="188" customFormat="1" ht="55.25" hidden="1" customHeight="1">
      <c r="C137" s="174"/>
      <c r="D137" s="174"/>
      <c r="E137" s="197" t="s">
        <v>702</v>
      </c>
      <c r="F137" s="111" t="s">
        <v>703</v>
      </c>
      <c r="G137" s="233" t="s">
        <v>498</v>
      </c>
      <c r="H137" s="233">
        <v>27909</v>
      </c>
      <c r="I137" s="233">
        <v>27950</v>
      </c>
      <c r="J137" s="111"/>
      <c r="K137" s="176"/>
      <c r="L137" s="188" t="s">
        <v>447</v>
      </c>
      <c r="M137" s="188">
        <v>0</v>
      </c>
      <c r="N137" s="188">
        <v>0</v>
      </c>
      <c r="O137" s="188">
        <v>0</v>
      </c>
      <c r="P137" s="142">
        <v>0</v>
      </c>
      <c r="Q137" s="188">
        <v>1</v>
      </c>
      <c r="R137" s="188">
        <v>0</v>
      </c>
      <c r="S137" s="188">
        <v>0</v>
      </c>
      <c r="T137" s="142">
        <v>1</v>
      </c>
      <c r="U137" s="188">
        <v>1</v>
      </c>
      <c r="V137" s="188">
        <v>1</v>
      </c>
      <c r="W137" s="188">
        <v>0</v>
      </c>
      <c r="X137" s="188">
        <v>1</v>
      </c>
      <c r="Y137" s="188">
        <v>1</v>
      </c>
      <c r="Z137" s="188">
        <v>0</v>
      </c>
      <c r="AA137" s="188">
        <v>0</v>
      </c>
      <c r="AB137" s="188">
        <v>1</v>
      </c>
      <c r="AC137" s="188">
        <v>0</v>
      </c>
      <c r="AD137" s="188">
        <v>0</v>
      </c>
      <c r="AE137" s="188">
        <v>1</v>
      </c>
      <c r="AF137" s="188">
        <v>1</v>
      </c>
      <c r="AG137" s="188">
        <v>0</v>
      </c>
      <c r="AH137" s="188">
        <v>0</v>
      </c>
      <c r="AI137" s="188">
        <v>0</v>
      </c>
      <c r="AJ137" s="188">
        <v>0</v>
      </c>
      <c r="AK137" s="188">
        <v>0</v>
      </c>
      <c r="AL137" s="188">
        <v>0</v>
      </c>
      <c r="AM137" s="188">
        <v>1</v>
      </c>
      <c r="AN137" s="188">
        <v>1</v>
      </c>
      <c r="AO137" s="188">
        <v>0</v>
      </c>
      <c r="AP137" s="188">
        <v>1</v>
      </c>
      <c r="AQ137" s="188">
        <v>0</v>
      </c>
      <c r="AR137" s="188">
        <v>0</v>
      </c>
      <c r="AS137" s="188">
        <v>0</v>
      </c>
      <c r="AT137" s="188">
        <v>0</v>
      </c>
      <c r="AU137" s="188">
        <v>0</v>
      </c>
      <c r="AV137" s="188">
        <v>0</v>
      </c>
      <c r="AW137" s="188">
        <v>0</v>
      </c>
      <c r="AX137" s="188">
        <v>0</v>
      </c>
      <c r="AY137" s="188">
        <v>0</v>
      </c>
      <c r="AZ137" s="188">
        <v>0</v>
      </c>
      <c r="BA137" s="188">
        <v>0</v>
      </c>
      <c r="BB137" s="188">
        <v>0</v>
      </c>
      <c r="BC137" s="188">
        <v>0</v>
      </c>
      <c r="BD137" s="188">
        <v>0</v>
      </c>
      <c r="BE137" s="188">
        <v>0</v>
      </c>
      <c r="BF137" s="188">
        <v>0</v>
      </c>
      <c r="BG137" s="188">
        <v>1</v>
      </c>
      <c r="BH137" s="188">
        <v>0</v>
      </c>
      <c r="BI137" s="188">
        <v>0</v>
      </c>
      <c r="BJ137" s="188">
        <v>0</v>
      </c>
    </row>
    <row r="138" s="188" customFormat="1" ht="41.75" hidden="1" customHeight="1">
      <c r="C138" s="174"/>
      <c r="D138" s="174"/>
      <c r="E138" s="180" t="s">
        <v>704</v>
      </c>
      <c r="F138" s="111" t="s">
        <v>485</v>
      </c>
      <c r="G138" s="177" t="s">
        <v>498</v>
      </c>
      <c r="H138" s="177">
        <v>27991</v>
      </c>
      <c r="I138" s="177">
        <v>28051</v>
      </c>
      <c r="J138" s="111"/>
      <c r="K138" s="176"/>
      <c r="L138" s="188" t="s">
        <v>66</v>
      </c>
      <c r="M138" s="188">
        <v>0</v>
      </c>
      <c r="N138" s="188">
        <v>0</v>
      </c>
      <c r="O138" s="188">
        <v>0</v>
      </c>
      <c r="P138" s="142">
        <v>0</v>
      </c>
      <c r="Q138" s="188">
        <v>0</v>
      </c>
      <c r="R138" s="188">
        <v>0</v>
      </c>
      <c r="S138" s="188">
        <v>0</v>
      </c>
      <c r="T138" s="142">
        <v>0</v>
      </c>
      <c r="U138" s="188">
        <v>1</v>
      </c>
      <c r="V138" s="188">
        <v>0</v>
      </c>
      <c r="W138" s="188">
        <v>1</v>
      </c>
      <c r="X138" s="188">
        <v>1</v>
      </c>
      <c r="Y138" s="188">
        <v>1</v>
      </c>
      <c r="Z138" s="188">
        <v>0</v>
      </c>
      <c r="AA138" s="188">
        <v>0</v>
      </c>
      <c r="AB138" s="188">
        <v>0</v>
      </c>
      <c r="AC138" s="188">
        <v>0</v>
      </c>
      <c r="AD138" s="188">
        <v>1</v>
      </c>
      <c r="AE138" s="188">
        <v>1</v>
      </c>
      <c r="AF138" s="188">
        <v>1</v>
      </c>
      <c r="AG138" s="188">
        <v>1</v>
      </c>
      <c r="AH138" s="188">
        <v>0</v>
      </c>
      <c r="AI138" s="188">
        <v>0</v>
      </c>
      <c r="AJ138" s="188">
        <v>1</v>
      </c>
      <c r="AK138" s="188">
        <v>0</v>
      </c>
      <c r="AL138" s="188">
        <v>0</v>
      </c>
      <c r="AM138" s="188">
        <v>1</v>
      </c>
      <c r="AN138" s="188">
        <v>0</v>
      </c>
      <c r="AO138" s="188">
        <v>0</v>
      </c>
      <c r="AP138" s="188">
        <v>1</v>
      </c>
      <c r="AQ138" s="188">
        <v>0</v>
      </c>
      <c r="AR138" s="188">
        <v>0</v>
      </c>
      <c r="AS138" s="188">
        <v>0</v>
      </c>
      <c r="AT138" s="188">
        <v>0</v>
      </c>
      <c r="AU138" s="188">
        <v>0</v>
      </c>
      <c r="AV138" s="188">
        <v>0</v>
      </c>
      <c r="AW138" s="188">
        <v>0</v>
      </c>
      <c r="AX138" s="188">
        <v>0</v>
      </c>
      <c r="AY138" s="188">
        <v>0</v>
      </c>
      <c r="AZ138" s="188">
        <v>0</v>
      </c>
      <c r="BA138" s="188">
        <v>0</v>
      </c>
      <c r="BB138" s="188">
        <v>0</v>
      </c>
      <c r="BC138" s="188">
        <v>0</v>
      </c>
      <c r="BD138" s="188">
        <v>0</v>
      </c>
      <c r="BE138" s="188">
        <v>0</v>
      </c>
      <c r="BF138" s="188">
        <v>1</v>
      </c>
      <c r="BG138" s="188">
        <v>0</v>
      </c>
      <c r="BH138" s="188">
        <v>0</v>
      </c>
      <c r="BI138" s="188">
        <v>0</v>
      </c>
      <c r="BJ138" s="188">
        <v>0</v>
      </c>
    </row>
    <row r="139" s="250" customFormat="1" ht="28.399999999999999" customHeight="1">
      <c r="A139" s="137" t="s">
        <v>481</v>
      </c>
      <c r="B139" s="251" t="s">
        <v>482</v>
      </c>
      <c r="C139" s="251" t="s">
        <v>130</v>
      </c>
      <c r="D139" s="250" t="s">
        <v>705</v>
      </c>
      <c r="E139" s="251" t="s">
        <v>706</v>
      </c>
      <c r="F139" s="145" t="s">
        <v>572</v>
      </c>
      <c r="G139" s="251" t="s">
        <v>498</v>
      </c>
      <c r="H139" s="252"/>
      <c r="I139" s="252"/>
      <c r="J139" s="145"/>
      <c r="K139" s="251">
        <v>1</v>
      </c>
      <c r="L139" s="250" t="s">
        <v>66</v>
      </c>
      <c r="M139" s="250">
        <v>1</v>
      </c>
      <c r="N139" s="250">
        <v>0</v>
      </c>
      <c r="O139" s="250">
        <v>0</v>
      </c>
      <c r="P139" s="142">
        <v>1</v>
      </c>
      <c r="Q139" s="250">
        <v>0</v>
      </c>
      <c r="R139" s="250">
        <v>0</v>
      </c>
      <c r="S139" s="250">
        <v>0</v>
      </c>
      <c r="T139" s="142">
        <v>0</v>
      </c>
      <c r="U139" s="250">
        <v>0</v>
      </c>
      <c r="V139" s="250">
        <v>1</v>
      </c>
      <c r="W139" s="250">
        <v>0</v>
      </c>
      <c r="X139" s="250">
        <v>1</v>
      </c>
      <c r="Y139" s="250">
        <v>0</v>
      </c>
      <c r="Z139" s="250">
        <v>1</v>
      </c>
      <c r="AA139" s="250">
        <v>1</v>
      </c>
      <c r="AB139" s="250">
        <v>0</v>
      </c>
      <c r="AC139" s="250">
        <v>0</v>
      </c>
      <c r="AD139" s="250">
        <v>0</v>
      </c>
      <c r="AE139" s="250">
        <v>1</v>
      </c>
      <c r="AF139" s="250">
        <v>1</v>
      </c>
      <c r="AG139" s="250">
        <v>1</v>
      </c>
      <c r="AH139" s="250">
        <v>1</v>
      </c>
      <c r="AI139" s="250">
        <v>1</v>
      </c>
      <c r="AJ139" s="250">
        <v>1</v>
      </c>
      <c r="AK139" s="250">
        <v>0</v>
      </c>
      <c r="AL139" s="250">
        <v>1</v>
      </c>
      <c r="AM139" s="250">
        <v>1</v>
      </c>
      <c r="AN139" s="250">
        <v>1</v>
      </c>
      <c r="AO139" s="250">
        <v>0</v>
      </c>
      <c r="AP139" s="250">
        <v>1</v>
      </c>
      <c r="AQ139" s="250">
        <v>0</v>
      </c>
      <c r="AR139" s="250">
        <v>0</v>
      </c>
      <c r="AS139" s="250">
        <v>0</v>
      </c>
      <c r="AT139" s="250">
        <v>0</v>
      </c>
      <c r="AU139" s="250">
        <v>0</v>
      </c>
      <c r="AV139" s="250">
        <v>0</v>
      </c>
      <c r="AW139" s="250">
        <v>0</v>
      </c>
      <c r="AX139" s="250">
        <v>0</v>
      </c>
      <c r="AY139" s="250">
        <v>0</v>
      </c>
      <c r="AZ139" s="250">
        <v>0</v>
      </c>
      <c r="BA139" s="250">
        <v>0</v>
      </c>
      <c r="BB139" s="250">
        <v>0</v>
      </c>
      <c r="BC139" s="250">
        <v>0</v>
      </c>
      <c r="BD139" s="250">
        <v>0</v>
      </c>
      <c r="BE139" s="250">
        <v>1</v>
      </c>
      <c r="BF139" s="250">
        <v>0</v>
      </c>
      <c r="BG139" s="250">
        <v>0</v>
      </c>
      <c r="BH139" s="250">
        <v>0</v>
      </c>
      <c r="BI139" s="250">
        <v>1</v>
      </c>
      <c r="BJ139" s="250">
        <v>0</v>
      </c>
    </row>
    <row r="140" s="253" customFormat="1" ht="28.399999999999999" customHeight="1">
      <c r="A140" s="254" t="s">
        <v>333</v>
      </c>
      <c r="B140" s="255" t="s">
        <v>482</v>
      </c>
      <c r="C140" s="253" t="s">
        <v>133</v>
      </c>
      <c r="D140" s="256" t="s">
        <v>60</v>
      </c>
      <c r="E140" s="257" t="s">
        <v>134</v>
      </c>
      <c r="F140" s="257" t="s">
        <v>502</v>
      </c>
      <c r="G140" s="258" t="s">
        <v>498</v>
      </c>
      <c r="H140" s="259"/>
      <c r="I140" s="259"/>
      <c r="J140" s="257" t="s">
        <v>707</v>
      </c>
      <c r="K140" s="257">
        <v>1</v>
      </c>
      <c r="L140" s="253" t="s">
        <v>325</v>
      </c>
      <c r="M140" s="253">
        <v>0</v>
      </c>
      <c r="N140" s="253">
        <v>0</v>
      </c>
      <c r="O140" s="253">
        <v>0</v>
      </c>
      <c r="P140" s="260">
        <v>0</v>
      </c>
      <c r="Q140" s="253">
        <v>0</v>
      </c>
      <c r="R140" s="253">
        <v>0</v>
      </c>
      <c r="S140" s="253">
        <v>0</v>
      </c>
      <c r="T140" s="260">
        <v>0</v>
      </c>
      <c r="U140" s="253">
        <v>1</v>
      </c>
      <c r="V140" s="253">
        <v>0</v>
      </c>
      <c r="W140" s="253">
        <v>1</v>
      </c>
      <c r="X140" s="253">
        <v>1</v>
      </c>
      <c r="Y140" s="253">
        <v>1</v>
      </c>
      <c r="Z140" s="253">
        <v>0</v>
      </c>
      <c r="AA140" s="253">
        <v>0</v>
      </c>
      <c r="AB140" s="253">
        <v>0</v>
      </c>
      <c r="AC140" s="253">
        <v>0</v>
      </c>
      <c r="AD140" s="253">
        <v>1</v>
      </c>
      <c r="AE140" s="253">
        <v>1</v>
      </c>
      <c r="AF140" s="253">
        <v>1</v>
      </c>
      <c r="AG140" s="253">
        <v>1</v>
      </c>
      <c r="AH140" s="253">
        <v>0</v>
      </c>
      <c r="AI140" s="253">
        <v>0</v>
      </c>
      <c r="AJ140" s="253">
        <v>0</v>
      </c>
      <c r="AK140" s="253">
        <v>1</v>
      </c>
      <c r="AL140" s="253">
        <v>0</v>
      </c>
      <c r="AM140" s="253">
        <v>1</v>
      </c>
      <c r="AN140" s="253">
        <v>0</v>
      </c>
      <c r="AO140" s="253">
        <v>0</v>
      </c>
      <c r="AP140" s="253">
        <v>1</v>
      </c>
      <c r="AQ140" s="253">
        <v>1</v>
      </c>
      <c r="AR140" s="253">
        <v>0</v>
      </c>
      <c r="AS140" s="253">
        <v>0</v>
      </c>
      <c r="AT140" s="253">
        <v>0</v>
      </c>
      <c r="AU140" s="253">
        <v>0</v>
      </c>
      <c r="AV140" s="253">
        <v>0</v>
      </c>
      <c r="AW140" s="253">
        <v>0</v>
      </c>
      <c r="AX140" s="253">
        <v>1</v>
      </c>
      <c r="AY140" s="253">
        <v>0</v>
      </c>
      <c r="AZ140" s="253">
        <v>0</v>
      </c>
      <c r="BA140" s="253">
        <v>0</v>
      </c>
      <c r="BB140" s="253">
        <v>0</v>
      </c>
      <c r="BC140" s="253">
        <v>0</v>
      </c>
      <c r="BD140" s="253">
        <v>0</v>
      </c>
      <c r="BE140" s="253">
        <v>1</v>
      </c>
      <c r="BF140" s="253">
        <v>0</v>
      </c>
      <c r="BG140" s="253">
        <v>0</v>
      </c>
      <c r="BH140" s="253">
        <v>0</v>
      </c>
      <c r="BI140" s="253">
        <v>0</v>
      </c>
      <c r="BJ140" s="253">
        <v>0</v>
      </c>
    </row>
    <row r="141" s="261" customFormat="1" ht="68.650000000000006" hidden="1" customHeight="1">
      <c r="A141" s="137" t="s">
        <v>481</v>
      </c>
      <c r="B141" s="261" t="s">
        <v>513</v>
      </c>
      <c r="C141" s="262" t="s">
        <v>135</v>
      </c>
      <c r="D141" s="263" t="s">
        <v>24</v>
      </c>
      <c r="E141" s="264" t="s">
        <v>708</v>
      </c>
      <c r="F141" s="111" t="s">
        <v>504</v>
      </c>
      <c r="G141" s="264" t="s">
        <v>486</v>
      </c>
      <c r="H141" s="264"/>
      <c r="I141" s="264"/>
      <c r="J141" s="111"/>
      <c r="K141" s="263">
        <v>11</v>
      </c>
      <c r="L141" s="261" t="s">
        <v>325</v>
      </c>
      <c r="M141" s="261">
        <v>1</v>
      </c>
      <c r="N141" s="261">
        <v>0</v>
      </c>
      <c r="O141" s="261">
        <v>0</v>
      </c>
      <c r="P141" s="142">
        <v>1</v>
      </c>
      <c r="Q141" s="261">
        <v>0</v>
      </c>
      <c r="R141" s="261">
        <v>0</v>
      </c>
      <c r="S141" s="261">
        <v>0</v>
      </c>
      <c r="T141" s="142">
        <v>0</v>
      </c>
      <c r="U141" s="261">
        <v>0</v>
      </c>
      <c r="V141" s="261">
        <v>1</v>
      </c>
      <c r="W141" s="261">
        <v>0</v>
      </c>
      <c r="X141" s="261">
        <v>0</v>
      </c>
      <c r="Y141" s="261">
        <v>0</v>
      </c>
      <c r="Z141" s="261">
        <v>1</v>
      </c>
      <c r="AA141" s="261">
        <v>1</v>
      </c>
      <c r="AB141" s="261">
        <v>0</v>
      </c>
      <c r="AC141" s="261">
        <v>0</v>
      </c>
      <c r="AD141" s="261">
        <v>0</v>
      </c>
      <c r="AE141" s="261">
        <v>1</v>
      </c>
      <c r="AF141" s="261">
        <v>1</v>
      </c>
      <c r="AG141" s="261">
        <v>1</v>
      </c>
      <c r="AH141" s="261">
        <v>0</v>
      </c>
      <c r="AI141" s="261">
        <v>0</v>
      </c>
      <c r="AJ141" s="261">
        <v>1</v>
      </c>
      <c r="AK141" s="261">
        <v>0</v>
      </c>
      <c r="AL141" s="261">
        <v>1</v>
      </c>
      <c r="AM141" s="261">
        <v>0</v>
      </c>
      <c r="AN141" s="261">
        <v>0</v>
      </c>
      <c r="AO141" s="261">
        <v>0</v>
      </c>
      <c r="AP141" s="261">
        <v>1</v>
      </c>
      <c r="AQ141" s="261">
        <v>1</v>
      </c>
      <c r="AR141" s="261">
        <v>0</v>
      </c>
      <c r="AS141" s="261">
        <v>0</v>
      </c>
      <c r="AT141" s="261">
        <v>0</v>
      </c>
      <c r="AU141" s="261">
        <v>1</v>
      </c>
      <c r="AV141" s="261">
        <v>0</v>
      </c>
      <c r="AW141" s="261">
        <v>0</v>
      </c>
      <c r="AX141" s="261">
        <v>1</v>
      </c>
      <c r="AY141" s="261">
        <v>0</v>
      </c>
      <c r="AZ141" s="261">
        <v>1</v>
      </c>
      <c r="BA141" s="261">
        <v>0</v>
      </c>
      <c r="BB141" s="261">
        <v>0</v>
      </c>
      <c r="BC141" s="261">
        <v>0</v>
      </c>
      <c r="BD141" s="261">
        <v>0</v>
      </c>
      <c r="BE141" s="261">
        <v>0</v>
      </c>
      <c r="BF141" s="261">
        <v>0</v>
      </c>
      <c r="BG141" s="261">
        <v>0</v>
      </c>
      <c r="BH141" s="261">
        <v>1</v>
      </c>
      <c r="BI141" s="261">
        <v>0</v>
      </c>
      <c r="BJ141" s="261">
        <v>0</v>
      </c>
    </row>
    <row r="142" s="261" customFormat="1" ht="28.399999999999999" hidden="1" customHeight="1">
      <c r="D142" s="265"/>
      <c r="E142" s="264" t="s">
        <v>709</v>
      </c>
      <c r="F142" s="111" t="s">
        <v>502</v>
      </c>
      <c r="G142" s="264" t="s">
        <v>486</v>
      </c>
      <c r="H142" s="264">
        <v>15</v>
      </c>
      <c r="I142" s="264">
        <v>32</v>
      </c>
      <c r="J142" s="111"/>
      <c r="K142" s="265"/>
      <c r="L142" s="261" t="s">
        <v>492</v>
      </c>
      <c r="M142" s="261">
        <v>0</v>
      </c>
      <c r="N142" s="261">
        <v>0</v>
      </c>
      <c r="O142" s="261">
        <v>0</v>
      </c>
      <c r="P142" s="142">
        <v>0</v>
      </c>
      <c r="Q142" s="261">
        <v>1</v>
      </c>
      <c r="R142" s="261">
        <v>0</v>
      </c>
      <c r="S142" s="261">
        <v>0</v>
      </c>
      <c r="T142" s="142">
        <v>1</v>
      </c>
      <c r="U142" s="261">
        <v>0</v>
      </c>
      <c r="V142" s="261">
        <v>1</v>
      </c>
      <c r="W142" s="261">
        <v>0</v>
      </c>
      <c r="X142" s="261">
        <v>0</v>
      </c>
      <c r="Y142" s="261">
        <v>1</v>
      </c>
      <c r="Z142" s="261">
        <v>0</v>
      </c>
      <c r="AA142" s="261">
        <v>0</v>
      </c>
      <c r="AB142" s="261">
        <v>1</v>
      </c>
      <c r="AC142" s="261">
        <v>0</v>
      </c>
      <c r="AD142" s="261">
        <v>0</v>
      </c>
      <c r="AE142" s="261">
        <v>1</v>
      </c>
      <c r="AF142" s="261">
        <v>0</v>
      </c>
      <c r="AG142" s="261">
        <v>1</v>
      </c>
      <c r="AH142" s="261">
        <v>1</v>
      </c>
      <c r="AI142" s="261">
        <v>0</v>
      </c>
      <c r="AJ142" s="261">
        <v>1</v>
      </c>
      <c r="AK142" s="261">
        <v>0</v>
      </c>
      <c r="AL142" s="261">
        <v>1</v>
      </c>
      <c r="AM142" s="261">
        <v>0</v>
      </c>
      <c r="AN142" s="261">
        <v>0</v>
      </c>
      <c r="AO142" s="261">
        <v>0</v>
      </c>
      <c r="AP142" s="261">
        <v>1</v>
      </c>
      <c r="AQ142" s="261">
        <v>1</v>
      </c>
      <c r="AR142" s="261">
        <v>0</v>
      </c>
      <c r="AS142" s="261">
        <v>0</v>
      </c>
      <c r="AT142" s="261">
        <v>0</v>
      </c>
      <c r="AU142" s="261">
        <v>1</v>
      </c>
      <c r="AV142" s="261">
        <v>0</v>
      </c>
      <c r="AW142" s="261">
        <v>0</v>
      </c>
      <c r="AX142" s="261">
        <v>1</v>
      </c>
      <c r="AY142" s="261">
        <v>0</v>
      </c>
      <c r="AZ142" s="261">
        <v>1</v>
      </c>
      <c r="BA142" s="261">
        <v>0</v>
      </c>
      <c r="BB142" s="261">
        <v>0</v>
      </c>
      <c r="BC142" s="261">
        <v>0</v>
      </c>
      <c r="BD142" s="261">
        <v>0</v>
      </c>
      <c r="BE142" s="261">
        <v>0</v>
      </c>
      <c r="BF142" s="261">
        <v>0</v>
      </c>
      <c r="BG142" s="261">
        <v>0</v>
      </c>
      <c r="BH142" s="261">
        <v>0</v>
      </c>
      <c r="BI142" s="261">
        <v>0</v>
      </c>
      <c r="BJ142" s="261">
        <v>0</v>
      </c>
    </row>
    <row r="143" s="261" customFormat="1" ht="28.399999999999999" hidden="1" customHeight="1">
      <c r="D143" s="265"/>
      <c r="E143" s="264" t="s">
        <v>710</v>
      </c>
      <c r="F143" s="111" t="s">
        <v>541</v>
      </c>
      <c r="G143" s="264" t="s">
        <v>486</v>
      </c>
      <c r="H143" s="264">
        <v>15</v>
      </c>
      <c r="I143" s="264">
        <v>23</v>
      </c>
      <c r="J143" s="111" t="s">
        <v>711</v>
      </c>
      <c r="K143" s="265"/>
      <c r="L143" s="261" t="s">
        <v>447</v>
      </c>
      <c r="M143" s="261">
        <v>0</v>
      </c>
      <c r="N143" s="261">
        <v>1</v>
      </c>
      <c r="O143" s="261">
        <v>0</v>
      </c>
      <c r="P143" s="142">
        <v>1</v>
      </c>
      <c r="Q143" s="261">
        <v>0</v>
      </c>
      <c r="R143" s="261">
        <v>0</v>
      </c>
      <c r="S143" s="261">
        <v>0</v>
      </c>
      <c r="T143" s="142">
        <v>0</v>
      </c>
      <c r="U143" s="261">
        <v>0</v>
      </c>
      <c r="V143" s="261">
        <v>1</v>
      </c>
      <c r="W143" s="261">
        <v>0</v>
      </c>
      <c r="X143" s="261">
        <v>0</v>
      </c>
      <c r="Y143" s="261">
        <v>0</v>
      </c>
      <c r="Z143" s="261">
        <v>1</v>
      </c>
      <c r="AA143" s="261">
        <v>1</v>
      </c>
      <c r="AB143" s="261">
        <v>0</v>
      </c>
      <c r="AC143" s="261">
        <v>0</v>
      </c>
      <c r="AD143" s="261">
        <v>0</v>
      </c>
      <c r="AE143" s="261">
        <v>1</v>
      </c>
      <c r="AF143" s="261">
        <v>1</v>
      </c>
      <c r="AG143" s="261">
        <v>1</v>
      </c>
      <c r="AH143" s="261">
        <v>1</v>
      </c>
      <c r="AI143" s="261">
        <v>1</v>
      </c>
      <c r="AJ143" s="261">
        <v>1</v>
      </c>
      <c r="AK143" s="261">
        <v>0</v>
      </c>
      <c r="AL143" s="261">
        <v>0</v>
      </c>
      <c r="AM143" s="261">
        <v>1</v>
      </c>
      <c r="AN143" s="261">
        <v>0</v>
      </c>
      <c r="AO143" s="261">
        <v>0</v>
      </c>
      <c r="AP143" s="261">
        <v>1</v>
      </c>
      <c r="AQ143" s="261">
        <v>1</v>
      </c>
      <c r="AR143" s="261">
        <v>0</v>
      </c>
      <c r="AS143" s="261">
        <v>1</v>
      </c>
      <c r="AT143" s="261">
        <v>0</v>
      </c>
      <c r="AU143" s="261">
        <v>0</v>
      </c>
      <c r="AV143" s="261">
        <v>0</v>
      </c>
      <c r="AW143" s="261">
        <v>1</v>
      </c>
      <c r="AX143" s="261">
        <v>0</v>
      </c>
      <c r="AY143" s="261">
        <v>0</v>
      </c>
      <c r="AZ143" s="261">
        <v>0</v>
      </c>
      <c r="BA143" s="261">
        <v>1</v>
      </c>
      <c r="BB143" s="261">
        <v>0</v>
      </c>
      <c r="BC143" s="261">
        <v>0</v>
      </c>
      <c r="BD143" s="261">
        <v>0</v>
      </c>
      <c r="BE143" s="261">
        <v>0</v>
      </c>
      <c r="BF143" s="261">
        <v>0</v>
      </c>
      <c r="BG143" s="261">
        <v>1</v>
      </c>
      <c r="BH143" s="261">
        <v>0</v>
      </c>
      <c r="BI143" s="261">
        <v>0</v>
      </c>
      <c r="BJ143" s="261">
        <v>0</v>
      </c>
    </row>
    <row r="144" s="261" customFormat="1" ht="28.399999999999999" hidden="1" customHeight="1">
      <c r="D144" s="265"/>
      <c r="E144" s="264" t="s">
        <v>712</v>
      </c>
      <c r="F144" s="111" t="s">
        <v>529</v>
      </c>
      <c r="G144" s="264" t="s">
        <v>486</v>
      </c>
      <c r="H144" s="264"/>
      <c r="I144" s="264"/>
      <c r="J144" s="111" t="s">
        <v>713</v>
      </c>
      <c r="K144" s="265"/>
      <c r="L144" s="261" t="s">
        <v>325</v>
      </c>
      <c r="M144" s="261">
        <v>1</v>
      </c>
      <c r="N144" s="261">
        <v>0</v>
      </c>
      <c r="O144" s="261">
        <v>0</v>
      </c>
      <c r="P144" s="142">
        <v>1</v>
      </c>
      <c r="Q144" s="261">
        <v>0</v>
      </c>
      <c r="R144" s="261">
        <v>0</v>
      </c>
      <c r="S144" s="261">
        <v>0</v>
      </c>
      <c r="T144" s="142">
        <v>0</v>
      </c>
      <c r="U144" s="261">
        <v>0</v>
      </c>
      <c r="V144" s="261">
        <v>0</v>
      </c>
      <c r="W144" s="261">
        <v>1</v>
      </c>
      <c r="X144" s="261">
        <v>0</v>
      </c>
      <c r="Y144" s="261">
        <v>0</v>
      </c>
      <c r="Z144" s="261">
        <v>1</v>
      </c>
      <c r="AA144" s="261">
        <v>1</v>
      </c>
      <c r="AB144" s="261">
        <v>0</v>
      </c>
      <c r="AC144" s="261">
        <v>0</v>
      </c>
      <c r="AD144" s="261">
        <v>0</v>
      </c>
      <c r="AE144" s="261">
        <v>1</v>
      </c>
      <c r="AF144" s="261">
        <v>0</v>
      </c>
      <c r="AG144" s="261">
        <v>0</v>
      </c>
      <c r="AH144" s="261">
        <v>0</v>
      </c>
      <c r="AI144" s="261">
        <v>0</v>
      </c>
      <c r="AJ144" s="261">
        <v>0</v>
      </c>
      <c r="AK144" s="261">
        <v>1</v>
      </c>
      <c r="AL144" s="261">
        <v>1</v>
      </c>
      <c r="AM144" s="261">
        <v>0</v>
      </c>
      <c r="AN144" s="261">
        <v>0</v>
      </c>
      <c r="AO144" s="261">
        <v>1</v>
      </c>
      <c r="AP144" s="261">
        <v>0</v>
      </c>
      <c r="AQ144" s="261">
        <v>1</v>
      </c>
      <c r="AR144" s="261">
        <v>0</v>
      </c>
      <c r="AS144" s="261">
        <v>0</v>
      </c>
      <c r="AT144" s="261">
        <v>1</v>
      </c>
      <c r="AU144" s="261">
        <v>0</v>
      </c>
      <c r="AV144" s="261">
        <v>0</v>
      </c>
      <c r="AW144" s="261">
        <v>0</v>
      </c>
      <c r="AX144" s="261">
        <v>1</v>
      </c>
      <c r="AY144" s="261">
        <v>0</v>
      </c>
      <c r="AZ144" s="261">
        <v>1</v>
      </c>
      <c r="BA144" s="261">
        <v>0</v>
      </c>
      <c r="BB144" s="261">
        <v>0</v>
      </c>
      <c r="BC144" s="261">
        <v>0</v>
      </c>
      <c r="BD144" s="261">
        <v>0</v>
      </c>
      <c r="BE144" s="261">
        <v>0</v>
      </c>
      <c r="BF144" s="261">
        <v>0</v>
      </c>
      <c r="BG144" s="261">
        <v>0</v>
      </c>
      <c r="BH144" s="261">
        <v>0</v>
      </c>
      <c r="BI144" s="261">
        <v>0</v>
      </c>
      <c r="BJ144" s="261">
        <v>0</v>
      </c>
    </row>
    <row r="145" s="261" customFormat="1" ht="41.75" hidden="1" customHeight="1">
      <c r="D145" s="265"/>
      <c r="E145" s="244" t="s">
        <v>714</v>
      </c>
      <c r="F145" s="111" t="s">
        <v>533</v>
      </c>
      <c r="G145" s="244" t="s">
        <v>486</v>
      </c>
      <c r="H145" s="244"/>
      <c r="I145" s="244"/>
      <c r="J145" s="111" t="s">
        <v>715</v>
      </c>
      <c r="K145" s="265"/>
      <c r="L145" s="261" t="s">
        <v>447</v>
      </c>
      <c r="M145" s="261">
        <v>0</v>
      </c>
      <c r="N145" s="261">
        <v>0</v>
      </c>
      <c r="O145" s="261">
        <v>0</v>
      </c>
      <c r="P145" s="142">
        <v>0</v>
      </c>
      <c r="Q145" s="261">
        <v>0</v>
      </c>
      <c r="R145" s="261">
        <v>0</v>
      </c>
      <c r="S145" s="261">
        <v>0</v>
      </c>
      <c r="T145" s="142">
        <v>0</v>
      </c>
      <c r="U145" s="261">
        <v>1</v>
      </c>
      <c r="V145" s="261">
        <v>0</v>
      </c>
      <c r="W145" s="261">
        <v>1</v>
      </c>
      <c r="X145" s="261">
        <v>0</v>
      </c>
      <c r="Y145" s="261">
        <v>1</v>
      </c>
      <c r="Z145" s="261">
        <v>0</v>
      </c>
      <c r="AA145" s="261">
        <v>0</v>
      </c>
      <c r="AB145" s="261">
        <v>0</v>
      </c>
      <c r="AC145" s="261">
        <v>0</v>
      </c>
      <c r="AD145" s="261">
        <v>1</v>
      </c>
      <c r="AE145" s="261">
        <v>1</v>
      </c>
      <c r="AF145" s="261">
        <v>1</v>
      </c>
      <c r="AG145" s="261">
        <v>1</v>
      </c>
      <c r="AH145" s="261">
        <v>1</v>
      </c>
      <c r="AI145" s="261">
        <v>0</v>
      </c>
      <c r="AJ145" s="261">
        <v>0</v>
      </c>
      <c r="AK145" s="261">
        <v>0</v>
      </c>
      <c r="AL145" s="261">
        <v>0</v>
      </c>
      <c r="AM145" s="261">
        <v>1</v>
      </c>
      <c r="AN145" s="261">
        <v>0</v>
      </c>
      <c r="AO145" s="261">
        <v>0</v>
      </c>
      <c r="AP145" s="261">
        <v>1</v>
      </c>
      <c r="AQ145" s="261">
        <v>1</v>
      </c>
      <c r="AR145" s="261">
        <v>0</v>
      </c>
      <c r="AS145" s="261">
        <v>0</v>
      </c>
      <c r="AT145" s="261">
        <v>0</v>
      </c>
      <c r="AU145" s="261">
        <v>0</v>
      </c>
      <c r="AV145" s="261">
        <v>0</v>
      </c>
      <c r="AW145" s="261">
        <v>0</v>
      </c>
      <c r="AX145" s="261">
        <v>1</v>
      </c>
      <c r="AY145" s="261">
        <v>0</v>
      </c>
      <c r="AZ145" s="261">
        <v>0</v>
      </c>
      <c r="BA145" s="261">
        <v>0</v>
      </c>
      <c r="BB145" s="261">
        <v>0</v>
      </c>
      <c r="BC145" s="261">
        <v>0</v>
      </c>
      <c r="BD145" s="261">
        <v>0</v>
      </c>
      <c r="BE145" s="261">
        <v>1</v>
      </c>
      <c r="BF145" s="261">
        <v>0</v>
      </c>
      <c r="BG145" s="261">
        <v>0</v>
      </c>
      <c r="BH145" s="261">
        <v>0</v>
      </c>
      <c r="BI145" s="261">
        <v>0</v>
      </c>
      <c r="BJ145" s="261">
        <v>0</v>
      </c>
    </row>
    <row r="146" s="261" customFormat="1" ht="28.399999999999999" hidden="1" customHeight="1">
      <c r="D146" s="265"/>
      <c r="E146" s="264" t="s">
        <v>716</v>
      </c>
      <c r="F146" s="111" t="s">
        <v>717</v>
      </c>
      <c r="G146" s="264" t="s">
        <v>486</v>
      </c>
      <c r="H146" s="264"/>
      <c r="I146" s="264"/>
      <c r="J146" s="111"/>
      <c r="K146" s="265"/>
      <c r="L146" s="261" t="s">
        <v>447</v>
      </c>
      <c r="M146" s="261">
        <v>0</v>
      </c>
      <c r="N146" s="261">
        <v>1</v>
      </c>
      <c r="O146" s="261">
        <v>0</v>
      </c>
      <c r="P146" s="142">
        <v>1</v>
      </c>
      <c r="Q146" s="261">
        <v>0</v>
      </c>
      <c r="R146" s="261">
        <v>0</v>
      </c>
      <c r="S146" s="261">
        <v>0</v>
      </c>
      <c r="T146" s="142">
        <v>0</v>
      </c>
      <c r="U146" s="261">
        <v>0</v>
      </c>
      <c r="V146" s="261">
        <v>1</v>
      </c>
      <c r="W146" s="261">
        <v>0</v>
      </c>
      <c r="X146" s="261">
        <v>0</v>
      </c>
      <c r="Y146" s="261">
        <v>1</v>
      </c>
      <c r="Z146" s="261">
        <v>0</v>
      </c>
      <c r="AA146" s="261">
        <v>1</v>
      </c>
      <c r="AB146" s="261">
        <v>0</v>
      </c>
      <c r="AC146" s="261">
        <v>0</v>
      </c>
      <c r="AD146" s="261">
        <v>0</v>
      </c>
      <c r="AE146" s="261">
        <v>1</v>
      </c>
      <c r="AF146" s="261">
        <v>1</v>
      </c>
      <c r="AG146" s="261">
        <v>1</v>
      </c>
      <c r="AH146" s="261">
        <v>0</v>
      </c>
      <c r="AI146" s="261">
        <v>0</v>
      </c>
      <c r="AJ146" s="261">
        <v>1</v>
      </c>
      <c r="AK146" s="261">
        <v>0</v>
      </c>
      <c r="AL146" s="261">
        <v>1</v>
      </c>
      <c r="AM146" s="261">
        <v>1</v>
      </c>
      <c r="AN146" s="261">
        <v>0</v>
      </c>
      <c r="AO146" s="261">
        <v>0</v>
      </c>
      <c r="AP146" s="261">
        <v>1</v>
      </c>
      <c r="AQ146" s="261">
        <v>1</v>
      </c>
      <c r="AR146" s="261">
        <v>0</v>
      </c>
      <c r="AS146" s="261">
        <v>0</v>
      </c>
      <c r="AT146" s="261">
        <v>0</v>
      </c>
      <c r="AU146" s="261">
        <v>1</v>
      </c>
      <c r="AV146" s="261">
        <v>0</v>
      </c>
      <c r="AW146" s="261">
        <v>1</v>
      </c>
      <c r="AX146" s="261">
        <v>0</v>
      </c>
      <c r="AY146" s="261">
        <v>0</v>
      </c>
      <c r="AZ146" s="261">
        <v>0</v>
      </c>
      <c r="BA146" s="261">
        <v>1</v>
      </c>
      <c r="BB146" s="261">
        <v>0</v>
      </c>
      <c r="BC146" s="261">
        <v>0</v>
      </c>
      <c r="BD146" s="261">
        <v>0</v>
      </c>
      <c r="BE146" s="261">
        <v>1</v>
      </c>
      <c r="BF146" s="261">
        <v>0</v>
      </c>
      <c r="BG146" s="261">
        <v>1</v>
      </c>
      <c r="BH146" s="261">
        <v>0</v>
      </c>
      <c r="BI146" s="261">
        <v>0</v>
      </c>
      <c r="BJ146" s="261">
        <v>0</v>
      </c>
    </row>
    <row r="147" s="261" customFormat="1" ht="28.5" hidden="1" customHeight="1">
      <c r="D147" s="265"/>
      <c r="E147" s="264" t="s">
        <v>718</v>
      </c>
      <c r="F147" s="111" t="s">
        <v>554</v>
      </c>
      <c r="G147" s="264" t="s">
        <v>486</v>
      </c>
      <c r="H147" s="264"/>
      <c r="I147" s="264"/>
      <c r="J147" s="111"/>
      <c r="K147" s="265"/>
      <c r="L147" s="261" t="s">
        <v>447</v>
      </c>
      <c r="M147" s="261">
        <v>0</v>
      </c>
      <c r="N147" s="261">
        <v>1</v>
      </c>
      <c r="O147" s="261">
        <v>0</v>
      </c>
      <c r="P147" s="142">
        <v>1</v>
      </c>
      <c r="Q147" s="261">
        <v>0</v>
      </c>
      <c r="R147" s="261">
        <v>0</v>
      </c>
      <c r="S147" s="261">
        <v>0</v>
      </c>
      <c r="T147" s="142">
        <v>0</v>
      </c>
      <c r="U147" s="261">
        <v>0</v>
      </c>
      <c r="V147" s="261">
        <v>1</v>
      </c>
      <c r="W147" s="261">
        <v>0</v>
      </c>
      <c r="X147" s="261">
        <v>0</v>
      </c>
      <c r="Y147" s="261">
        <v>1</v>
      </c>
      <c r="Z147" s="261">
        <v>0</v>
      </c>
      <c r="AA147" s="261">
        <v>1</v>
      </c>
      <c r="AB147" s="261">
        <v>0</v>
      </c>
      <c r="AC147" s="261">
        <v>0</v>
      </c>
      <c r="AD147" s="261">
        <v>0</v>
      </c>
      <c r="AE147" s="261">
        <v>1</v>
      </c>
      <c r="AF147" s="261">
        <v>1</v>
      </c>
      <c r="AG147" s="261">
        <v>1</v>
      </c>
      <c r="AH147" s="261">
        <v>1</v>
      </c>
      <c r="AI147" s="261">
        <v>0</v>
      </c>
      <c r="AJ147" s="261">
        <v>1</v>
      </c>
      <c r="AK147" s="261">
        <v>0</v>
      </c>
      <c r="AL147" s="261">
        <v>1</v>
      </c>
      <c r="AM147" s="261">
        <v>1</v>
      </c>
      <c r="AN147" s="261">
        <v>0</v>
      </c>
      <c r="AO147" s="261">
        <v>0</v>
      </c>
      <c r="AP147" s="261">
        <v>1</v>
      </c>
      <c r="AQ147" s="261">
        <v>1</v>
      </c>
      <c r="AR147" s="261">
        <v>0</v>
      </c>
      <c r="AS147" s="261">
        <v>0</v>
      </c>
      <c r="AT147" s="261">
        <v>0</v>
      </c>
      <c r="AU147" s="261">
        <v>1</v>
      </c>
      <c r="AV147" s="261">
        <v>0</v>
      </c>
      <c r="AW147" s="261">
        <v>0</v>
      </c>
      <c r="AX147" s="261">
        <v>1</v>
      </c>
      <c r="AY147" s="261">
        <v>0</v>
      </c>
      <c r="AZ147" s="261">
        <v>1</v>
      </c>
      <c r="BA147" s="261">
        <v>0</v>
      </c>
      <c r="BB147" s="261">
        <v>0</v>
      </c>
      <c r="BC147" s="261">
        <v>0</v>
      </c>
      <c r="BD147" s="261">
        <v>0</v>
      </c>
      <c r="BE147" s="261">
        <v>1</v>
      </c>
      <c r="BF147" s="261">
        <v>0</v>
      </c>
      <c r="BG147" s="261">
        <v>0</v>
      </c>
      <c r="BH147" s="261">
        <v>0</v>
      </c>
      <c r="BI147" s="261">
        <v>0</v>
      </c>
      <c r="BJ147" s="261">
        <v>0</v>
      </c>
    </row>
    <row r="148" s="261" customFormat="1" ht="28.399999999999999" hidden="1" customHeight="1">
      <c r="D148" s="265"/>
      <c r="E148" s="264" t="s">
        <v>719</v>
      </c>
      <c r="F148" s="111" t="s">
        <v>584</v>
      </c>
      <c r="G148" s="264" t="s">
        <v>486</v>
      </c>
      <c r="H148" s="264"/>
      <c r="I148" s="264"/>
      <c r="J148" s="111"/>
      <c r="K148" s="265"/>
      <c r="L148" s="261" t="s">
        <v>325</v>
      </c>
      <c r="M148" s="261">
        <v>0</v>
      </c>
      <c r="N148" s="261">
        <v>0</v>
      </c>
      <c r="O148" s="261">
        <v>0</v>
      </c>
      <c r="P148" s="142">
        <v>0</v>
      </c>
      <c r="Q148" s="261">
        <v>0</v>
      </c>
      <c r="R148" s="261">
        <v>0</v>
      </c>
      <c r="S148" s="261">
        <v>0</v>
      </c>
      <c r="T148" s="142">
        <v>0</v>
      </c>
      <c r="U148" s="261">
        <v>1</v>
      </c>
      <c r="V148" s="261">
        <v>1</v>
      </c>
      <c r="W148" s="261">
        <v>0</v>
      </c>
      <c r="X148" s="261">
        <v>0</v>
      </c>
      <c r="Y148" s="261">
        <v>1</v>
      </c>
      <c r="Z148" s="261">
        <v>0</v>
      </c>
      <c r="AA148" s="261">
        <v>0</v>
      </c>
      <c r="AB148" s="261">
        <v>0</v>
      </c>
      <c r="AC148" s="261">
        <v>0</v>
      </c>
      <c r="AD148" s="261">
        <v>1</v>
      </c>
      <c r="AE148" s="261">
        <v>1</v>
      </c>
      <c r="AF148" s="261">
        <v>1</v>
      </c>
      <c r="AG148" s="261">
        <v>1</v>
      </c>
      <c r="AH148" s="261">
        <v>0</v>
      </c>
      <c r="AI148" s="261">
        <v>0</v>
      </c>
      <c r="AJ148" s="261">
        <v>0</v>
      </c>
      <c r="AK148" s="261">
        <v>0</v>
      </c>
      <c r="AL148" s="261">
        <v>1</v>
      </c>
      <c r="AM148" s="261">
        <v>1</v>
      </c>
      <c r="AN148" s="261">
        <v>0</v>
      </c>
      <c r="AO148" s="261">
        <v>0</v>
      </c>
      <c r="AP148" s="261">
        <v>1</v>
      </c>
      <c r="AQ148" s="261">
        <v>1</v>
      </c>
      <c r="AR148" s="261">
        <v>0</v>
      </c>
      <c r="AS148" s="261">
        <v>0</v>
      </c>
      <c r="AT148" s="261">
        <v>0</v>
      </c>
      <c r="AU148" s="261">
        <v>1</v>
      </c>
      <c r="AV148" s="261">
        <v>0</v>
      </c>
      <c r="AW148" s="261">
        <v>0</v>
      </c>
      <c r="AX148" s="261">
        <v>1</v>
      </c>
      <c r="AY148" s="261">
        <v>0</v>
      </c>
      <c r="AZ148" s="261">
        <v>1</v>
      </c>
      <c r="BA148" s="261">
        <v>0</v>
      </c>
      <c r="BB148" s="261">
        <v>0</v>
      </c>
      <c r="BC148" s="261">
        <v>0</v>
      </c>
      <c r="BD148" s="261">
        <v>0</v>
      </c>
      <c r="BE148" s="261">
        <v>0</v>
      </c>
      <c r="BF148" s="261">
        <v>0</v>
      </c>
      <c r="BG148" s="261">
        <v>0</v>
      </c>
      <c r="BH148" s="261">
        <v>0</v>
      </c>
      <c r="BI148" s="261">
        <v>0</v>
      </c>
      <c r="BJ148" s="261">
        <v>0</v>
      </c>
    </row>
    <row r="149" s="142" customFormat="1" ht="41.75" customHeight="1">
      <c r="A149" s="266" t="s">
        <v>720</v>
      </c>
      <c r="C149" s="142" t="s">
        <v>721</v>
      </c>
      <c r="D149" s="196"/>
      <c r="E149" s="244" t="s">
        <v>722</v>
      </c>
      <c r="F149" s="196" t="s">
        <v>562</v>
      </c>
      <c r="G149" s="244" t="s">
        <v>486</v>
      </c>
      <c r="H149" s="267"/>
      <c r="I149" s="267"/>
      <c r="J149" s="196" t="s">
        <v>530</v>
      </c>
      <c r="K149" s="196"/>
      <c r="L149" s="142" t="s">
        <v>66</v>
      </c>
      <c r="M149" s="142">
        <v>1</v>
      </c>
      <c r="N149" s="142">
        <v>0</v>
      </c>
      <c r="O149" s="142">
        <v>0</v>
      </c>
      <c r="P149" s="142">
        <v>1</v>
      </c>
      <c r="Q149" s="142">
        <v>0</v>
      </c>
      <c r="R149" s="142">
        <v>0</v>
      </c>
      <c r="S149" s="142">
        <v>0</v>
      </c>
      <c r="T149" s="142">
        <v>0</v>
      </c>
      <c r="U149" s="142">
        <v>0</v>
      </c>
      <c r="V149" s="142">
        <v>1</v>
      </c>
      <c r="W149" s="142">
        <v>0</v>
      </c>
      <c r="X149" s="142">
        <v>0</v>
      </c>
      <c r="Y149" s="142">
        <v>0</v>
      </c>
      <c r="Z149" s="142">
        <v>1</v>
      </c>
      <c r="AA149" s="142">
        <v>1</v>
      </c>
      <c r="AB149" s="142">
        <v>0</v>
      </c>
      <c r="AC149" s="142">
        <v>0</v>
      </c>
      <c r="AD149" s="142">
        <v>0</v>
      </c>
      <c r="AE149" s="142">
        <v>1</v>
      </c>
      <c r="AF149" s="142">
        <v>1</v>
      </c>
      <c r="AG149" s="142">
        <v>0</v>
      </c>
      <c r="AH149" s="142">
        <v>0</v>
      </c>
      <c r="AI149" s="142">
        <v>0</v>
      </c>
      <c r="AJ149" s="142">
        <v>1</v>
      </c>
      <c r="AK149" s="142">
        <v>0</v>
      </c>
      <c r="AL149" s="142">
        <v>1</v>
      </c>
      <c r="AM149" s="142">
        <v>0</v>
      </c>
      <c r="AN149" s="142">
        <v>0</v>
      </c>
      <c r="AO149" s="142">
        <v>0</v>
      </c>
      <c r="AP149" s="142">
        <v>1</v>
      </c>
      <c r="AQ149" s="142">
        <v>1</v>
      </c>
      <c r="AR149" s="142">
        <v>0</v>
      </c>
      <c r="AS149" s="142">
        <v>1</v>
      </c>
      <c r="AT149" s="142">
        <v>0</v>
      </c>
      <c r="AU149" s="142">
        <v>1</v>
      </c>
      <c r="AV149" s="142">
        <v>0</v>
      </c>
      <c r="AW149" s="142">
        <v>0</v>
      </c>
      <c r="AX149" s="142">
        <v>1</v>
      </c>
      <c r="AY149" s="142">
        <v>0</v>
      </c>
      <c r="AZ149" s="142">
        <v>1</v>
      </c>
      <c r="BA149" s="142">
        <v>0</v>
      </c>
      <c r="BB149" s="142">
        <v>0</v>
      </c>
      <c r="BC149" s="142">
        <v>0</v>
      </c>
      <c r="BD149" s="142">
        <v>0</v>
      </c>
      <c r="BE149" s="142">
        <v>0</v>
      </c>
      <c r="BF149" s="142">
        <v>0</v>
      </c>
      <c r="BG149" s="142">
        <v>1</v>
      </c>
      <c r="BH149" s="142">
        <v>0</v>
      </c>
      <c r="BI149" s="142">
        <v>1</v>
      </c>
      <c r="BJ149" s="142">
        <v>0</v>
      </c>
    </row>
    <row r="150" s="261" customFormat="1" ht="28.399999999999999" hidden="1" customHeight="1">
      <c r="D150" s="265"/>
      <c r="E150" s="244" t="s">
        <v>723</v>
      </c>
      <c r="F150" s="111" t="s">
        <v>724</v>
      </c>
      <c r="G150" s="244" t="s">
        <v>486</v>
      </c>
      <c r="H150" s="244"/>
      <c r="I150" s="244"/>
      <c r="J150" s="111"/>
      <c r="K150" s="265"/>
      <c r="L150" s="261" t="s">
        <v>447</v>
      </c>
      <c r="M150" s="261">
        <v>0</v>
      </c>
      <c r="N150" s="261">
        <v>0</v>
      </c>
      <c r="O150" s="261">
        <v>0</v>
      </c>
      <c r="P150" s="142">
        <v>0</v>
      </c>
      <c r="Q150" s="261">
        <v>0</v>
      </c>
      <c r="R150" s="261">
        <v>0</v>
      </c>
      <c r="S150" s="261">
        <v>1</v>
      </c>
      <c r="T150" s="142">
        <v>1</v>
      </c>
      <c r="U150" s="261">
        <v>0</v>
      </c>
      <c r="V150" s="261">
        <v>1</v>
      </c>
      <c r="W150" s="261">
        <v>0</v>
      </c>
      <c r="X150" s="261">
        <v>0</v>
      </c>
      <c r="Y150" s="261">
        <v>1</v>
      </c>
      <c r="Z150" s="261">
        <v>0</v>
      </c>
      <c r="AA150" s="261">
        <v>0</v>
      </c>
      <c r="AB150" s="261">
        <v>0</v>
      </c>
      <c r="AC150" s="261">
        <v>1</v>
      </c>
      <c r="AD150" s="261">
        <v>0</v>
      </c>
      <c r="AE150" s="261">
        <v>1</v>
      </c>
      <c r="AF150" s="261">
        <v>1</v>
      </c>
      <c r="AG150" s="261">
        <v>1</v>
      </c>
      <c r="AH150" s="261">
        <v>0</v>
      </c>
      <c r="AI150" s="261">
        <v>0</v>
      </c>
      <c r="AJ150" s="261">
        <v>0</v>
      </c>
      <c r="AK150" s="261">
        <v>0</v>
      </c>
      <c r="AL150" s="261">
        <v>1</v>
      </c>
      <c r="AM150" s="261">
        <v>1</v>
      </c>
      <c r="AN150" s="261">
        <v>0</v>
      </c>
      <c r="AO150" s="261">
        <v>0</v>
      </c>
      <c r="AP150" s="261">
        <v>1</v>
      </c>
      <c r="AQ150" s="261">
        <v>1</v>
      </c>
      <c r="AR150" s="261">
        <v>0</v>
      </c>
      <c r="AS150" s="261">
        <v>1</v>
      </c>
      <c r="AT150" s="261">
        <v>0</v>
      </c>
      <c r="AU150" s="261">
        <v>0</v>
      </c>
      <c r="AV150" s="261">
        <v>0</v>
      </c>
      <c r="AW150" s="261">
        <v>1</v>
      </c>
      <c r="AX150" s="261">
        <v>0</v>
      </c>
      <c r="AY150" s="261">
        <v>0</v>
      </c>
      <c r="AZ150" s="261">
        <v>0</v>
      </c>
      <c r="BA150" s="261">
        <v>0</v>
      </c>
      <c r="BB150" s="261">
        <v>1</v>
      </c>
      <c r="BC150" s="261">
        <v>0</v>
      </c>
      <c r="BD150" s="261">
        <v>0</v>
      </c>
      <c r="BE150" s="261">
        <v>0</v>
      </c>
      <c r="BF150" s="261">
        <v>0</v>
      </c>
      <c r="BG150" s="261">
        <v>0</v>
      </c>
      <c r="BH150" s="261">
        <v>0</v>
      </c>
      <c r="BI150" s="261">
        <v>0</v>
      </c>
      <c r="BJ150" s="261">
        <v>0</v>
      </c>
    </row>
    <row r="151" s="250" customFormat="1" ht="41.75" hidden="1" customHeight="1">
      <c r="A151" s="144"/>
      <c r="D151" s="251"/>
      <c r="E151" s="268" t="s">
        <v>725</v>
      </c>
      <c r="F151" s="145" t="s">
        <v>726</v>
      </c>
      <c r="G151" s="268" t="s">
        <v>486</v>
      </c>
      <c r="H151" s="268"/>
      <c r="I151" s="268"/>
      <c r="J151" s="145" t="s">
        <v>727</v>
      </c>
      <c r="K151" s="251"/>
      <c r="L151" s="250" t="s">
        <v>325</v>
      </c>
      <c r="M151" s="250">
        <v>0</v>
      </c>
      <c r="N151" s="250">
        <v>0</v>
      </c>
      <c r="O151" s="250">
        <v>1</v>
      </c>
      <c r="P151" s="162">
        <v>1</v>
      </c>
      <c r="Q151" s="250">
        <v>0</v>
      </c>
      <c r="R151" s="250">
        <v>0</v>
      </c>
      <c r="S151" s="250">
        <v>0</v>
      </c>
      <c r="T151" s="162">
        <v>0</v>
      </c>
      <c r="U151" s="250">
        <v>0</v>
      </c>
      <c r="V151" s="250">
        <v>1</v>
      </c>
      <c r="W151" s="250">
        <v>0</v>
      </c>
      <c r="X151" s="250">
        <v>1</v>
      </c>
      <c r="Y151" s="250">
        <v>0</v>
      </c>
      <c r="Z151" s="250">
        <v>1</v>
      </c>
      <c r="AA151" s="250">
        <v>1</v>
      </c>
      <c r="AB151" s="250">
        <v>0</v>
      </c>
      <c r="AC151" s="250">
        <v>0</v>
      </c>
      <c r="AD151" s="250">
        <v>0</v>
      </c>
      <c r="AE151" s="250">
        <v>1</v>
      </c>
      <c r="AF151" s="250">
        <v>0</v>
      </c>
      <c r="AG151" s="250">
        <v>1</v>
      </c>
      <c r="AH151" s="250">
        <v>1</v>
      </c>
      <c r="AI151" s="250">
        <v>1</v>
      </c>
      <c r="AJ151" s="250">
        <v>1</v>
      </c>
      <c r="AK151" s="250">
        <v>1</v>
      </c>
      <c r="AL151" s="250">
        <v>1</v>
      </c>
      <c r="AM151" s="250">
        <v>0</v>
      </c>
      <c r="AN151" s="250">
        <v>1</v>
      </c>
      <c r="AO151" s="250">
        <v>0</v>
      </c>
      <c r="AP151" s="250">
        <v>1</v>
      </c>
      <c r="AQ151" s="250">
        <v>1</v>
      </c>
      <c r="AR151" s="250">
        <v>0</v>
      </c>
      <c r="AS151" s="250">
        <v>0</v>
      </c>
      <c r="AT151" s="250">
        <v>0</v>
      </c>
      <c r="AU151" s="250">
        <v>0</v>
      </c>
      <c r="AV151" s="250">
        <v>0</v>
      </c>
      <c r="AW151" s="250">
        <v>0</v>
      </c>
      <c r="AX151" s="250">
        <v>0</v>
      </c>
      <c r="AY151" s="250">
        <v>0</v>
      </c>
      <c r="AZ151" s="250">
        <v>0</v>
      </c>
      <c r="BA151" s="250">
        <v>0</v>
      </c>
      <c r="BB151" s="250">
        <v>0</v>
      </c>
      <c r="BC151" s="250">
        <v>0</v>
      </c>
      <c r="BD151" s="250">
        <v>0</v>
      </c>
      <c r="BE151" s="250">
        <v>1</v>
      </c>
      <c r="BF151" s="250">
        <v>0</v>
      </c>
      <c r="BG151" s="250">
        <v>0</v>
      </c>
      <c r="BH151" s="250">
        <v>0</v>
      </c>
      <c r="BI151" s="250">
        <v>0</v>
      </c>
      <c r="BJ151" s="250">
        <v>0</v>
      </c>
    </row>
    <row r="152" s="261" customFormat="1" ht="15.75" customHeight="1">
      <c r="A152" s="137" t="s">
        <v>481</v>
      </c>
      <c r="B152" s="261" t="s">
        <v>482</v>
      </c>
      <c r="C152" s="261" t="s">
        <v>149</v>
      </c>
      <c r="D152" s="269" t="s">
        <v>60</v>
      </c>
      <c r="E152" s="264" t="s">
        <v>728</v>
      </c>
      <c r="F152" s="111" t="s">
        <v>546</v>
      </c>
      <c r="G152" s="264" t="s">
        <v>486</v>
      </c>
      <c r="H152" s="270"/>
      <c r="I152" s="270"/>
      <c r="J152" s="111"/>
      <c r="K152" s="265">
        <v>3</v>
      </c>
      <c r="L152" s="261" t="s">
        <v>447</v>
      </c>
      <c r="M152" s="261">
        <v>0</v>
      </c>
      <c r="N152" s="261">
        <v>0</v>
      </c>
      <c r="O152" s="261">
        <v>0</v>
      </c>
      <c r="P152" s="142">
        <v>0</v>
      </c>
      <c r="Q152" s="261">
        <v>1</v>
      </c>
      <c r="R152" s="261">
        <v>0</v>
      </c>
      <c r="S152" s="261">
        <v>0</v>
      </c>
      <c r="T152" s="142">
        <v>1</v>
      </c>
      <c r="U152" s="261">
        <v>0</v>
      </c>
      <c r="V152" s="261">
        <v>1</v>
      </c>
      <c r="W152" s="261">
        <v>0</v>
      </c>
      <c r="X152" s="261">
        <v>0</v>
      </c>
      <c r="Y152" s="261">
        <v>1</v>
      </c>
      <c r="Z152" s="261">
        <v>0</v>
      </c>
      <c r="AA152" s="261">
        <v>0</v>
      </c>
      <c r="AB152" s="261">
        <v>1</v>
      </c>
      <c r="AC152" s="261">
        <v>0</v>
      </c>
      <c r="AD152" s="261">
        <v>0</v>
      </c>
      <c r="AE152" s="261">
        <v>1</v>
      </c>
      <c r="AF152" s="261">
        <v>1</v>
      </c>
      <c r="AG152" s="261">
        <v>1</v>
      </c>
      <c r="AH152" s="261">
        <v>1</v>
      </c>
      <c r="AI152" s="261">
        <v>0</v>
      </c>
      <c r="AJ152" s="261">
        <v>0</v>
      </c>
      <c r="AK152" s="261">
        <v>0</v>
      </c>
      <c r="AL152" s="261">
        <v>0</v>
      </c>
      <c r="AM152" s="261">
        <v>1</v>
      </c>
      <c r="AN152" s="261">
        <v>0</v>
      </c>
      <c r="AP152" s="261">
        <v>1</v>
      </c>
      <c r="AQ152" s="261">
        <v>0</v>
      </c>
      <c r="AR152" s="261">
        <v>0</v>
      </c>
      <c r="AS152" s="261">
        <v>0</v>
      </c>
      <c r="AT152" s="261">
        <v>0</v>
      </c>
      <c r="AU152" s="261">
        <v>0</v>
      </c>
      <c r="AV152" s="261">
        <v>0</v>
      </c>
      <c r="AW152" s="261">
        <v>0</v>
      </c>
      <c r="AX152" s="261">
        <v>0</v>
      </c>
      <c r="AY152" s="261">
        <v>0</v>
      </c>
      <c r="AZ152" s="261">
        <v>0</v>
      </c>
      <c r="BA152" s="261">
        <v>0</v>
      </c>
      <c r="BB152" s="261">
        <v>0</v>
      </c>
      <c r="BC152" s="261">
        <v>0</v>
      </c>
      <c r="BD152" s="261">
        <v>0</v>
      </c>
      <c r="BE152" s="261">
        <v>0</v>
      </c>
      <c r="BF152" s="261">
        <v>0</v>
      </c>
      <c r="BG152" s="261">
        <v>0</v>
      </c>
      <c r="BH152" s="261">
        <v>0</v>
      </c>
      <c r="BI152" s="261">
        <v>0</v>
      </c>
      <c r="BJ152" s="261">
        <v>0</v>
      </c>
    </row>
    <row r="153" s="142" customFormat="1" ht="15.75" hidden="1" customHeight="1">
      <c r="D153" s="271"/>
      <c r="E153" s="244" t="s">
        <v>729</v>
      </c>
      <c r="F153" s="196" t="s">
        <v>646</v>
      </c>
      <c r="G153" s="244" t="s">
        <v>486</v>
      </c>
      <c r="H153" s="244"/>
      <c r="I153" s="244"/>
      <c r="J153" s="196"/>
      <c r="K153" s="196"/>
      <c r="L153" s="142" t="s">
        <v>447</v>
      </c>
      <c r="M153" s="142">
        <v>1</v>
      </c>
      <c r="N153" s="142">
        <v>0</v>
      </c>
      <c r="O153" s="142">
        <v>0</v>
      </c>
      <c r="P153" s="142">
        <v>1</v>
      </c>
      <c r="Q153" s="142">
        <v>0</v>
      </c>
      <c r="R153" s="142">
        <v>0</v>
      </c>
      <c r="S153" s="142">
        <v>0</v>
      </c>
      <c r="T153" s="142">
        <v>0</v>
      </c>
      <c r="U153" s="142">
        <v>0</v>
      </c>
      <c r="V153" s="142">
        <v>0</v>
      </c>
      <c r="W153" s="142">
        <v>1</v>
      </c>
      <c r="X153" s="142">
        <v>0</v>
      </c>
      <c r="Y153" s="142">
        <v>0</v>
      </c>
      <c r="Z153" s="142">
        <v>1</v>
      </c>
      <c r="AA153" s="142">
        <v>1</v>
      </c>
      <c r="AB153" s="142">
        <v>0</v>
      </c>
      <c r="AC153" s="142">
        <v>0</v>
      </c>
      <c r="AD153" s="142">
        <v>0</v>
      </c>
      <c r="AE153" s="142">
        <v>1</v>
      </c>
      <c r="AF153" s="142">
        <v>0</v>
      </c>
      <c r="AG153" s="142">
        <v>0</v>
      </c>
      <c r="AH153" s="142">
        <v>0</v>
      </c>
      <c r="AI153" s="142">
        <v>0</v>
      </c>
      <c r="AJ153" s="142">
        <v>1</v>
      </c>
      <c r="AK153" s="142">
        <v>0</v>
      </c>
      <c r="AL153" s="142">
        <v>1</v>
      </c>
      <c r="AM153" s="142">
        <v>0</v>
      </c>
      <c r="AN153" s="142">
        <v>0</v>
      </c>
      <c r="AO153" s="142">
        <v>1</v>
      </c>
      <c r="AP153" s="142">
        <v>0</v>
      </c>
      <c r="AQ153" s="142">
        <v>1</v>
      </c>
      <c r="AR153" s="142">
        <v>0</v>
      </c>
      <c r="AS153" s="142">
        <v>0</v>
      </c>
      <c r="AT153" s="142">
        <v>1</v>
      </c>
      <c r="AU153" s="142">
        <v>0</v>
      </c>
      <c r="AV153" s="142">
        <v>0</v>
      </c>
      <c r="AW153" s="142">
        <v>1</v>
      </c>
      <c r="AX153" s="142">
        <v>0</v>
      </c>
      <c r="AY153" s="142">
        <v>0</v>
      </c>
      <c r="AZ153" s="142">
        <v>0</v>
      </c>
      <c r="BA153" s="142">
        <v>0</v>
      </c>
      <c r="BB153" s="142">
        <v>1</v>
      </c>
      <c r="BC153" s="142">
        <v>0</v>
      </c>
      <c r="BD153" s="142">
        <v>1</v>
      </c>
      <c r="BE153" s="142">
        <v>0</v>
      </c>
      <c r="BF153" s="142">
        <v>0</v>
      </c>
      <c r="BG153" s="142">
        <v>0</v>
      </c>
      <c r="BH153" s="142">
        <v>0</v>
      </c>
      <c r="BI153" s="142">
        <v>0</v>
      </c>
      <c r="BJ153" s="142">
        <v>0</v>
      </c>
    </row>
    <row r="154" s="250" customFormat="1" ht="30.75" hidden="1" customHeight="1">
      <c r="A154" s="144"/>
      <c r="D154" s="272"/>
      <c r="E154" s="268" t="s">
        <v>730</v>
      </c>
      <c r="F154" s="145" t="s">
        <v>529</v>
      </c>
      <c r="G154" s="268" t="s">
        <v>486</v>
      </c>
      <c r="H154" s="268"/>
      <c r="I154" s="268"/>
      <c r="J154" s="145"/>
      <c r="K154" s="251"/>
      <c r="L154" s="250" t="s">
        <v>447</v>
      </c>
      <c r="M154" s="250">
        <v>0</v>
      </c>
      <c r="N154" s="250">
        <v>0</v>
      </c>
      <c r="O154" s="250">
        <v>0</v>
      </c>
      <c r="P154" s="142">
        <v>0</v>
      </c>
      <c r="Q154" s="250">
        <v>1</v>
      </c>
      <c r="R154" s="250">
        <v>0</v>
      </c>
      <c r="S154" s="250">
        <v>0</v>
      </c>
      <c r="T154" s="142">
        <v>1</v>
      </c>
      <c r="U154" s="250">
        <v>0</v>
      </c>
      <c r="V154" s="250">
        <v>1</v>
      </c>
      <c r="W154" s="250">
        <v>0</v>
      </c>
      <c r="X154" s="250">
        <v>1</v>
      </c>
      <c r="Y154" s="250">
        <v>1</v>
      </c>
      <c r="Z154" s="250">
        <v>0</v>
      </c>
      <c r="AA154" s="250">
        <v>0</v>
      </c>
      <c r="AB154" s="250">
        <v>1</v>
      </c>
      <c r="AC154" s="250">
        <v>0</v>
      </c>
      <c r="AD154" s="250">
        <v>0</v>
      </c>
      <c r="AE154" s="250">
        <v>1</v>
      </c>
      <c r="AF154" s="250">
        <v>1</v>
      </c>
      <c r="AG154" s="250">
        <v>0</v>
      </c>
      <c r="AH154" s="250">
        <v>0</v>
      </c>
      <c r="AI154" s="250">
        <v>0</v>
      </c>
      <c r="AJ154" s="250">
        <v>1</v>
      </c>
      <c r="AK154" s="250">
        <v>0</v>
      </c>
      <c r="AL154" s="250">
        <v>1</v>
      </c>
      <c r="AM154" s="250">
        <v>1</v>
      </c>
      <c r="AN154" s="250">
        <v>0</v>
      </c>
      <c r="AO154" s="250">
        <v>0</v>
      </c>
      <c r="AP154" s="250">
        <v>1</v>
      </c>
      <c r="AQ154" s="250">
        <v>1</v>
      </c>
      <c r="AR154" s="250">
        <v>0</v>
      </c>
      <c r="AS154" s="250">
        <v>0</v>
      </c>
      <c r="AT154" s="250">
        <v>0</v>
      </c>
      <c r="AU154" s="250">
        <v>0</v>
      </c>
      <c r="AV154" s="250">
        <v>0</v>
      </c>
      <c r="AW154" s="250">
        <v>0</v>
      </c>
      <c r="AX154" s="250">
        <v>1</v>
      </c>
      <c r="AY154" s="250">
        <v>0</v>
      </c>
      <c r="AZ154" s="250">
        <v>0</v>
      </c>
      <c r="BA154" s="250">
        <v>0</v>
      </c>
      <c r="BB154" s="250">
        <v>0</v>
      </c>
      <c r="BC154" s="250">
        <v>0</v>
      </c>
      <c r="BD154" s="250">
        <v>0</v>
      </c>
      <c r="BE154" s="250">
        <v>1</v>
      </c>
      <c r="BF154" s="250">
        <v>0</v>
      </c>
      <c r="BG154" s="250">
        <v>0</v>
      </c>
      <c r="BH154" s="250">
        <v>0</v>
      </c>
      <c r="BI154" s="250">
        <v>0</v>
      </c>
      <c r="BJ154" s="250">
        <v>0</v>
      </c>
    </row>
    <row r="155" s="250" customFormat="1" ht="28.399999999999999" customHeight="1">
      <c r="A155" s="137" t="s">
        <v>481</v>
      </c>
      <c r="B155" s="273" t="s">
        <v>482</v>
      </c>
      <c r="C155" s="250" t="s">
        <v>160</v>
      </c>
      <c r="D155" s="250" t="s">
        <v>60</v>
      </c>
      <c r="E155" s="251" t="s">
        <v>731</v>
      </c>
      <c r="F155" s="145" t="s">
        <v>644</v>
      </c>
      <c r="G155" s="274" t="s">
        <v>498</v>
      </c>
      <c r="H155" s="252"/>
      <c r="I155" s="252"/>
      <c r="J155" s="145"/>
      <c r="K155" s="251">
        <v>1</v>
      </c>
      <c r="L155" s="250" t="s">
        <v>492</v>
      </c>
      <c r="M155" s="250">
        <v>1</v>
      </c>
      <c r="N155" s="250">
        <v>0</v>
      </c>
      <c r="O155" s="250">
        <v>0</v>
      </c>
      <c r="P155" s="142">
        <v>1</v>
      </c>
      <c r="Q155" s="250">
        <v>0</v>
      </c>
      <c r="R155" s="250">
        <v>0</v>
      </c>
      <c r="S155" s="250">
        <v>0</v>
      </c>
      <c r="T155" s="142">
        <v>0</v>
      </c>
      <c r="U155" s="250">
        <v>0</v>
      </c>
      <c r="V155" s="250">
        <v>1</v>
      </c>
      <c r="W155" s="250">
        <v>0</v>
      </c>
      <c r="X155" s="250">
        <v>0</v>
      </c>
      <c r="Y155" s="250">
        <v>0</v>
      </c>
      <c r="Z155" s="250">
        <v>1</v>
      </c>
      <c r="AA155" s="250">
        <v>1</v>
      </c>
      <c r="AB155" s="250">
        <v>0</v>
      </c>
      <c r="AC155" s="250">
        <v>0</v>
      </c>
      <c r="AD155" s="250">
        <v>0</v>
      </c>
      <c r="AE155" s="250">
        <v>1</v>
      </c>
      <c r="AF155" s="250">
        <v>1</v>
      </c>
      <c r="AG155" s="250">
        <v>0</v>
      </c>
      <c r="AH155" s="250">
        <v>0</v>
      </c>
      <c r="AI155" s="250">
        <v>0</v>
      </c>
      <c r="AJ155" s="250">
        <v>1</v>
      </c>
      <c r="AK155" s="250">
        <v>0</v>
      </c>
      <c r="AL155" s="250">
        <v>1</v>
      </c>
      <c r="AM155" s="250">
        <v>1</v>
      </c>
      <c r="AN155" s="250">
        <v>0</v>
      </c>
      <c r="AO155" s="250">
        <v>0</v>
      </c>
      <c r="AP155" s="250">
        <v>1</v>
      </c>
      <c r="AQ155" s="250">
        <v>1</v>
      </c>
      <c r="AR155" s="250">
        <v>0</v>
      </c>
      <c r="AS155" s="250">
        <v>0</v>
      </c>
      <c r="AT155" s="250">
        <v>0</v>
      </c>
      <c r="AU155" s="250">
        <v>1</v>
      </c>
      <c r="AV155" s="250">
        <v>0</v>
      </c>
      <c r="AW155" s="250">
        <v>1</v>
      </c>
      <c r="AX155" s="250">
        <v>0</v>
      </c>
      <c r="AY155" s="250">
        <v>0</v>
      </c>
      <c r="AZ155" s="250">
        <v>0</v>
      </c>
      <c r="BA155" s="250">
        <v>0</v>
      </c>
      <c r="BB155" s="250">
        <v>1</v>
      </c>
      <c r="BC155" s="250">
        <v>0</v>
      </c>
      <c r="BD155" s="250">
        <v>0</v>
      </c>
      <c r="BE155" s="250">
        <v>0</v>
      </c>
      <c r="BF155" s="250">
        <v>0</v>
      </c>
      <c r="BG155" s="250">
        <v>1</v>
      </c>
      <c r="BH155" s="250">
        <v>0</v>
      </c>
      <c r="BI155" s="250">
        <v>0</v>
      </c>
      <c r="BJ155" s="250">
        <v>1</v>
      </c>
    </row>
    <row r="156" s="253" customFormat="1" ht="28.399999999999999" customHeight="1">
      <c r="A156" s="144"/>
      <c r="B156" s="255" t="s">
        <v>482</v>
      </c>
      <c r="C156" s="253" t="s">
        <v>162</v>
      </c>
      <c r="D156" s="253" t="s">
        <v>24</v>
      </c>
      <c r="E156" s="257" t="s">
        <v>732</v>
      </c>
      <c r="F156" s="257" t="s">
        <v>733</v>
      </c>
      <c r="G156" s="258" t="s">
        <v>498</v>
      </c>
      <c r="H156" s="259"/>
      <c r="I156" s="259"/>
      <c r="J156" s="257" t="s">
        <v>734</v>
      </c>
      <c r="K156" s="257">
        <v>1</v>
      </c>
      <c r="L156" s="253" t="s">
        <v>325</v>
      </c>
      <c r="M156" s="253">
        <v>0</v>
      </c>
      <c r="N156" s="253">
        <v>0</v>
      </c>
      <c r="O156" s="253">
        <v>0</v>
      </c>
      <c r="P156" s="260">
        <v>0</v>
      </c>
      <c r="Q156" s="253">
        <v>0</v>
      </c>
      <c r="R156" s="253">
        <v>0</v>
      </c>
      <c r="S156" s="253">
        <v>0</v>
      </c>
      <c r="T156" s="260">
        <v>0</v>
      </c>
      <c r="U156" s="253">
        <v>1</v>
      </c>
      <c r="V156" s="253">
        <v>0</v>
      </c>
      <c r="W156" s="253">
        <v>1</v>
      </c>
      <c r="X156" s="253">
        <v>0</v>
      </c>
      <c r="Y156" s="253">
        <v>0</v>
      </c>
      <c r="Z156" s="253">
        <v>1</v>
      </c>
      <c r="AA156" s="253">
        <v>0</v>
      </c>
      <c r="AB156" s="253">
        <v>0</v>
      </c>
      <c r="AC156" s="253">
        <v>0</v>
      </c>
      <c r="AD156" s="253">
        <v>1</v>
      </c>
      <c r="AE156" s="253">
        <v>1</v>
      </c>
      <c r="AF156" s="253">
        <v>1</v>
      </c>
      <c r="AG156" s="253">
        <v>0</v>
      </c>
      <c r="AH156" s="253">
        <v>0</v>
      </c>
      <c r="AI156" s="253">
        <v>0</v>
      </c>
      <c r="AJ156" s="253">
        <v>0</v>
      </c>
      <c r="AK156" s="253">
        <v>0</v>
      </c>
      <c r="AL156" s="253">
        <v>1</v>
      </c>
      <c r="AM156" s="253">
        <v>0</v>
      </c>
      <c r="AN156" s="253">
        <v>0</v>
      </c>
      <c r="AO156" s="253">
        <v>1</v>
      </c>
      <c r="AP156" s="253">
        <v>0</v>
      </c>
      <c r="AQ156" s="253">
        <v>1</v>
      </c>
      <c r="AR156" s="253">
        <v>0</v>
      </c>
      <c r="AS156" s="253">
        <v>0</v>
      </c>
      <c r="AT156" s="253">
        <v>0</v>
      </c>
      <c r="AU156" s="253">
        <v>1</v>
      </c>
      <c r="AV156" s="253">
        <v>0</v>
      </c>
      <c r="AW156" s="253">
        <v>0</v>
      </c>
      <c r="AX156" s="253">
        <v>1</v>
      </c>
      <c r="AY156" s="253">
        <v>0</v>
      </c>
      <c r="AZ156" s="253">
        <v>1</v>
      </c>
      <c r="BA156" s="253">
        <v>0</v>
      </c>
      <c r="BB156" s="253">
        <v>0</v>
      </c>
      <c r="BC156" s="253">
        <v>0</v>
      </c>
      <c r="BD156" s="253">
        <v>0</v>
      </c>
      <c r="BE156" s="253">
        <v>0</v>
      </c>
      <c r="BF156" s="253">
        <v>0</v>
      </c>
      <c r="BG156" s="253">
        <v>0</v>
      </c>
      <c r="BH156" s="253">
        <v>0</v>
      </c>
      <c r="BI156" s="253">
        <v>0</v>
      </c>
      <c r="BJ156" s="253">
        <v>0</v>
      </c>
    </row>
    <row r="157" s="275" customFormat="1" ht="41.75" customHeight="1">
      <c r="A157" s="137" t="s">
        <v>481</v>
      </c>
      <c r="B157" s="275" t="s">
        <v>482</v>
      </c>
      <c r="C157" s="275" t="s">
        <v>164</v>
      </c>
      <c r="D157" s="276" t="s">
        <v>24</v>
      </c>
      <c r="E157" s="233" t="s">
        <v>735</v>
      </c>
      <c r="F157" s="233" t="s">
        <v>608</v>
      </c>
      <c r="G157" s="233" t="s">
        <v>498</v>
      </c>
      <c r="H157" s="277"/>
      <c r="I157" s="277"/>
      <c r="J157" s="233" t="s">
        <v>736</v>
      </c>
      <c r="K157" s="233">
        <v>1</v>
      </c>
      <c r="L157" s="275" t="s">
        <v>492</v>
      </c>
      <c r="M157" s="275">
        <v>0</v>
      </c>
      <c r="N157" s="275">
        <v>0</v>
      </c>
      <c r="O157" s="275">
        <v>0</v>
      </c>
      <c r="P157" s="142">
        <v>0</v>
      </c>
      <c r="Q157" s="275">
        <v>0</v>
      </c>
      <c r="R157" s="275">
        <v>0</v>
      </c>
      <c r="S157" s="275">
        <v>1</v>
      </c>
      <c r="T157" s="142">
        <v>1</v>
      </c>
      <c r="U157" s="275">
        <v>0</v>
      </c>
      <c r="V157" s="275">
        <v>1</v>
      </c>
      <c r="W157" s="275">
        <v>0</v>
      </c>
      <c r="X157" s="275">
        <v>0</v>
      </c>
      <c r="Y157" s="275">
        <v>1</v>
      </c>
      <c r="Z157" s="275">
        <v>0</v>
      </c>
      <c r="AA157" s="275">
        <v>0</v>
      </c>
      <c r="AB157" s="275">
        <v>0</v>
      </c>
      <c r="AC157" s="275">
        <v>1</v>
      </c>
      <c r="AD157" s="275">
        <v>0</v>
      </c>
      <c r="AE157" s="275">
        <v>1</v>
      </c>
      <c r="AF157" s="275">
        <v>1</v>
      </c>
      <c r="AG157" s="275">
        <v>1</v>
      </c>
      <c r="AH157" s="275">
        <v>1</v>
      </c>
      <c r="AI157" s="275">
        <v>1</v>
      </c>
      <c r="AJ157" s="275">
        <v>1</v>
      </c>
      <c r="AK157" s="275">
        <v>0</v>
      </c>
      <c r="AL157" s="275">
        <v>1</v>
      </c>
      <c r="AM157" s="275">
        <v>1</v>
      </c>
      <c r="AN157" s="275">
        <v>0</v>
      </c>
      <c r="AO157" s="275">
        <v>0</v>
      </c>
      <c r="AP157" s="275">
        <v>1</v>
      </c>
      <c r="AQ157" s="275">
        <v>1</v>
      </c>
      <c r="AR157" s="275">
        <v>0</v>
      </c>
      <c r="AS157" s="275">
        <v>0</v>
      </c>
      <c r="AT157" s="275">
        <v>1</v>
      </c>
      <c r="AU157" s="275">
        <v>0</v>
      </c>
      <c r="AV157" s="275">
        <v>0</v>
      </c>
      <c r="AW157" s="275">
        <v>1</v>
      </c>
      <c r="AX157" s="275">
        <v>0</v>
      </c>
      <c r="AY157" s="275">
        <v>0</v>
      </c>
      <c r="AZ157" s="275">
        <v>0</v>
      </c>
      <c r="BA157" s="275">
        <v>0</v>
      </c>
      <c r="BB157" s="275">
        <v>1</v>
      </c>
      <c r="BC157" s="275">
        <v>0</v>
      </c>
      <c r="BD157" s="275">
        <v>1</v>
      </c>
      <c r="BE157" s="275">
        <v>0</v>
      </c>
      <c r="BF157" s="275">
        <v>0</v>
      </c>
      <c r="BG157" s="275">
        <v>1</v>
      </c>
      <c r="BH157" s="275">
        <v>0</v>
      </c>
      <c r="BI157" s="275">
        <v>0</v>
      </c>
      <c r="BJ157" s="275">
        <v>0</v>
      </c>
    </row>
    <row r="158" s="261" customFormat="1" ht="55.25" customHeight="1">
      <c r="A158" s="137" t="s">
        <v>481</v>
      </c>
      <c r="B158" s="261" t="s">
        <v>482</v>
      </c>
      <c r="C158" s="262" t="s">
        <v>170</v>
      </c>
      <c r="D158" s="278" t="s">
        <v>60</v>
      </c>
      <c r="E158" s="264" t="s">
        <v>737</v>
      </c>
      <c r="F158" s="111" t="s">
        <v>485</v>
      </c>
      <c r="G158" s="264" t="s">
        <v>486</v>
      </c>
      <c r="H158" s="270"/>
      <c r="I158" s="270"/>
      <c r="J158" s="111"/>
      <c r="K158" s="263">
        <v>2</v>
      </c>
      <c r="L158" s="261" t="s">
        <v>338</v>
      </c>
      <c r="M158" s="261">
        <v>1</v>
      </c>
      <c r="N158" s="261">
        <v>0</v>
      </c>
      <c r="O158" s="261">
        <v>1</v>
      </c>
      <c r="P158" s="142">
        <v>1</v>
      </c>
      <c r="Q158" s="261">
        <v>0</v>
      </c>
      <c r="R158" s="261">
        <v>0</v>
      </c>
      <c r="S158" s="261">
        <v>0</v>
      </c>
      <c r="T158" s="142">
        <v>0</v>
      </c>
      <c r="U158" s="261">
        <v>0</v>
      </c>
      <c r="V158" s="261">
        <v>1</v>
      </c>
      <c r="W158" s="261">
        <v>0</v>
      </c>
      <c r="X158" s="261">
        <v>0</v>
      </c>
      <c r="Y158" s="261">
        <v>0</v>
      </c>
      <c r="Z158" s="261">
        <v>1</v>
      </c>
      <c r="AA158" s="261">
        <v>1</v>
      </c>
      <c r="AB158" s="261">
        <v>0</v>
      </c>
      <c r="AC158" s="261">
        <v>0</v>
      </c>
      <c r="AD158" s="261">
        <v>0</v>
      </c>
      <c r="AE158" s="261">
        <v>1</v>
      </c>
      <c r="AF158" s="261">
        <v>1</v>
      </c>
      <c r="AG158" s="261">
        <v>0</v>
      </c>
      <c r="AH158" s="261">
        <v>0</v>
      </c>
      <c r="AI158" s="261">
        <v>1</v>
      </c>
      <c r="AJ158" s="261">
        <v>1</v>
      </c>
      <c r="AK158" s="261">
        <v>1</v>
      </c>
      <c r="AL158" s="261">
        <v>1</v>
      </c>
      <c r="AM158" s="261">
        <v>1</v>
      </c>
      <c r="AN158" s="261">
        <v>0</v>
      </c>
      <c r="AO158" s="261">
        <v>0</v>
      </c>
      <c r="AP158" s="261">
        <v>1</v>
      </c>
      <c r="AQ158" s="261">
        <v>1</v>
      </c>
      <c r="AR158" s="261">
        <v>0</v>
      </c>
      <c r="AS158" s="261">
        <v>0</v>
      </c>
      <c r="AT158" s="261">
        <v>1</v>
      </c>
      <c r="AU158" s="261">
        <v>0</v>
      </c>
      <c r="AV158" s="261">
        <v>0</v>
      </c>
      <c r="AW158" s="261">
        <v>0</v>
      </c>
      <c r="AX158" s="261">
        <v>1</v>
      </c>
      <c r="AY158" s="261">
        <v>0</v>
      </c>
      <c r="AZ158" s="261">
        <v>1</v>
      </c>
      <c r="BA158" s="261">
        <v>0</v>
      </c>
      <c r="BB158" s="261">
        <v>0</v>
      </c>
      <c r="BC158" s="261">
        <v>0</v>
      </c>
      <c r="BD158" s="261">
        <v>0</v>
      </c>
      <c r="BE158" s="261">
        <v>1</v>
      </c>
      <c r="BF158" s="261">
        <v>0</v>
      </c>
      <c r="BG158" s="261">
        <v>0</v>
      </c>
      <c r="BH158" s="261">
        <v>0</v>
      </c>
      <c r="BI158" s="261">
        <v>1</v>
      </c>
      <c r="BJ158" s="261">
        <v>0</v>
      </c>
    </row>
    <row r="159" s="250" customFormat="1" ht="15.75" hidden="1" customHeight="1">
      <c r="A159" s="144"/>
      <c r="D159" s="272"/>
      <c r="E159" s="206" t="s">
        <v>738</v>
      </c>
      <c r="F159" s="145" t="s">
        <v>516</v>
      </c>
      <c r="G159" s="206" t="s">
        <v>486</v>
      </c>
      <c r="H159" s="206"/>
      <c r="I159" s="206"/>
      <c r="J159" s="145"/>
      <c r="K159" s="251"/>
      <c r="L159" s="250" t="s">
        <v>447</v>
      </c>
      <c r="M159" s="250">
        <v>0</v>
      </c>
      <c r="N159" s="250">
        <v>0</v>
      </c>
      <c r="O159" s="250">
        <v>0</v>
      </c>
      <c r="P159" s="142">
        <v>0</v>
      </c>
      <c r="Q159" s="250">
        <v>0</v>
      </c>
      <c r="R159" s="250">
        <v>0</v>
      </c>
      <c r="S159" s="250">
        <v>1</v>
      </c>
      <c r="T159" s="142">
        <v>1</v>
      </c>
      <c r="U159" s="250">
        <v>0</v>
      </c>
      <c r="V159" s="250">
        <v>1</v>
      </c>
      <c r="W159" s="250">
        <v>0</v>
      </c>
      <c r="X159" s="250">
        <v>0</v>
      </c>
      <c r="Y159" s="250">
        <v>1</v>
      </c>
      <c r="Z159" s="250">
        <v>0</v>
      </c>
      <c r="AA159" s="250">
        <v>0</v>
      </c>
      <c r="AB159" s="250">
        <v>0</v>
      </c>
      <c r="AC159" s="250">
        <v>1</v>
      </c>
      <c r="AD159" s="250">
        <v>0</v>
      </c>
      <c r="AE159" s="250">
        <v>1</v>
      </c>
      <c r="AF159" s="250">
        <v>1</v>
      </c>
      <c r="AG159" s="250">
        <v>1</v>
      </c>
      <c r="AH159" s="250">
        <v>1</v>
      </c>
      <c r="AI159" s="250">
        <v>1</v>
      </c>
      <c r="AJ159" s="250">
        <v>1</v>
      </c>
      <c r="AK159" s="250">
        <v>0</v>
      </c>
      <c r="AL159" s="250">
        <v>1</v>
      </c>
      <c r="AM159" s="250">
        <v>1</v>
      </c>
      <c r="AN159" s="250">
        <v>0</v>
      </c>
      <c r="AO159" s="250">
        <v>0</v>
      </c>
      <c r="AP159" s="250">
        <v>1</v>
      </c>
      <c r="AQ159" s="250">
        <v>1</v>
      </c>
      <c r="AR159" s="250">
        <v>0</v>
      </c>
      <c r="AS159" s="250">
        <v>0</v>
      </c>
      <c r="AT159" s="250">
        <v>0</v>
      </c>
      <c r="AU159" s="250">
        <v>1</v>
      </c>
      <c r="AV159" s="250">
        <v>0</v>
      </c>
      <c r="AW159" s="250">
        <v>0</v>
      </c>
      <c r="AX159" s="250">
        <v>1</v>
      </c>
      <c r="AY159" s="250">
        <v>0</v>
      </c>
      <c r="AZ159" s="250">
        <v>1</v>
      </c>
      <c r="BA159" s="250">
        <v>0</v>
      </c>
      <c r="BB159" s="250">
        <v>0</v>
      </c>
      <c r="BC159" s="250">
        <v>0</v>
      </c>
      <c r="BD159" s="250">
        <v>0</v>
      </c>
      <c r="BE159" s="250">
        <v>0</v>
      </c>
      <c r="BF159" s="250">
        <v>0</v>
      </c>
      <c r="BG159" s="250">
        <v>0</v>
      </c>
      <c r="BH159" s="250">
        <v>0</v>
      </c>
      <c r="BI159" s="250">
        <v>0</v>
      </c>
      <c r="BJ159" s="250">
        <v>0</v>
      </c>
    </row>
    <row r="160" s="142" customFormat="1" ht="68.650000000000006" customHeight="1">
      <c r="A160" s="137" t="s">
        <v>481</v>
      </c>
      <c r="B160" s="142" t="s">
        <v>482</v>
      </c>
      <c r="C160" s="199" t="s">
        <v>177</v>
      </c>
      <c r="D160" s="279" t="s">
        <v>24</v>
      </c>
      <c r="E160" s="244" t="s">
        <v>739</v>
      </c>
      <c r="F160" s="196" t="s">
        <v>740</v>
      </c>
      <c r="G160" s="244" t="s">
        <v>486</v>
      </c>
      <c r="H160" s="267"/>
      <c r="I160" s="267"/>
      <c r="J160" s="196"/>
      <c r="K160" s="280">
        <v>2</v>
      </c>
      <c r="L160" s="142" t="s">
        <v>66</v>
      </c>
      <c r="M160" s="142">
        <v>0</v>
      </c>
      <c r="N160" s="142">
        <v>0</v>
      </c>
      <c r="O160" s="142">
        <v>1</v>
      </c>
      <c r="P160" s="142">
        <v>1</v>
      </c>
      <c r="Q160" s="142">
        <v>0</v>
      </c>
      <c r="R160" s="142">
        <v>0</v>
      </c>
      <c r="S160" s="142">
        <v>0</v>
      </c>
      <c r="T160" s="142">
        <v>0</v>
      </c>
      <c r="U160" s="142">
        <v>0</v>
      </c>
      <c r="V160" s="142">
        <v>1</v>
      </c>
      <c r="W160" s="142">
        <v>0</v>
      </c>
      <c r="X160" s="142">
        <v>1</v>
      </c>
      <c r="Y160" s="142">
        <v>0</v>
      </c>
      <c r="Z160" s="142">
        <v>1</v>
      </c>
      <c r="AA160" s="142">
        <v>1</v>
      </c>
      <c r="AB160" s="142">
        <v>0</v>
      </c>
      <c r="AC160" s="142">
        <v>0</v>
      </c>
      <c r="AD160" s="142">
        <v>0</v>
      </c>
      <c r="AE160" s="142">
        <v>1</v>
      </c>
      <c r="AF160" s="142">
        <v>1</v>
      </c>
      <c r="AG160" s="142">
        <v>1</v>
      </c>
      <c r="AH160" s="142">
        <v>1</v>
      </c>
      <c r="AI160" s="142">
        <v>1</v>
      </c>
      <c r="AJ160" s="142">
        <v>1</v>
      </c>
      <c r="AK160" s="142">
        <v>0</v>
      </c>
      <c r="AL160" s="142">
        <v>1</v>
      </c>
      <c r="AM160" s="142">
        <v>1</v>
      </c>
      <c r="AN160" s="142">
        <v>0</v>
      </c>
      <c r="AO160" s="142">
        <v>0</v>
      </c>
      <c r="AP160" s="142">
        <v>1</v>
      </c>
      <c r="AQ160" s="142">
        <v>1</v>
      </c>
      <c r="AR160" s="142">
        <v>0</v>
      </c>
      <c r="AS160" s="142">
        <v>1</v>
      </c>
      <c r="AT160" s="142">
        <v>0</v>
      </c>
      <c r="AU160" s="142">
        <v>0</v>
      </c>
      <c r="AV160" s="142">
        <v>0</v>
      </c>
      <c r="AW160" s="142">
        <v>0</v>
      </c>
      <c r="AX160" s="142">
        <v>1</v>
      </c>
      <c r="AY160" s="142">
        <v>0</v>
      </c>
      <c r="AZ160" s="142">
        <v>0</v>
      </c>
      <c r="BA160" s="142">
        <v>0</v>
      </c>
      <c r="BB160" s="142">
        <v>0</v>
      </c>
      <c r="BC160" s="142">
        <v>0</v>
      </c>
      <c r="BD160" s="142">
        <v>0</v>
      </c>
      <c r="BE160" s="142">
        <v>1</v>
      </c>
      <c r="BF160" s="142">
        <v>1</v>
      </c>
      <c r="BG160" s="142">
        <v>0</v>
      </c>
      <c r="BH160" s="142">
        <v>0</v>
      </c>
      <c r="BI160" s="142">
        <v>1</v>
      </c>
      <c r="BJ160" s="142">
        <v>0</v>
      </c>
    </row>
    <row r="161" s="162" customFormat="1" ht="45.75" hidden="1" customHeight="1">
      <c r="D161" s="281"/>
      <c r="E161" s="206" t="s">
        <v>741</v>
      </c>
      <c r="F161" s="197" t="s">
        <v>742</v>
      </c>
      <c r="G161" s="206" t="s">
        <v>486</v>
      </c>
      <c r="H161" s="206">
        <v>1050</v>
      </c>
      <c r="I161" s="206">
        <v>1137</v>
      </c>
      <c r="J161" s="197"/>
      <c r="K161" s="197"/>
      <c r="L161" s="162" t="s">
        <v>66</v>
      </c>
      <c r="M161" s="162">
        <v>0</v>
      </c>
      <c r="N161" s="162">
        <v>0</v>
      </c>
      <c r="O161" s="162">
        <v>1</v>
      </c>
      <c r="P161" s="142">
        <v>1</v>
      </c>
      <c r="Q161" s="162">
        <v>0</v>
      </c>
      <c r="R161" s="162">
        <v>0</v>
      </c>
      <c r="S161" s="162">
        <v>0</v>
      </c>
      <c r="T161" s="142">
        <v>0</v>
      </c>
      <c r="U161" s="162">
        <v>0</v>
      </c>
      <c r="V161" s="162">
        <v>1</v>
      </c>
      <c r="W161" s="162">
        <v>0</v>
      </c>
      <c r="X161" s="162">
        <v>1</v>
      </c>
      <c r="Y161" s="162">
        <v>0</v>
      </c>
      <c r="Z161" s="162">
        <v>1</v>
      </c>
      <c r="AA161" s="162">
        <v>1</v>
      </c>
      <c r="AB161" s="162">
        <v>0</v>
      </c>
      <c r="AC161" s="162">
        <v>0</v>
      </c>
      <c r="AD161" s="162">
        <v>0</v>
      </c>
      <c r="AE161" s="162">
        <v>0</v>
      </c>
      <c r="AF161" s="162">
        <v>1</v>
      </c>
      <c r="AG161" s="162">
        <v>1</v>
      </c>
      <c r="AH161" s="162">
        <v>1</v>
      </c>
      <c r="AI161" s="162">
        <v>0</v>
      </c>
      <c r="AJ161" s="162">
        <v>1</v>
      </c>
      <c r="AK161" s="162">
        <v>0</v>
      </c>
      <c r="AL161" s="162">
        <v>1</v>
      </c>
      <c r="AM161" s="162">
        <v>0</v>
      </c>
      <c r="AN161" s="162">
        <v>0</v>
      </c>
      <c r="AO161" s="162">
        <v>0</v>
      </c>
      <c r="AP161" s="162">
        <v>1</v>
      </c>
      <c r="AQ161" s="162">
        <v>1</v>
      </c>
      <c r="AR161" s="162">
        <v>0</v>
      </c>
      <c r="AS161" s="162">
        <v>0</v>
      </c>
      <c r="AT161" s="162">
        <v>0</v>
      </c>
      <c r="AU161" s="162">
        <v>1</v>
      </c>
      <c r="AV161" s="162">
        <v>1</v>
      </c>
      <c r="AW161" s="162">
        <v>0</v>
      </c>
      <c r="AX161" s="162">
        <v>0</v>
      </c>
      <c r="AY161" s="162">
        <v>0</v>
      </c>
      <c r="AZ161" s="162">
        <v>0</v>
      </c>
      <c r="BA161" s="162">
        <v>0</v>
      </c>
      <c r="BB161" s="162">
        <v>0</v>
      </c>
      <c r="BC161" s="162">
        <v>0</v>
      </c>
      <c r="BD161" s="162">
        <v>0</v>
      </c>
      <c r="BE161" s="162">
        <v>1</v>
      </c>
      <c r="BF161" s="162">
        <v>0</v>
      </c>
      <c r="BG161" s="162">
        <v>0</v>
      </c>
      <c r="BH161" s="162">
        <v>0</v>
      </c>
      <c r="BI161" s="162">
        <v>1</v>
      </c>
      <c r="BJ161" s="162">
        <v>0</v>
      </c>
    </row>
    <row r="162" s="282" customFormat="1" ht="45.75" hidden="1" customHeight="1">
      <c r="A162" s="282" t="s">
        <v>743</v>
      </c>
      <c r="B162" s="283"/>
      <c r="E162" s="284"/>
      <c r="G162" s="285"/>
      <c r="H162" s="284"/>
      <c r="I162" s="284"/>
      <c r="J162" s="284"/>
    </row>
    <row r="163" s="286" customFormat="1" ht="28.399999999999999" customHeight="1">
      <c r="A163" s="137" t="s">
        <v>481</v>
      </c>
      <c r="B163" s="286" t="s">
        <v>482</v>
      </c>
      <c r="C163" s="286" t="s">
        <v>180</v>
      </c>
      <c r="D163" s="287" t="s">
        <v>24</v>
      </c>
      <c r="E163" s="288" t="s">
        <v>744</v>
      </c>
      <c r="F163" s="288" t="s">
        <v>625</v>
      </c>
      <c r="G163" s="288" t="s">
        <v>498</v>
      </c>
      <c r="H163" s="289"/>
      <c r="I163" s="289"/>
      <c r="J163" s="288" t="s">
        <v>745</v>
      </c>
      <c r="K163" s="288">
        <v>1</v>
      </c>
      <c r="L163" s="286" t="s">
        <v>447</v>
      </c>
      <c r="M163" s="286">
        <v>0</v>
      </c>
      <c r="N163" s="286">
        <v>0</v>
      </c>
      <c r="O163" s="286">
        <v>0</v>
      </c>
      <c r="P163" s="142">
        <v>0</v>
      </c>
      <c r="Q163" s="286">
        <v>1</v>
      </c>
      <c r="R163" s="286">
        <v>0</v>
      </c>
      <c r="S163" s="286">
        <v>0</v>
      </c>
      <c r="T163" s="142">
        <v>1</v>
      </c>
      <c r="U163" s="286">
        <v>0</v>
      </c>
      <c r="V163" s="286">
        <v>1</v>
      </c>
      <c r="W163" s="286">
        <v>0</v>
      </c>
      <c r="X163" s="286">
        <v>0</v>
      </c>
      <c r="Y163" s="286">
        <v>1</v>
      </c>
      <c r="Z163" s="286">
        <v>0</v>
      </c>
      <c r="AA163" s="286">
        <v>0</v>
      </c>
      <c r="AB163" s="286">
        <v>1</v>
      </c>
      <c r="AC163" s="286">
        <v>0</v>
      </c>
      <c r="AD163" s="286">
        <v>0</v>
      </c>
      <c r="AE163" s="286">
        <v>1</v>
      </c>
      <c r="AF163" s="286">
        <v>1</v>
      </c>
      <c r="AG163" s="286">
        <v>1</v>
      </c>
      <c r="AH163" s="286">
        <v>1</v>
      </c>
      <c r="AI163" s="286">
        <v>1</v>
      </c>
      <c r="AJ163" s="286">
        <v>1</v>
      </c>
      <c r="AK163" s="286">
        <v>0</v>
      </c>
      <c r="AL163" s="286">
        <v>1</v>
      </c>
      <c r="AM163" s="286">
        <v>1</v>
      </c>
      <c r="AN163" s="286">
        <v>0</v>
      </c>
      <c r="AO163" s="286">
        <v>0</v>
      </c>
      <c r="AP163" s="286">
        <v>1</v>
      </c>
      <c r="AQ163" s="286">
        <v>0</v>
      </c>
      <c r="AR163" s="286">
        <v>0</v>
      </c>
      <c r="AS163" s="286">
        <v>0</v>
      </c>
      <c r="AT163" s="286">
        <v>0</v>
      </c>
      <c r="AU163" s="286">
        <v>0</v>
      </c>
      <c r="AV163" s="286">
        <v>0</v>
      </c>
      <c r="AW163" s="286">
        <v>0</v>
      </c>
      <c r="AX163" s="286">
        <v>0</v>
      </c>
      <c r="AY163" s="286">
        <v>0</v>
      </c>
      <c r="AZ163" s="286">
        <v>0</v>
      </c>
      <c r="BA163" s="286">
        <v>0</v>
      </c>
      <c r="BB163" s="286">
        <v>0</v>
      </c>
      <c r="BC163" s="286">
        <v>0</v>
      </c>
      <c r="BD163" s="286">
        <v>0</v>
      </c>
      <c r="BE163" s="286">
        <v>0</v>
      </c>
      <c r="BF163" s="286">
        <v>0</v>
      </c>
      <c r="BG163" s="286">
        <v>0</v>
      </c>
      <c r="BH163" s="286">
        <v>0</v>
      </c>
      <c r="BI163" s="286">
        <v>0</v>
      </c>
      <c r="BJ163" s="286">
        <v>0</v>
      </c>
    </row>
    <row r="164" s="142" customFormat="1" ht="28.5" customHeight="1">
      <c r="A164" s="137" t="s">
        <v>481</v>
      </c>
      <c r="B164" s="196" t="s">
        <v>482</v>
      </c>
      <c r="C164" s="290" t="s">
        <v>189</v>
      </c>
      <c r="D164" s="290" t="s">
        <v>60</v>
      </c>
      <c r="E164" s="196" t="s">
        <v>746</v>
      </c>
      <c r="F164" s="196" t="s">
        <v>485</v>
      </c>
      <c r="G164" s="196" t="s">
        <v>486</v>
      </c>
      <c r="H164" s="291"/>
      <c r="I164" s="291"/>
      <c r="J164" s="196"/>
      <c r="K164" s="290">
        <v>2</v>
      </c>
      <c r="L164" s="196" t="s">
        <v>447</v>
      </c>
      <c r="M164" s="142">
        <v>0</v>
      </c>
      <c r="N164" s="142">
        <v>0</v>
      </c>
      <c r="O164" s="142">
        <v>0</v>
      </c>
      <c r="P164" s="142">
        <v>0</v>
      </c>
      <c r="Q164" s="142">
        <v>1</v>
      </c>
      <c r="R164" s="142">
        <v>0</v>
      </c>
      <c r="S164" s="142">
        <v>1</v>
      </c>
      <c r="T164" s="142">
        <v>1</v>
      </c>
      <c r="U164" s="142">
        <v>0</v>
      </c>
      <c r="V164" s="142">
        <v>1</v>
      </c>
      <c r="W164" s="142">
        <v>0</v>
      </c>
      <c r="X164" s="142">
        <v>0</v>
      </c>
      <c r="Y164" s="142">
        <v>1</v>
      </c>
      <c r="Z164" s="142">
        <v>0</v>
      </c>
      <c r="AA164" s="142">
        <v>0</v>
      </c>
      <c r="AB164" s="142">
        <v>1</v>
      </c>
      <c r="AC164" s="142">
        <v>1</v>
      </c>
      <c r="AD164" s="142">
        <v>0</v>
      </c>
      <c r="AE164" s="142">
        <v>1</v>
      </c>
      <c r="AF164" s="142">
        <v>1</v>
      </c>
      <c r="AG164" s="142">
        <v>0</v>
      </c>
      <c r="AH164" s="142">
        <v>0</v>
      </c>
      <c r="AI164" s="142">
        <v>1</v>
      </c>
      <c r="AJ164" s="142">
        <v>1</v>
      </c>
      <c r="AK164" s="142">
        <v>0</v>
      </c>
      <c r="AL164" s="142">
        <v>1</v>
      </c>
      <c r="AM164" s="142">
        <v>1</v>
      </c>
      <c r="AN164" s="142">
        <v>0</v>
      </c>
      <c r="AO164" s="142">
        <v>0</v>
      </c>
      <c r="AP164" s="142">
        <v>1</v>
      </c>
      <c r="AQ164" s="142">
        <v>1</v>
      </c>
      <c r="AR164" s="142">
        <v>0</v>
      </c>
      <c r="AS164" s="142">
        <v>0</v>
      </c>
      <c r="AT164" s="142">
        <v>0</v>
      </c>
      <c r="AU164" s="142">
        <v>1</v>
      </c>
      <c r="AV164" s="142">
        <v>0</v>
      </c>
      <c r="AW164" s="142">
        <v>1</v>
      </c>
      <c r="AX164" s="142">
        <v>0</v>
      </c>
      <c r="AY164" s="142">
        <v>0</v>
      </c>
      <c r="AZ164" s="142">
        <v>0</v>
      </c>
      <c r="BA164" s="142">
        <v>0</v>
      </c>
      <c r="BB164" s="142">
        <v>1</v>
      </c>
      <c r="BC164" s="142">
        <v>0</v>
      </c>
      <c r="BD164" s="142">
        <v>0</v>
      </c>
      <c r="BE164" s="142">
        <v>0</v>
      </c>
      <c r="BF164" s="142">
        <v>0</v>
      </c>
      <c r="BG164" s="142">
        <v>0</v>
      </c>
      <c r="BH164" s="142">
        <v>0</v>
      </c>
      <c r="BI164" s="142">
        <v>0</v>
      </c>
      <c r="BJ164" s="142">
        <v>0</v>
      </c>
    </row>
    <row r="165" s="250" customFormat="1" ht="14.25" hidden="1" customHeight="1">
      <c r="A165" s="144"/>
      <c r="B165" s="251"/>
      <c r="C165" s="251"/>
      <c r="D165" s="251"/>
      <c r="E165" s="251" t="s">
        <v>747</v>
      </c>
      <c r="F165" s="145" t="s">
        <v>644</v>
      </c>
      <c r="G165" s="251" t="s">
        <v>486</v>
      </c>
      <c r="H165" s="251"/>
      <c r="I165" s="251"/>
      <c r="J165" s="145"/>
      <c r="K165" s="251"/>
      <c r="L165" s="251" t="s">
        <v>66</v>
      </c>
      <c r="M165" s="250">
        <v>1</v>
      </c>
      <c r="N165" s="250">
        <v>0</v>
      </c>
      <c r="O165" s="250">
        <v>0</v>
      </c>
      <c r="P165" s="142">
        <v>1</v>
      </c>
      <c r="Q165" s="250">
        <v>0</v>
      </c>
      <c r="R165" s="250">
        <v>0</v>
      </c>
      <c r="S165" s="250">
        <v>0</v>
      </c>
      <c r="T165" s="142">
        <v>0</v>
      </c>
      <c r="U165" s="250">
        <v>0</v>
      </c>
      <c r="V165" s="250">
        <v>1</v>
      </c>
      <c r="W165" s="250">
        <v>0</v>
      </c>
      <c r="X165" s="250">
        <v>0</v>
      </c>
      <c r="Y165" s="250">
        <v>0</v>
      </c>
      <c r="Z165" s="250">
        <v>1</v>
      </c>
      <c r="AA165" s="250">
        <v>1</v>
      </c>
      <c r="AB165" s="250">
        <v>0</v>
      </c>
      <c r="AC165" s="250">
        <v>0</v>
      </c>
      <c r="AD165" s="250">
        <v>0</v>
      </c>
      <c r="AE165" s="250">
        <v>1</v>
      </c>
      <c r="AF165" s="250">
        <v>1</v>
      </c>
      <c r="AG165" s="250">
        <v>0</v>
      </c>
      <c r="AH165" s="250">
        <v>0</v>
      </c>
      <c r="AI165" s="250">
        <v>0</v>
      </c>
      <c r="AJ165" s="250">
        <v>1</v>
      </c>
      <c r="AK165" s="250">
        <v>0</v>
      </c>
      <c r="AL165" s="250">
        <v>1</v>
      </c>
      <c r="AM165" s="250">
        <v>1</v>
      </c>
      <c r="AN165" s="250">
        <v>0</v>
      </c>
      <c r="AO165" s="250">
        <v>0</v>
      </c>
      <c r="AP165" s="250">
        <v>1</v>
      </c>
      <c r="AQ165" s="250">
        <v>0</v>
      </c>
      <c r="AR165" s="250">
        <v>0</v>
      </c>
      <c r="AS165" s="250">
        <v>0</v>
      </c>
      <c r="AT165" s="250">
        <v>0</v>
      </c>
      <c r="AU165" s="250">
        <v>0</v>
      </c>
      <c r="AV165" s="250">
        <v>0</v>
      </c>
      <c r="AW165" s="250">
        <v>0</v>
      </c>
      <c r="AX165" s="250">
        <v>0</v>
      </c>
      <c r="AY165" s="250">
        <v>0</v>
      </c>
      <c r="AZ165" s="250">
        <v>0</v>
      </c>
      <c r="BA165" s="250">
        <v>0</v>
      </c>
      <c r="BB165" s="250">
        <v>0</v>
      </c>
      <c r="BC165" s="250">
        <v>0</v>
      </c>
      <c r="BD165" s="250">
        <v>0</v>
      </c>
      <c r="BE165" s="250">
        <v>0</v>
      </c>
      <c r="BF165" s="250">
        <v>0</v>
      </c>
      <c r="BG165" s="250">
        <v>0</v>
      </c>
      <c r="BH165" s="250">
        <v>0</v>
      </c>
      <c r="BI165" s="250">
        <v>1</v>
      </c>
      <c r="BJ165" s="250">
        <v>0</v>
      </c>
    </row>
    <row r="166" s="250" customFormat="1" ht="41.75" customHeight="1">
      <c r="A166" s="137" t="s">
        <v>481</v>
      </c>
      <c r="B166" s="273" t="s">
        <v>482</v>
      </c>
      <c r="C166" s="250" t="s">
        <v>191</v>
      </c>
      <c r="D166" s="272" t="s">
        <v>60</v>
      </c>
      <c r="E166" s="251" t="s">
        <v>748</v>
      </c>
      <c r="F166" s="145" t="s">
        <v>749</v>
      </c>
      <c r="G166" s="274" t="s">
        <v>486</v>
      </c>
      <c r="H166" s="252"/>
      <c r="I166" s="252"/>
      <c r="J166" s="145" t="s">
        <v>750</v>
      </c>
      <c r="K166" s="251">
        <v>1</v>
      </c>
      <c r="L166" s="250" t="s">
        <v>447</v>
      </c>
      <c r="M166" s="250">
        <v>0</v>
      </c>
      <c r="N166" s="250">
        <v>0</v>
      </c>
      <c r="O166" s="250">
        <v>0</v>
      </c>
      <c r="P166" s="142">
        <v>0</v>
      </c>
      <c r="Q166" s="250">
        <v>0</v>
      </c>
      <c r="R166" s="250">
        <v>0</v>
      </c>
      <c r="S166" s="250">
        <v>1</v>
      </c>
      <c r="T166" s="142">
        <v>1</v>
      </c>
      <c r="U166" s="250">
        <v>0</v>
      </c>
      <c r="V166" s="250">
        <v>0</v>
      </c>
      <c r="W166" s="250">
        <v>1</v>
      </c>
      <c r="X166" s="250">
        <v>1</v>
      </c>
      <c r="Y166" s="250">
        <v>1</v>
      </c>
      <c r="Z166" s="250">
        <v>0</v>
      </c>
      <c r="AA166" s="250">
        <v>0</v>
      </c>
      <c r="AB166" s="250">
        <v>0</v>
      </c>
      <c r="AC166" s="250">
        <v>1</v>
      </c>
      <c r="AD166" s="250">
        <v>0</v>
      </c>
      <c r="AE166" s="250">
        <v>1</v>
      </c>
      <c r="AF166" s="250">
        <v>1</v>
      </c>
      <c r="AG166" s="250">
        <v>1</v>
      </c>
      <c r="AH166" s="250">
        <v>1</v>
      </c>
      <c r="AI166" s="250">
        <v>0</v>
      </c>
      <c r="AJ166" s="250">
        <v>1</v>
      </c>
      <c r="AK166" s="250">
        <v>0</v>
      </c>
      <c r="AL166" s="250">
        <v>1</v>
      </c>
      <c r="AM166" s="250">
        <v>1</v>
      </c>
      <c r="AN166" s="250">
        <v>0</v>
      </c>
      <c r="AO166" s="250">
        <v>0</v>
      </c>
      <c r="AP166" s="250">
        <v>1</v>
      </c>
      <c r="AQ166" s="250">
        <v>0</v>
      </c>
      <c r="AR166" s="250">
        <v>0</v>
      </c>
      <c r="AS166" s="250">
        <v>0</v>
      </c>
      <c r="AT166" s="250">
        <v>0</v>
      </c>
      <c r="AU166" s="250">
        <v>0</v>
      </c>
      <c r="AV166" s="250">
        <v>0</v>
      </c>
      <c r="AW166" s="250">
        <v>0</v>
      </c>
      <c r="AX166" s="250">
        <v>0</v>
      </c>
      <c r="AY166" s="250">
        <v>0</v>
      </c>
      <c r="AZ166" s="250">
        <v>0</v>
      </c>
      <c r="BA166" s="250">
        <v>0</v>
      </c>
      <c r="BB166" s="250">
        <v>0</v>
      </c>
      <c r="BC166" s="250">
        <v>0</v>
      </c>
      <c r="BD166" s="250">
        <v>0</v>
      </c>
      <c r="BE166" s="250">
        <v>0</v>
      </c>
      <c r="BF166" s="250">
        <v>0</v>
      </c>
      <c r="BG166" s="250">
        <v>0</v>
      </c>
      <c r="BH166" s="250">
        <v>0</v>
      </c>
      <c r="BI166" s="250">
        <v>0</v>
      </c>
      <c r="BJ166" s="250">
        <v>0</v>
      </c>
    </row>
    <row r="167" s="174" customFormat="1" ht="15.75" hidden="1" customHeight="1">
      <c r="A167" s="137" t="s">
        <v>481</v>
      </c>
      <c r="B167" s="174" t="s">
        <v>513</v>
      </c>
      <c r="C167" s="181" t="s">
        <v>195</v>
      </c>
      <c r="D167" s="292" t="s">
        <v>73</v>
      </c>
      <c r="E167" s="293" t="s">
        <v>751</v>
      </c>
      <c r="F167" s="172" t="s">
        <v>533</v>
      </c>
      <c r="G167" s="293" t="s">
        <v>498</v>
      </c>
      <c r="H167" s="293">
        <v>7651</v>
      </c>
      <c r="I167" s="293">
        <v>7672</v>
      </c>
      <c r="J167" s="172"/>
      <c r="K167" s="183">
        <v>14</v>
      </c>
      <c r="L167" s="174" t="s">
        <v>325</v>
      </c>
      <c r="M167" s="174">
        <v>0</v>
      </c>
      <c r="N167" s="174">
        <v>0</v>
      </c>
      <c r="O167" s="174">
        <v>1</v>
      </c>
      <c r="P167" s="142">
        <v>1</v>
      </c>
      <c r="Q167" s="174">
        <v>0</v>
      </c>
      <c r="R167" s="174">
        <v>0</v>
      </c>
      <c r="S167" s="174">
        <v>0</v>
      </c>
      <c r="T167" s="142">
        <v>0</v>
      </c>
      <c r="U167" s="174">
        <v>0</v>
      </c>
      <c r="V167" s="174">
        <v>0</v>
      </c>
      <c r="W167" s="174">
        <v>1</v>
      </c>
      <c r="X167" s="174">
        <v>1</v>
      </c>
      <c r="Y167" s="174">
        <v>0</v>
      </c>
      <c r="Z167" s="174">
        <v>1</v>
      </c>
      <c r="AA167" s="174">
        <v>1</v>
      </c>
      <c r="AB167" s="174">
        <v>0</v>
      </c>
      <c r="AC167" s="174">
        <v>0</v>
      </c>
      <c r="AD167" s="174">
        <v>0</v>
      </c>
      <c r="AE167" s="174">
        <v>0</v>
      </c>
      <c r="AF167" s="174">
        <v>1</v>
      </c>
      <c r="AG167" s="174">
        <v>0</v>
      </c>
      <c r="AH167" s="174">
        <v>0</v>
      </c>
      <c r="AI167" s="174">
        <v>0</v>
      </c>
      <c r="AJ167" s="174">
        <v>0</v>
      </c>
      <c r="AK167" s="174">
        <v>0</v>
      </c>
      <c r="AL167" s="174">
        <v>1</v>
      </c>
      <c r="AM167" s="174">
        <v>0</v>
      </c>
      <c r="AN167" s="174">
        <v>0</v>
      </c>
      <c r="AO167" s="174">
        <v>1</v>
      </c>
      <c r="AP167" s="174">
        <v>0</v>
      </c>
      <c r="AQ167" s="174">
        <v>0</v>
      </c>
      <c r="AR167" s="174">
        <v>0</v>
      </c>
      <c r="AS167" s="174">
        <v>0</v>
      </c>
      <c r="AT167" s="174">
        <v>0</v>
      </c>
      <c r="AU167" s="174">
        <v>0</v>
      </c>
      <c r="AV167" s="174">
        <v>0</v>
      </c>
      <c r="AW167" s="174">
        <v>0</v>
      </c>
      <c r="AX167" s="174">
        <v>0</v>
      </c>
      <c r="AY167" s="174">
        <v>0</v>
      </c>
      <c r="AZ167" s="174">
        <v>0</v>
      </c>
      <c r="BA167" s="174">
        <v>0</v>
      </c>
      <c r="BB167" s="174">
        <v>0</v>
      </c>
      <c r="BC167" s="174">
        <v>0</v>
      </c>
      <c r="BD167" s="174">
        <v>0</v>
      </c>
      <c r="BE167" s="174">
        <v>0</v>
      </c>
      <c r="BF167" s="174">
        <v>0</v>
      </c>
      <c r="BG167" s="174">
        <v>0</v>
      </c>
      <c r="BH167" s="174">
        <v>0</v>
      </c>
      <c r="BI167" s="174">
        <v>0</v>
      </c>
      <c r="BJ167" s="174">
        <v>0</v>
      </c>
    </row>
    <row r="168" s="174" customFormat="1" ht="15.75" hidden="1" customHeight="1">
      <c r="D168" s="294"/>
      <c r="E168" s="293" t="s">
        <v>752</v>
      </c>
      <c r="F168" s="172" t="s">
        <v>550</v>
      </c>
      <c r="G168" s="293" t="s">
        <v>498</v>
      </c>
      <c r="H168" s="293">
        <v>8071</v>
      </c>
      <c r="I168" s="293">
        <v>8101</v>
      </c>
      <c r="J168" s="172"/>
      <c r="K168" s="176"/>
      <c r="L168" s="174" t="s">
        <v>325</v>
      </c>
      <c r="M168" s="174">
        <v>0</v>
      </c>
      <c r="N168" s="174">
        <v>0</v>
      </c>
      <c r="O168" s="174">
        <v>1</v>
      </c>
      <c r="P168" s="142">
        <v>1</v>
      </c>
      <c r="Q168" s="174">
        <v>0</v>
      </c>
      <c r="R168" s="174">
        <v>0</v>
      </c>
      <c r="S168" s="174">
        <v>0</v>
      </c>
      <c r="T168" s="142">
        <v>0</v>
      </c>
      <c r="U168" s="174">
        <v>0</v>
      </c>
      <c r="V168" s="174">
        <v>0</v>
      </c>
      <c r="W168" s="174">
        <v>1</v>
      </c>
      <c r="X168" s="174">
        <v>1</v>
      </c>
      <c r="Y168" s="174">
        <v>0</v>
      </c>
      <c r="Z168" s="174">
        <v>1</v>
      </c>
      <c r="AA168" s="174">
        <v>1</v>
      </c>
      <c r="AB168" s="174">
        <v>0</v>
      </c>
      <c r="AC168" s="174">
        <v>0</v>
      </c>
      <c r="AD168" s="174">
        <v>0</v>
      </c>
      <c r="AE168" s="174">
        <v>1</v>
      </c>
      <c r="AF168" s="174">
        <v>1</v>
      </c>
      <c r="AG168" s="174">
        <v>1</v>
      </c>
      <c r="AH168" s="174">
        <v>0</v>
      </c>
      <c r="AI168" s="174">
        <v>1</v>
      </c>
      <c r="AJ168" s="174">
        <v>0</v>
      </c>
      <c r="AK168" s="174">
        <v>0</v>
      </c>
      <c r="AL168" s="174">
        <v>1</v>
      </c>
      <c r="AM168" s="174">
        <v>0</v>
      </c>
      <c r="AN168" s="174">
        <v>0</v>
      </c>
      <c r="AO168" s="174">
        <v>0</v>
      </c>
      <c r="AP168" s="174">
        <v>1</v>
      </c>
      <c r="AQ168" s="174">
        <v>0</v>
      </c>
      <c r="AR168" s="174">
        <v>0</v>
      </c>
      <c r="AS168" s="174">
        <v>0</v>
      </c>
      <c r="AT168" s="174">
        <v>0</v>
      </c>
      <c r="AU168" s="174">
        <v>0</v>
      </c>
      <c r="AV168" s="174">
        <v>0</v>
      </c>
      <c r="AW168" s="174">
        <v>0</v>
      </c>
      <c r="AX168" s="174">
        <v>0</v>
      </c>
      <c r="AY168" s="174">
        <v>0</v>
      </c>
      <c r="AZ168" s="174">
        <v>0</v>
      </c>
      <c r="BA168" s="174">
        <v>0</v>
      </c>
      <c r="BB168" s="174">
        <v>0</v>
      </c>
      <c r="BC168" s="174">
        <v>0</v>
      </c>
      <c r="BD168" s="174">
        <v>0</v>
      </c>
      <c r="BE168" s="174">
        <v>0</v>
      </c>
      <c r="BF168" s="174">
        <v>0</v>
      </c>
      <c r="BG168" s="174">
        <v>0</v>
      </c>
      <c r="BH168" s="174">
        <v>0</v>
      </c>
      <c r="BI168" s="174">
        <v>0</v>
      </c>
      <c r="BJ168" s="174">
        <v>0</v>
      </c>
    </row>
    <row r="169" s="188" customFormat="1" ht="24.75" hidden="1" customHeight="1">
      <c r="C169" s="174"/>
      <c r="D169" s="294"/>
      <c r="E169" s="295" t="s">
        <v>753</v>
      </c>
      <c r="F169" s="172" t="s">
        <v>754</v>
      </c>
      <c r="G169" s="295" t="s">
        <v>498</v>
      </c>
      <c r="H169" s="295">
        <v>15022</v>
      </c>
      <c r="I169" s="295">
        <v>15066</v>
      </c>
      <c r="J169" s="172"/>
      <c r="K169" s="176"/>
      <c r="L169" s="188" t="s">
        <v>325</v>
      </c>
      <c r="M169" s="188">
        <v>1</v>
      </c>
      <c r="N169" s="188">
        <v>0</v>
      </c>
      <c r="O169" s="188">
        <v>0</v>
      </c>
      <c r="P169" s="142">
        <v>1</v>
      </c>
      <c r="Q169" s="188">
        <v>0</v>
      </c>
      <c r="R169" s="188">
        <v>0</v>
      </c>
      <c r="S169" s="188">
        <v>0</v>
      </c>
      <c r="T169" s="142">
        <v>0</v>
      </c>
      <c r="U169" s="188">
        <v>0</v>
      </c>
      <c r="V169" s="188">
        <v>0</v>
      </c>
      <c r="W169" s="188">
        <v>1</v>
      </c>
      <c r="X169" s="188">
        <v>0</v>
      </c>
      <c r="Y169" s="188">
        <v>0</v>
      </c>
      <c r="Z169" s="188">
        <v>1</v>
      </c>
      <c r="AA169" s="188">
        <v>1</v>
      </c>
      <c r="AB169" s="188">
        <v>0</v>
      </c>
      <c r="AC169" s="188">
        <v>0</v>
      </c>
      <c r="AD169" s="188">
        <v>0</v>
      </c>
      <c r="AE169" s="188">
        <v>0</v>
      </c>
      <c r="AF169" s="188">
        <v>1</v>
      </c>
      <c r="AG169" s="188">
        <v>0</v>
      </c>
      <c r="AH169" s="188">
        <v>1</v>
      </c>
      <c r="AI169" s="188">
        <v>0</v>
      </c>
      <c r="AJ169" s="188">
        <v>0</v>
      </c>
      <c r="AL169" s="188">
        <v>1</v>
      </c>
      <c r="AM169" s="188">
        <v>0</v>
      </c>
      <c r="AN169" s="188">
        <v>0</v>
      </c>
      <c r="AO169" s="188">
        <v>0</v>
      </c>
      <c r="AP169" s="188">
        <v>1</v>
      </c>
      <c r="AQ169" s="188">
        <v>0</v>
      </c>
      <c r="AR169" s="188">
        <v>0</v>
      </c>
      <c r="AS169" s="188">
        <v>0</v>
      </c>
      <c r="AT169" s="188">
        <v>0</v>
      </c>
      <c r="AU169" s="188">
        <v>0</v>
      </c>
      <c r="AV169" s="188">
        <v>0</v>
      </c>
      <c r="AW169" s="188">
        <v>0</v>
      </c>
      <c r="AX169" s="188">
        <v>0</v>
      </c>
      <c r="AY169" s="188">
        <v>0</v>
      </c>
      <c r="AZ169" s="188">
        <v>0</v>
      </c>
      <c r="BA169" s="188">
        <v>0</v>
      </c>
      <c r="BB169" s="188">
        <v>0</v>
      </c>
      <c r="BC169" s="188">
        <v>0</v>
      </c>
      <c r="BD169" s="188">
        <v>0</v>
      </c>
      <c r="BE169" s="188">
        <v>0</v>
      </c>
      <c r="BF169" s="188">
        <v>0</v>
      </c>
      <c r="BG169" s="188">
        <v>0</v>
      </c>
      <c r="BH169" s="188">
        <v>0</v>
      </c>
      <c r="BI169" s="188">
        <v>0</v>
      </c>
      <c r="BJ169" s="188">
        <v>0</v>
      </c>
    </row>
    <row r="170" s="188" customFormat="1" ht="24.75" hidden="1" customHeight="1">
      <c r="C170" s="174"/>
      <c r="D170" s="294"/>
      <c r="E170" s="295" t="s">
        <v>755</v>
      </c>
      <c r="F170" s="172" t="s">
        <v>550</v>
      </c>
      <c r="G170" s="296" t="s">
        <v>498</v>
      </c>
      <c r="H170" s="296">
        <v>15151</v>
      </c>
      <c r="I170" s="296">
        <v>15181</v>
      </c>
      <c r="J170" s="172"/>
      <c r="K170" s="176"/>
      <c r="L170" s="188" t="s">
        <v>325</v>
      </c>
      <c r="M170" s="188">
        <v>0</v>
      </c>
      <c r="N170" s="188">
        <v>0</v>
      </c>
      <c r="O170" s="188">
        <v>1</v>
      </c>
      <c r="P170" s="142">
        <v>1</v>
      </c>
      <c r="Q170" s="188">
        <v>0</v>
      </c>
      <c r="R170" s="188">
        <v>0</v>
      </c>
      <c r="S170" s="188">
        <v>0</v>
      </c>
      <c r="T170" s="142">
        <v>0</v>
      </c>
      <c r="U170" s="188">
        <v>0</v>
      </c>
      <c r="V170" s="188">
        <v>0</v>
      </c>
      <c r="W170" s="188">
        <v>1</v>
      </c>
      <c r="X170" s="188">
        <v>1</v>
      </c>
      <c r="Y170" s="188">
        <v>0</v>
      </c>
      <c r="Z170" s="188">
        <v>1</v>
      </c>
      <c r="AA170" s="188">
        <v>1</v>
      </c>
      <c r="AB170" s="188">
        <v>0</v>
      </c>
      <c r="AC170" s="188">
        <v>0</v>
      </c>
      <c r="AD170" s="188">
        <v>0</v>
      </c>
      <c r="AE170" s="188">
        <v>1</v>
      </c>
      <c r="AF170" s="188">
        <v>1</v>
      </c>
      <c r="AG170" s="188">
        <v>1</v>
      </c>
      <c r="AH170" s="188">
        <v>1</v>
      </c>
      <c r="AI170" s="188">
        <v>0</v>
      </c>
      <c r="AJ170" s="188">
        <v>1</v>
      </c>
      <c r="AK170" s="188">
        <v>0</v>
      </c>
      <c r="AL170" s="188">
        <v>1</v>
      </c>
      <c r="AM170" s="188">
        <v>0</v>
      </c>
      <c r="AN170" s="188">
        <v>0</v>
      </c>
      <c r="AO170" s="188">
        <v>0</v>
      </c>
      <c r="AP170" s="188">
        <v>1</v>
      </c>
      <c r="AQ170" s="188">
        <v>0</v>
      </c>
      <c r="AR170" s="188">
        <v>0</v>
      </c>
      <c r="AS170" s="188">
        <v>0</v>
      </c>
      <c r="AT170" s="188">
        <v>0</v>
      </c>
      <c r="AU170" s="188">
        <v>0</v>
      </c>
      <c r="AV170" s="188">
        <v>0</v>
      </c>
      <c r="AW170" s="188">
        <v>0</v>
      </c>
      <c r="AX170" s="188">
        <v>0</v>
      </c>
      <c r="AY170" s="188">
        <v>0</v>
      </c>
      <c r="AZ170" s="188">
        <v>0</v>
      </c>
      <c r="BA170" s="188">
        <v>0</v>
      </c>
      <c r="BB170" s="188">
        <v>0</v>
      </c>
      <c r="BC170" s="188">
        <v>0</v>
      </c>
      <c r="BD170" s="188">
        <v>0</v>
      </c>
      <c r="BE170" s="188">
        <v>0</v>
      </c>
      <c r="BF170" s="188">
        <v>0</v>
      </c>
      <c r="BG170" s="188">
        <v>0</v>
      </c>
      <c r="BH170" s="188">
        <v>0</v>
      </c>
      <c r="BI170" s="188">
        <v>0</v>
      </c>
      <c r="BJ170" s="188">
        <v>0</v>
      </c>
    </row>
    <row r="171" s="188" customFormat="1" ht="24.75" hidden="1" customHeight="1">
      <c r="C171" s="174"/>
      <c r="D171" s="294"/>
      <c r="E171" s="295" t="s">
        <v>756</v>
      </c>
      <c r="F171" s="172" t="s">
        <v>542</v>
      </c>
      <c r="G171" s="296" t="s">
        <v>498</v>
      </c>
      <c r="H171" s="296">
        <v>15391</v>
      </c>
      <c r="I171" s="296">
        <v>15402</v>
      </c>
      <c r="J171" s="172"/>
      <c r="K171" s="176"/>
      <c r="L171" s="188" t="s">
        <v>325</v>
      </c>
      <c r="M171" s="188">
        <v>1</v>
      </c>
      <c r="N171" s="188">
        <v>0</v>
      </c>
      <c r="O171" s="188">
        <v>0</v>
      </c>
      <c r="P171" s="142">
        <v>1</v>
      </c>
      <c r="Q171" s="188">
        <v>0</v>
      </c>
      <c r="R171" s="188">
        <v>0</v>
      </c>
      <c r="S171" s="188">
        <v>0</v>
      </c>
      <c r="T171" s="142">
        <v>0</v>
      </c>
      <c r="U171" s="188">
        <v>0</v>
      </c>
      <c r="V171" s="188">
        <v>0</v>
      </c>
      <c r="W171" s="188">
        <v>1</v>
      </c>
      <c r="X171" s="188">
        <v>0</v>
      </c>
      <c r="Y171" s="188">
        <v>0</v>
      </c>
      <c r="Z171" s="188">
        <v>1</v>
      </c>
      <c r="AA171" s="188">
        <v>1</v>
      </c>
      <c r="AB171" s="188">
        <v>0</v>
      </c>
      <c r="AC171" s="188">
        <v>0</v>
      </c>
      <c r="AD171" s="188">
        <v>0</v>
      </c>
      <c r="AE171" s="188">
        <v>0</v>
      </c>
      <c r="AF171" s="188">
        <v>0</v>
      </c>
      <c r="AG171" s="188">
        <v>0</v>
      </c>
      <c r="AH171" s="188">
        <v>1</v>
      </c>
      <c r="AI171" s="188">
        <v>0</v>
      </c>
      <c r="AJ171" s="188">
        <v>0</v>
      </c>
      <c r="AK171" s="188">
        <v>0</v>
      </c>
      <c r="AL171" s="188">
        <v>0</v>
      </c>
      <c r="AM171" s="188">
        <v>0</v>
      </c>
      <c r="AN171" s="188">
        <v>1</v>
      </c>
      <c r="AO171" s="188">
        <v>1</v>
      </c>
      <c r="AP171" s="188">
        <v>0</v>
      </c>
      <c r="AQ171" s="188">
        <v>0</v>
      </c>
      <c r="AR171" s="188">
        <v>0</v>
      </c>
      <c r="AS171" s="188">
        <v>0</v>
      </c>
      <c r="AT171" s="188">
        <v>0</v>
      </c>
      <c r="AU171" s="188">
        <v>0</v>
      </c>
      <c r="AV171" s="188">
        <v>0</v>
      </c>
      <c r="AW171" s="188">
        <v>0</v>
      </c>
      <c r="AX171" s="188">
        <v>0</v>
      </c>
      <c r="AY171" s="188">
        <v>0</v>
      </c>
      <c r="AZ171" s="188">
        <v>0</v>
      </c>
      <c r="BA171" s="188">
        <v>0</v>
      </c>
      <c r="BB171" s="188">
        <v>0</v>
      </c>
      <c r="BC171" s="188">
        <v>0</v>
      </c>
      <c r="BD171" s="188">
        <v>0</v>
      </c>
      <c r="BE171" s="188">
        <v>0</v>
      </c>
      <c r="BF171" s="188">
        <v>0</v>
      </c>
      <c r="BG171" s="188">
        <v>0</v>
      </c>
      <c r="BH171" s="188">
        <v>0</v>
      </c>
      <c r="BI171" s="188">
        <v>0</v>
      </c>
      <c r="BJ171" s="188">
        <v>0</v>
      </c>
    </row>
    <row r="172" s="180" customFormat="1" ht="24.75" hidden="1" customHeight="1">
      <c r="A172" s="111"/>
      <c r="C172" s="176"/>
      <c r="D172" s="297"/>
      <c r="E172" s="295" t="s">
        <v>757</v>
      </c>
      <c r="F172" s="172" t="s">
        <v>758</v>
      </c>
      <c r="G172" s="296" t="s">
        <v>498</v>
      </c>
      <c r="H172" s="296">
        <v>15548</v>
      </c>
      <c r="I172" s="296">
        <v>15580</v>
      </c>
      <c r="J172" s="172" t="s">
        <v>759</v>
      </c>
      <c r="K172" s="176"/>
      <c r="L172" s="180" t="s">
        <v>325</v>
      </c>
      <c r="M172" s="180">
        <v>0</v>
      </c>
      <c r="N172" s="180">
        <v>0</v>
      </c>
      <c r="O172" s="180">
        <v>1</v>
      </c>
      <c r="P172" s="196">
        <v>1</v>
      </c>
      <c r="Q172" s="188">
        <v>0</v>
      </c>
      <c r="R172" s="180">
        <v>0</v>
      </c>
      <c r="S172" s="180">
        <v>0</v>
      </c>
      <c r="T172" s="196">
        <v>0</v>
      </c>
      <c r="U172" s="180">
        <v>0</v>
      </c>
      <c r="V172" s="180">
        <v>1</v>
      </c>
      <c r="W172" s="180">
        <v>0</v>
      </c>
      <c r="X172" s="180">
        <v>1</v>
      </c>
      <c r="Y172" s="180">
        <v>0</v>
      </c>
      <c r="Z172" s="180">
        <v>1</v>
      </c>
      <c r="AA172" s="180">
        <v>1</v>
      </c>
      <c r="AB172" s="180">
        <v>0</v>
      </c>
      <c r="AC172" s="180">
        <v>0</v>
      </c>
      <c r="AD172" s="180">
        <v>0</v>
      </c>
      <c r="AE172" s="180">
        <v>0</v>
      </c>
      <c r="AF172" s="180">
        <v>0</v>
      </c>
      <c r="AG172" s="180">
        <v>1</v>
      </c>
      <c r="AH172" s="180">
        <v>1</v>
      </c>
      <c r="AI172" s="180">
        <v>0</v>
      </c>
      <c r="AJ172" s="180">
        <v>0</v>
      </c>
      <c r="AK172" s="180">
        <v>0</v>
      </c>
      <c r="AL172" s="180">
        <v>0</v>
      </c>
      <c r="AM172" s="180">
        <v>0</v>
      </c>
      <c r="AN172" s="180">
        <v>1</v>
      </c>
      <c r="AO172" s="180">
        <v>0</v>
      </c>
      <c r="AP172" s="180">
        <v>1</v>
      </c>
      <c r="AQ172" s="180">
        <v>0</v>
      </c>
      <c r="AR172" s="180">
        <v>0</v>
      </c>
      <c r="AS172" s="180">
        <v>0</v>
      </c>
      <c r="AT172" s="180">
        <v>0</v>
      </c>
      <c r="AU172" s="180">
        <v>0</v>
      </c>
      <c r="AV172" s="180">
        <v>0</v>
      </c>
      <c r="AW172" s="180">
        <v>0</v>
      </c>
      <c r="AX172" s="180">
        <v>0</v>
      </c>
      <c r="AY172" s="180">
        <v>0</v>
      </c>
      <c r="AZ172" s="180">
        <v>0</v>
      </c>
      <c r="BA172" s="180">
        <v>0</v>
      </c>
      <c r="BB172" s="180">
        <v>0</v>
      </c>
      <c r="BC172" s="180">
        <v>0</v>
      </c>
      <c r="BD172" s="180">
        <v>0</v>
      </c>
      <c r="BE172" s="180">
        <v>0</v>
      </c>
      <c r="BF172" s="180">
        <v>0</v>
      </c>
      <c r="BG172" s="180">
        <v>0</v>
      </c>
      <c r="BH172" s="180">
        <v>0</v>
      </c>
      <c r="BI172" s="180">
        <v>0</v>
      </c>
      <c r="BJ172" s="180">
        <v>0</v>
      </c>
    </row>
    <row r="173" s="188" customFormat="1" ht="28.399999999999999" hidden="1" customHeight="1">
      <c r="A173" s="127"/>
      <c r="C173" s="174"/>
      <c r="D173" s="294"/>
      <c r="E173" s="295" t="s">
        <v>760</v>
      </c>
      <c r="F173" s="172" t="s">
        <v>761</v>
      </c>
      <c r="G173" s="296" t="s">
        <v>498</v>
      </c>
      <c r="H173" s="296">
        <v>15631</v>
      </c>
      <c r="I173" s="296">
        <v>15751</v>
      </c>
      <c r="J173" s="172" t="s">
        <v>762</v>
      </c>
      <c r="K173" s="176"/>
      <c r="L173" s="188" t="s">
        <v>325</v>
      </c>
      <c r="M173" s="188">
        <v>0</v>
      </c>
      <c r="N173" s="188">
        <v>0</v>
      </c>
      <c r="O173" s="188">
        <v>1</v>
      </c>
      <c r="P173" s="142">
        <v>1</v>
      </c>
      <c r="Q173" s="188">
        <v>0</v>
      </c>
      <c r="R173" s="188">
        <v>0</v>
      </c>
      <c r="S173" s="188">
        <v>0</v>
      </c>
      <c r="T173" s="142">
        <v>0</v>
      </c>
      <c r="U173" s="188">
        <v>0</v>
      </c>
      <c r="V173" s="188">
        <v>1</v>
      </c>
      <c r="W173" s="188">
        <v>0</v>
      </c>
      <c r="X173" s="188">
        <v>1</v>
      </c>
      <c r="Y173" s="188">
        <v>0</v>
      </c>
      <c r="Z173" s="188">
        <v>1</v>
      </c>
      <c r="AA173" s="188">
        <v>1</v>
      </c>
      <c r="AB173" s="188">
        <v>0</v>
      </c>
      <c r="AC173" s="188">
        <v>0</v>
      </c>
      <c r="AD173" s="188">
        <v>0</v>
      </c>
      <c r="AE173" s="188">
        <v>0</v>
      </c>
      <c r="AF173" s="188">
        <v>0</v>
      </c>
      <c r="AG173" s="188">
        <v>1</v>
      </c>
      <c r="AH173" s="188">
        <v>1</v>
      </c>
      <c r="AI173" s="188">
        <v>1</v>
      </c>
      <c r="AJ173" s="188">
        <v>1</v>
      </c>
      <c r="AK173" s="188">
        <v>0</v>
      </c>
      <c r="AL173" s="188">
        <v>1</v>
      </c>
      <c r="AM173" s="188">
        <v>0</v>
      </c>
      <c r="AN173" s="188">
        <v>1</v>
      </c>
      <c r="AO173" s="188">
        <v>0</v>
      </c>
      <c r="AP173" s="188">
        <v>1</v>
      </c>
      <c r="AQ173" s="188">
        <v>0</v>
      </c>
      <c r="AR173" s="188">
        <v>0</v>
      </c>
      <c r="AS173" s="188">
        <v>0</v>
      </c>
      <c r="AT173" s="188">
        <v>0</v>
      </c>
      <c r="AU173" s="188">
        <v>0</v>
      </c>
      <c r="AV173" s="188">
        <v>0</v>
      </c>
      <c r="AW173" s="188">
        <v>0</v>
      </c>
      <c r="AX173" s="188">
        <v>0</v>
      </c>
      <c r="AY173" s="188">
        <v>0</v>
      </c>
      <c r="AZ173" s="188">
        <v>0</v>
      </c>
      <c r="BA173" s="188">
        <v>0</v>
      </c>
      <c r="BB173" s="188">
        <v>0</v>
      </c>
      <c r="BC173" s="188">
        <v>0</v>
      </c>
      <c r="BD173" s="188">
        <v>0</v>
      </c>
      <c r="BE173" s="188">
        <v>0</v>
      </c>
      <c r="BF173" s="188">
        <v>0</v>
      </c>
      <c r="BG173" s="188">
        <v>0</v>
      </c>
      <c r="BH173" s="188">
        <v>0</v>
      </c>
      <c r="BI173" s="188">
        <v>0</v>
      </c>
      <c r="BJ173" s="188">
        <v>0</v>
      </c>
    </row>
    <row r="174" s="188" customFormat="1" ht="41.75" hidden="1" customHeight="1">
      <c r="C174" s="174"/>
      <c r="D174" s="294"/>
      <c r="E174" s="295" t="s">
        <v>763</v>
      </c>
      <c r="F174" s="172" t="s">
        <v>521</v>
      </c>
      <c r="G174" s="296" t="s">
        <v>498</v>
      </c>
      <c r="H174" s="296">
        <v>24630</v>
      </c>
      <c r="I174" s="296">
        <v>24750</v>
      </c>
      <c r="J174" s="172" t="s">
        <v>764</v>
      </c>
      <c r="K174" s="176"/>
      <c r="L174" s="188" t="s">
        <v>325</v>
      </c>
      <c r="M174" s="188">
        <v>0</v>
      </c>
      <c r="N174" s="188">
        <v>0</v>
      </c>
      <c r="O174" s="188">
        <v>1</v>
      </c>
      <c r="P174" s="142">
        <v>1</v>
      </c>
      <c r="Q174" s="188">
        <v>0</v>
      </c>
      <c r="R174" s="188">
        <v>0</v>
      </c>
      <c r="S174" s="188">
        <v>0</v>
      </c>
      <c r="T174" s="142">
        <v>0</v>
      </c>
      <c r="U174" s="188">
        <v>0</v>
      </c>
      <c r="V174" s="188">
        <v>1</v>
      </c>
      <c r="W174" s="188">
        <v>0</v>
      </c>
      <c r="X174" s="188">
        <v>1</v>
      </c>
      <c r="Y174" s="188">
        <v>0</v>
      </c>
      <c r="Z174" s="188">
        <v>1</v>
      </c>
      <c r="AA174" s="188">
        <v>1</v>
      </c>
      <c r="AB174" s="188">
        <v>0</v>
      </c>
      <c r="AC174" s="188">
        <v>0</v>
      </c>
      <c r="AD174" s="188">
        <v>0</v>
      </c>
      <c r="AE174" s="188">
        <v>1</v>
      </c>
      <c r="AF174" s="188">
        <v>1</v>
      </c>
      <c r="AG174" s="188">
        <v>1</v>
      </c>
      <c r="AH174" s="188">
        <v>1</v>
      </c>
      <c r="AI174" s="188">
        <v>0</v>
      </c>
      <c r="AJ174" s="188">
        <v>0</v>
      </c>
      <c r="AK174" s="188">
        <v>0</v>
      </c>
      <c r="AL174" s="188">
        <v>1</v>
      </c>
      <c r="AM174" s="188">
        <v>1</v>
      </c>
      <c r="AN174" s="188">
        <v>0</v>
      </c>
      <c r="AO174" s="188">
        <v>0</v>
      </c>
      <c r="AP174" s="188">
        <v>1</v>
      </c>
      <c r="AQ174" s="188">
        <v>1</v>
      </c>
      <c r="AR174" s="188">
        <v>0</v>
      </c>
      <c r="AS174" s="188">
        <v>0</v>
      </c>
      <c r="AT174" s="188">
        <v>0</v>
      </c>
      <c r="AU174" s="188">
        <v>1</v>
      </c>
      <c r="AV174" s="188">
        <v>0</v>
      </c>
      <c r="AW174" s="188">
        <v>0</v>
      </c>
      <c r="AX174" s="188">
        <v>1</v>
      </c>
      <c r="AY174" s="188">
        <v>0</v>
      </c>
      <c r="AZ174" s="188">
        <v>1</v>
      </c>
      <c r="BA174" s="188">
        <v>0</v>
      </c>
      <c r="BB174" s="188">
        <v>0</v>
      </c>
      <c r="BC174" s="188">
        <v>0</v>
      </c>
      <c r="BD174" s="188">
        <v>0</v>
      </c>
      <c r="BE174" s="188">
        <v>0</v>
      </c>
      <c r="BF174" s="188">
        <v>0</v>
      </c>
      <c r="BG174" s="188">
        <v>0</v>
      </c>
      <c r="BH174" s="188">
        <v>0</v>
      </c>
      <c r="BI174" s="188">
        <v>0</v>
      </c>
      <c r="BJ174" s="188">
        <v>0</v>
      </c>
    </row>
    <row r="175" s="188" customFormat="1" ht="15" hidden="1" customHeight="1">
      <c r="C175" s="174"/>
      <c r="D175" s="294"/>
      <c r="E175" s="295" t="s">
        <v>765</v>
      </c>
      <c r="F175" s="172" t="s">
        <v>654</v>
      </c>
      <c r="G175" s="296" t="s">
        <v>498</v>
      </c>
      <c r="H175" s="296">
        <v>25150</v>
      </c>
      <c r="I175" s="296">
        <v>25174</v>
      </c>
      <c r="J175" s="172" t="s">
        <v>766</v>
      </c>
      <c r="K175" s="176"/>
      <c r="L175" s="188" t="s">
        <v>325</v>
      </c>
      <c r="M175" s="188">
        <v>1</v>
      </c>
      <c r="N175" s="188">
        <v>0</v>
      </c>
      <c r="O175" s="188">
        <v>0</v>
      </c>
      <c r="P175" s="142">
        <v>1</v>
      </c>
      <c r="Q175" s="188">
        <v>0</v>
      </c>
      <c r="R175" s="188">
        <v>0</v>
      </c>
      <c r="S175" s="188">
        <v>0</v>
      </c>
      <c r="T175" s="142">
        <v>0</v>
      </c>
      <c r="U175" s="188">
        <v>0</v>
      </c>
      <c r="V175" s="188">
        <v>1</v>
      </c>
      <c r="W175" s="188">
        <v>0</v>
      </c>
      <c r="X175" s="188">
        <v>1</v>
      </c>
      <c r="Y175" s="188">
        <v>0</v>
      </c>
      <c r="Z175" s="188">
        <v>1</v>
      </c>
      <c r="AA175" s="188">
        <v>1</v>
      </c>
      <c r="AB175" s="188">
        <v>0</v>
      </c>
      <c r="AC175" s="188">
        <v>0</v>
      </c>
      <c r="AD175" s="188">
        <v>0</v>
      </c>
      <c r="AE175" s="188">
        <v>1</v>
      </c>
      <c r="AF175" s="188">
        <v>1</v>
      </c>
      <c r="AH175" s="188">
        <v>0</v>
      </c>
      <c r="AI175" s="188">
        <v>0</v>
      </c>
      <c r="AJ175" s="188">
        <v>0</v>
      </c>
      <c r="AK175" s="188">
        <v>0</v>
      </c>
      <c r="AL175" s="188">
        <v>0</v>
      </c>
      <c r="AM175" s="188">
        <v>1</v>
      </c>
      <c r="AN175" s="188">
        <v>0</v>
      </c>
      <c r="AO175" s="188">
        <v>0</v>
      </c>
      <c r="AP175" s="188">
        <v>1</v>
      </c>
      <c r="AQ175" s="188">
        <v>0</v>
      </c>
      <c r="AR175" s="188">
        <v>0</v>
      </c>
      <c r="AS175" s="188">
        <v>0</v>
      </c>
      <c r="AT175" s="188">
        <v>0</v>
      </c>
      <c r="AU175" s="188">
        <v>0</v>
      </c>
      <c r="AV175" s="188">
        <v>0</v>
      </c>
      <c r="AW175" s="188">
        <v>0</v>
      </c>
      <c r="AX175" s="188">
        <v>0</v>
      </c>
      <c r="AY175" s="188">
        <v>0</v>
      </c>
      <c r="AZ175" s="188">
        <v>0</v>
      </c>
      <c r="BA175" s="188">
        <v>0</v>
      </c>
      <c r="BB175" s="188">
        <v>0</v>
      </c>
      <c r="BC175" s="188">
        <v>0</v>
      </c>
      <c r="BD175" s="188">
        <v>0</v>
      </c>
      <c r="BE175" s="188">
        <v>0</v>
      </c>
      <c r="BF175" s="188">
        <v>0</v>
      </c>
      <c r="BG175" s="188">
        <v>0</v>
      </c>
      <c r="BH175" s="188">
        <v>0</v>
      </c>
      <c r="BI175" s="188">
        <v>0</v>
      </c>
      <c r="BJ175" s="188">
        <v>0</v>
      </c>
    </row>
    <row r="176" s="162" customFormat="1" ht="82" hidden="1" customHeight="1">
      <c r="A176" s="127"/>
      <c r="C176" s="142"/>
      <c r="D176" s="271"/>
      <c r="E176" s="298" t="s">
        <v>767</v>
      </c>
      <c r="F176" s="299" t="s">
        <v>672</v>
      </c>
      <c r="G176" s="300" t="s">
        <v>498</v>
      </c>
      <c r="H176" s="300">
        <v>25225</v>
      </c>
      <c r="I176" s="300">
        <v>25315</v>
      </c>
      <c r="J176" s="299" t="s">
        <v>768</v>
      </c>
      <c r="K176" s="196"/>
      <c r="L176" s="162" t="s">
        <v>325</v>
      </c>
      <c r="M176" s="162">
        <v>1</v>
      </c>
      <c r="N176" s="162">
        <v>0</v>
      </c>
      <c r="O176" s="162">
        <v>0</v>
      </c>
      <c r="P176" s="142">
        <v>1</v>
      </c>
      <c r="Q176" s="162">
        <v>0</v>
      </c>
      <c r="R176" s="162">
        <v>0</v>
      </c>
      <c r="S176" s="162">
        <v>0</v>
      </c>
      <c r="T176" s="142">
        <v>0</v>
      </c>
      <c r="U176" s="162">
        <v>1</v>
      </c>
      <c r="V176" s="162">
        <v>1</v>
      </c>
      <c r="W176" s="162">
        <v>0</v>
      </c>
      <c r="X176" s="162">
        <v>1</v>
      </c>
      <c r="Y176" s="162">
        <v>1</v>
      </c>
      <c r="Z176" s="162">
        <v>0</v>
      </c>
      <c r="AA176" s="162">
        <v>0</v>
      </c>
      <c r="AB176" s="162">
        <v>0</v>
      </c>
      <c r="AC176" s="162">
        <v>0</v>
      </c>
      <c r="AD176" s="162">
        <v>1</v>
      </c>
      <c r="AE176" s="162">
        <v>1</v>
      </c>
      <c r="AF176" s="162">
        <v>1</v>
      </c>
      <c r="AG176" s="162">
        <v>1</v>
      </c>
      <c r="AH176" s="162">
        <v>1</v>
      </c>
      <c r="AI176" s="162">
        <v>1</v>
      </c>
      <c r="AJ176" s="162">
        <v>1</v>
      </c>
      <c r="AK176" s="162">
        <v>0</v>
      </c>
      <c r="AL176" s="162">
        <v>1</v>
      </c>
      <c r="AM176" s="162">
        <v>1</v>
      </c>
      <c r="AN176" s="162">
        <v>1</v>
      </c>
      <c r="AO176" s="162">
        <v>0</v>
      </c>
      <c r="AP176" s="162">
        <v>1</v>
      </c>
      <c r="AQ176" s="162">
        <v>1</v>
      </c>
      <c r="AR176" s="162">
        <v>0</v>
      </c>
      <c r="AS176" s="162">
        <v>0</v>
      </c>
      <c r="AT176" s="162">
        <v>0</v>
      </c>
      <c r="AU176" s="162">
        <v>1</v>
      </c>
      <c r="AV176" s="162">
        <v>0</v>
      </c>
      <c r="AW176" s="162">
        <v>0</v>
      </c>
      <c r="AX176" s="162">
        <v>1</v>
      </c>
      <c r="AY176" s="162">
        <v>0</v>
      </c>
      <c r="AZ176" s="162">
        <v>1</v>
      </c>
      <c r="BA176" s="162">
        <v>0</v>
      </c>
      <c r="BB176" s="162">
        <v>0</v>
      </c>
      <c r="BC176" s="162">
        <v>0</v>
      </c>
      <c r="BD176" s="162">
        <v>0</v>
      </c>
      <c r="BE176" s="162">
        <v>1</v>
      </c>
      <c r="BF176" s="162">
        <v>0</v>
      </c>
      <c r="BG176" s="162">
        <v>0</v>
      </c>
      <c r="BH176" s="162">
        <v>0</v>
      </c>
      <c r="BI176" s="162">
        <v>0</v>
      </c>
      <c r="BJ176" s="162">
        <v>0</v>
      </c>
    </row>
    <row r="177" s="188" customFormat="1" ht="15" hidden="1" customHeight="1">
      <c r="C177" s="174"/>
      <c r="D177" s="294"/>
      <c r="E177" s="295" t="s">
        <v>769</v>
      </c>
      <c r="F177" s="172" t="s">
        <v>608</v>
      </c>
      <c r="G177" s="296" t="s">
        <v>498</v>
      </c>
      <c r="H177" s="296">
        <v>25424</v>
      </c>
      <c r="I177" s="296">
        <v>25436</v>
      </c>
      <c r="J177" s="172" t="s">
        <v>770</v>
      </c>
      <c r="K177" s="176"/>
      <c r="L177" s="188" t="s">
        <v>325</v>
      </c>
      <c r="M177" s="188">
        <v>1</v>
      </c>
      <c r="N177" s="188">
        <v>0</v>
      </c>
      <c r="O177" s="188">
        <v>0</v>
      </c>
      <c r="P177" s="142">
        <v>1</v>
      </c>
      <c r="Q177" s="188">
        <v>0</v>
      </c>
      <c r="R177" s="188">
        <v>0</v>
      </c>
      <c r="S177" s="188">
        <v>0</v>
      </c>
      <c r="T177" s="142">
        <v>0</v>
      </c>
      <c r="U177" s="188">
        <v>0</v>
      </c>
      <c r="V177" s="188">
        <v>1</v>
      </c>
      <c r="W177" s="188">
        <v>0</v>
      </c>
      <c r="X177" s="188">
        <v>0</v>
      </c>
      <c r="Y177" s="188">
        <v>0</v>
      </c>
      <c r="Z177" s="188">
        <v>1</v>
      </c>
      <c r="AA177" s="188">
        <v>1</v>
      </c>
      <c r="AB177" s="188">
        <v>0</v>
      </c>
      <c r="AC177" s="188">
        <v>0</v>
      </c>
      <c r="AD177" s="188">
        <v>0</v>
      </c>
      <c r="AE177" s="188">
        <v>1</v>
      </c>
      <c r="AF177" s="188">
        <v>1</v>
      </c>
      <c r="AG177" s="188">
        <v>1</v>
      </c>
      <c r="AH177" s="188">
        <v>0</v>
      </c>
      <c r="AI177" s="188">
        <v>0</v>
      </c>
      <c r="AJ177" s="188">
        <v>0</v>
      </c>
      <c r="AK177" s="188">
        <v>0</v>
      </c>
      <c r="AL177" s="188">
        <v>1</v>
      </c>
      <c r="AM177" s="188">
        <v>1</v>
      </c>
      <c r="AN177" s="188">
        <v>0</v>
      </c>
      <c r="AO177" s="188">
        <v>0</v>
      </c>
      <c r="AP177" s="188">
        <v>1</v>
      </c>
      <c r="AQ177" s="188">
        <v>1</v>
      </c>
      <c r="AR177" s="188">
        <v>0</v>
      </c>
      <c r="AS177" s="188">
        <v>0</v>
      </c>
      <c r="AT177" s="188">
        <v>0</v>
      </c>
      <c r="AU177" s="188">
        <v>0</v>
      </c>
      <c r="AV177" s="188">
        <v>0</v>
      </c>
      <c r="AW177" s="188">
        <v>0</v>
      </c>
      <c r="AX177" s="188">
        <v>1</v>
      </c>
      <c r="AY177" s="188">
        <v>0</v>
      </c>
      <c r="AZ177" s="188">
        <v>0</v>
      </c>
      <c r="BA177" s="188">
        <v>0</v>
      </c>
      <c r="BB177" s="188">
        <v>0</v>
      </c>
      <c r="BC177" s="188">
        <v>0</v>
      </c>
      <c r="BD177" s="188">
        <v>0</v>
      </c>
      <c r="BE177" s="188">
        <v>1</v>
      </c>
      <c r="BF177" s="188">
        <v>0</v>
      </c>
      <c r="BG177" s="188">
        <v>0</v>
      </c>
      <c r="BH177" s="188">
        <v>0</v>
      </c>
      <c r="BI177" s="188">
        <v>0</v>
      </c>
      <c r="BJ177" s="188">
        <v>0</v>
      </c>
    </row>
    <row r="178" s="174" customFormat="1" ht="28.399999999999999" hidden="1" customHeight="1">
      <c r="D178" s="294"/>
      <c r="E178" s="205" t="s">
        <v>771</v>
      </c>
      <c r="F178" s="172" t="s">
        <v>772</v>
      </c>
      <c r="G178" s="205" t="s">
        <v>498</v>
      </c>
      <c r="H178" s="205">
        <v>25680</v>
      </c>
      <c r="I178" s="205">
        <v>25890</v>
      </c>
      <c r="J178" s="301" t="s">
        <v>773</v>
      </c>
      <c r="K178" s="176"/>
      <c r="L178" s="174" t="s">
        <v>325</v>
      </c>
      <c r="M178" s="174">
        <v>0</v>
      </c>
      <c r="N178" s="174">
        <v>1</v>
      </c>
      <c r="O178" s="174">
        <v>0</v>
      </c>
      <c r="P178" s="142">
        <v>1</v>
      </c>
      <c r="Q178" s="174">
        <v>0</v>
      </c>
      <c r="R178" s="174">
        <v>0</v>
      </c>
      <c r="S178" s="174">
        <v>0</v>
      </c>
      <c r="T178" s="142">
        <v>0</v>
      </c>
      <c r="U178" s="174">
        <v>0</v>
      </c>
      <c r="V178" s="174">
        <v>0</v>
      </c>
      <c r="W178" s="174">
        <v>1</v>
      </c>
      <c r="X178" s="174">
        <v>1</v>
      </c>
      <c r="Y178" s="174">
        <v>0</v>
      </c>
      <c r="Z178" s="174">
        <v>1</v>
      </c>
      <c r="AA178" s="174">
        <v>1</v>
      </c>
      <c r="AB178" s="174">
        <v>0</v>
      </c>
      <c r="AC178" s="174">
        <v>0</v>
      </c>
      <c r="AD178" s="174">
        <v>0</v>
      </c>
      <c r="AE178" s="174">
        <v>1</v>
      </c>
      <c r="AF178" s="174">
        <v>1</v>
      </c>
      <c r="AG178" s="174">
        <v>1</v>
      </c>
      <c r="AH178" s="174">
        <v>1</v>
      </c>
      <c r="AI178" s="174">
        <v>0</v>
      </c>
      <c r="AJ178" s="174">
        <v>0</v>
      </c>
      <c r="AK178" s="174">
        <v>0</v>
      </c>
      <c r="AL178" s="174">
        <v>1</v>
      </c>
      <c r="AM178" s="174">
        <v>1</v>
      </c>
      <c r="AN178" s="174">
        <v>0</v>
      </c>
      <c r="AO178" s="174">
        <v>0</v>
      </c>
      <c r="AP178" s="174">
        <v>1</v>
      </c>
      <c r="AQ178" s="174">
        <v>0</v>
      </c>
      <c r="AR178" s="174">
        <v>0</v>
      </c>
      <c r="AS178" s="174">
        <v>0</v>
      </c>
      <c r="AT178" s="174">
        <v>0</v>
      </c>
      <c r="AU178" s="174">
        <v>0</v>
      </c>
      <c r="AV178" s="174">
        <v>0</v>
      </c>
      <c r="AW178" s="174">
        <v>0</v>
      </c>
      <c r="AX178" s="174">
        <v>0</v>
      </c>
      <c r="AY178" s="174">
        <v>0</v>
      </c>
      <c r="AZ178" s="174">
        <v>0</v>
      </c>
      <c r="BA178" s="174">
        <v>0</v>
      </c>
      <c r="BB178" s="174">
        <v>0</v>
      </c>
      <c r="BC178" s="174">
        <v>0</v>
      </c>
      <c r="BD178" s="174">
        <v>0</v>
      </c>
      <c r="BE178" s="174">
        <v>0</v>
      </c>
      <c r="BF178" s="174">
        <v>0</v>
      </c>
      <c r="BG178" s="174">
        <v>0</v>
      </c>
      <c r="BH178" s="174">
        <v>0</v>
      </c>
      <c r="BI178" s="174">
        <v>0</v>
      </c>
      <c r="BJ178" s="174">
        <v>0</v>
      </c>
    </row>
    <row r="179" s="174" customFormat="1" ht="28.399999999999999" hidden="1" customHeight="1">
      <c r="D179" s="294"/>
      <c r="E179" s="205" t="s">
        <v>774</v>
      </c>
      <c r="F179" s="172" t="s">
        <v>506</v>
      </c>
      <c r="G179" s="205" t="s">
        <v>498</v>
      </c>
      <c r="H179" s="205">
        <v>28140</v>
      </c>
      <c r="I179" s="205">
        <v>28187</v>
      </c>
      <c r="J179" s="172" t="s">
        <v>775</v>
      </c>
      <c r="K179" s="176"/>
      <c r="L179" s="174" t="s">
        <v>325</v>
      </c>
      <c r="M179" s="174">
        <v>1</v>
      </c>
      <c r="N179" s="174">
        <v>0</v>
      </c>
      <c r="O179" s="174">
        <v>0</v>
      </c>
      <c r="P179" s="142">
        <v>1</v>
      </c>
      <c r="Q179" s="174">
        <v>0</v>
      </c>
      <c r="R179" s="174">
        <v>0</v>
      </c>
      <c r="S179" s="174">
        <v>0</v>
      </c>
      <c r="T179" s="142">
        <v>0</v>
      </c>
      <c r="U179" s="174">
        <v>0</v>
      </c>
      <c r="V179" s="174">
        <v>0</v>
      </c>
      <c r="W179" s="174">
        <v>1</v>
      </c>
      <c r="X179" s="174">
        <v>0</v>
      </c>
      <c r="Y179" s="174">
        <v>0</v>
      </c>
      <c r="Z179" s="174">
        <v>1</v>
      </c>
      <c r="AA179" s="174">
        <v>1</v>
      </c>
      <c r="AB179" s="174">
        <v>0</v>
      </c>
      <c r="AC179" s="174">
        <v>0</v>
      </c>
      <c r="AD179" s="174">
        <v>0</v>
      </c>
      <c r="AE179" s="174">
        <v>1</v>
      </c>
      <c r="AF179" s="174">
        <v>1</v>
      </c>
      <c r="AG179" s="174">
        <v>1</v>
      </c>
      <c r="AH179" s="174">
        <v>1</v>
      </c>
      <c r="AI179" s="174">
        <v>1</v>
      </c>
      <c r="AJ179" s="174">
        <v>0</v>
      </c>
      <c r="AK179" s="174">
        <v>0</v>
      </c>
      <c r="AL179" s="174">
        <v>1</v>
      </c>
      <c r="AM179" s="174">
        <v>1</v>
      </c>
      <c r="AN179" s="174">
        <v>0</v>
      </c>
      <c r="AO179" s="174">
        <v>0</v>
      </c>
      <c r="AP179" s="174">
        <v>1</v>
      </c>
      <c r="AQ179" s="174">
        <v>1</v>
      </c>
      <c r="AR179" s="174">
        <v>0</v>
      </c>
      <c r="AS179" s="174">
        <v>0</v>
      </c>
      <c r="AT179" s="174">
        <v>0</v>
      </c>
      <c r="AU179" s="174">
        <v>1</v>
      </c>
      <c r="AV179" s="174">
        <v>0</v>
      </c>
      <c r="AW179" s="174">
        <v>0</v>
      </c>
      <c r="AX179" s="174">
        <v>1</v>
      </c>
      <c r="AY179" s="174">
        <v>0</v>
      </c>
      <c r="AZ179" s="174">
        <v>1</v>
      </c>
      <c r="BA179" s="174">
        <v>0</v>
      </c>
      <c r="BB179" s="174">
        <v>0</v>
      </c>
      <c r="BC179" s="174">
        <v>0</v>
      </c>
      <c r="BD179" s="174">
        <v>0</v>
      </c>
      <c r="BE179" s="174">
        <v>0</v>
      </c>
      <c r="BF179" s="174">
        <v>0</v>
      </c>
      <c r="BG179" s="174">
        <v>0</v>
      </c>
      <c r="BH179" s="174">
        <v>0</v>
      </c>
      <c r="BI179" s="174">
        <v>0</v>
      </c>
      <c r="BJ179" s="174">
        <v>0</v>
      </c>
    </row>
    <row r="180" s="188" customFormat="1" ht="41.75" hidden="1" customHeight="1">
      <c r="A180" s="144"/>
      <c r="D180" s="302"/>
      <c r="E180" s="295" t="s">
        <v>776</v>
      </c>
      <c r="F180" s="173" t="s">
        <v>668</v>
      </c>
      <c r="G180" s="295" t="s">
        <v>498</v>
      </c>
      <c r="H180" s="295">
        <v>28740</v>
      </c>
      <c r="I180" s="295">
        <v>28780</v>
      </c>
      <c r="J180" s="173"/>
      <c r="K180" s="180"/>
      <c r="L180" s="188" t="s">
        <v>325</v>
      </c>
      <c r="M180" s="188">
        <v>0</v>
      </c>
      <c r="N180" s="188">
        <v>0</v>
      </c>
      <c r="O180" s="188">
        <v>0</v>
      </c>
      <c r="P180" s="162">
        <v>0</v>
      </c>
      <c r="Q180" s="188">
        <v>0</v>
      </c>
      <c r="R180" s="188">
        <v>0</v>
      </c>
      <c r="S180" s="188">
        <v>0</v>
      </c>
      <c r="T180" s="162">
        <v>0</v>
      </c>
      <c r="U180" s="188">
        <v>1</v>
      </c>
      <c r="V180" s="188">
        <v>0</v>
      </c>
      <c r="W180" s="188">
        <v>1</v>
      </c>
      <c r="X180" s="188">
        <v>0</v>
      </c>
      <c r="Y180" s="188">
        <v>1</v>
      </c>
      <c r="Z180" s="188">
        <v>0</v>
      </c>
      <c r="AA180" s="188">
        <v>1</v>
      </c>
      <c r="AB180" s="188">
        <v>0</v>
      </c>
      <c r="AC180" s="188">
        <v>0</v>
      </c>
      <c r="AD180" s="188">
        <v>0</v>
      </c>
      <c r="AE180" s="188">
        <v>1</v>
      </c>
      <c r="AF180" s="188">
        <v>1</v>
      </c>
      <c r="AG180" s="188">
        <v>0</v>
      </c>
      <c r="AH180" s="188">
        <v>0</v>
      </c>
      <c r="AI180" s="188">
        <v>0</v>
      </c>
      <c r="AJ180" s="188">
        <v>0</v>
      </c>
      <c r="AK180" s="188">
        <v>0</v>
      </c>
      <c r="AL180" s="188">
        <v>0</v>
      </c>
      <c r="AM180" s="188">
        <v>1</v>
      </c>
      <c r="AN180" s="188">
        <v>0</v>
      </c>
      <c r="AO180" s="188">
        <v>1</v>
      </c>
      <c r="AP180" s="188">
        <v>0</v>
      </c>
      <c r="AQ180" s="188">
        <v>0</v>
      </c>
      <c r="AR180" s="188">
        <v>0</v>
      </c>
      <c r="AS180" s="188">
        <v>0</v>
      </c>
      <c r="AT180" s="188">
        <v>0</v>
      </c>
      <c r="AU180" s="188">
        <v>0</v>
      </c>
      <c r="AV180" s="188">
        <v>0</v>
      </c>
      <c r="AW180" s="188">
        <v>0</v>
      </c>
      <c r="AX180" s="188">
        <v>0</v>
      </c>
      <c r="AY180" s="188">
        <v>0</v>
      </c>
      <c r="AZ180" s="188">
        <v>0</v>
      </c>
      <c r="BA180" s="188">
        <v>0</v>
      </c>
      <c r="BB180" s="188">
        <v>0</v>
      </c>
      <c r="BC180" s="188">
        <v>0</v>
      </c>
      <c r="BD180" s="188">
        <v>0</v>
      </c>
      <c r="BE180" s="188">
        <v>0</v>
      </c>
      <c r="BF180" s="188">
        <v>0</v>
      </c>
      <c r="BG180" s="188">
        <v>0</v>
      </c>
      <c r="BH180" s="188">
        <v>0</v>
      </c>
      <c r="BI180" s="188">
        <v>0</v>
      </c>
      <c r="BJ180" s="188">
        <v>0</v>
      </c>
    </row>
    <row r="181" s="174" customFormat="1" ht="68.650000000000006" customHeight="1">
      <c r="A181" s="137" t="s">
        <v>481</v>
      </c>
      <c r="B181" s="176" t="s">
        <v>482</v>
      </c>
      <c r="C181" s="176" t="s">
        <v>200</v>
      </c>
      <c r="D181" s="176" t="s">
        <v>777</v>
      </c>
      <c r="E181" s="296" t="s">
        <v>778</v>
      </c>
      <c r="F181" s="172" t="s">
        <v>772</v>
      </c>
      <c r="G181" s="296" t="s">
        <v>498</v>
      </c>
      <c r="H181" s="303">
        <v>12630</v>
      </c>
      <c r="I181" s="303">
        <v>12840</v>
      </c>
      <c r="J181" s="172"/>
      <c r="K181" s="176">
        <v>12</v>
      </c>
      <c r="L181" s="174" t="s">
        <v>447</v>
      </c>
      <c r="M181" s="174">
        <v>1</v>
      </c>
      <c r="N181" s="174">
        <v>0</v>
      </c>
      <c r="O181" s="174">
        <v>1</v>
      </c>
      <c r="P181" s="142">
        <v>1</v>
      </c>
      <c r="Q181" s="174">
        <v>0</v>
      </c>
      <c r="R181" s="174">
        <v>0</v>
      </c>
      <c r="S181" s="174">
        <v>0</v>
      </c>
      <c r="T181" s="142">
        <v>0</v>
      </c>
      <c r="U181" s="174">
        <v>1</v>
      </c>
      <c r="V181" s="174">
        <v>1</v>
      </c>
      <c r="W181" s="174">
        <v>0</v>
      </c>
      <c r="X181" s="174">
        <v>1</v>
      </c>
      <c r="Y181" s="174">
        <v>1</v>
      </c>
      <c r="Z181" s="174">
        <v>0</v>
      </c>
      <c r="AA181" s="174">
        <v>0</v>
      </c>
      <c r="AB181" s="174">
        <v>0</v>
      </c>
      <c r="AC181" s="174">
        <v>0</v>
      </c>
      <c r="AD181" s="174">
        <v>1</v>
      </c>
      <c r="AE181" s="174">
        <v>1</v>
      </c>
      <c r="AF181" s="174">
        <v>1</v>
      </c>
      <c r="AG181" s="174">
        <v>1</v>
      </c>
      <c r="AH181" s="174">
        <v>1</v>
      </c>
      <c r="AI181" s="174">
        <v>1</v>
      </c>
      <c r="AJ181" s="174">
        <v>1</v>
      </c>
      <c r="AK181" s="174">
        <v>1</v>
      </c>
      <c r="AL181" s="174">
        <v>1</v>
      </c>
      <c r="AM181" s="174">
        <v>1</v>
      </c>
      <c r="AN181" s="174">
        <v>1</v>
      </c>
      <c r="AO181" s="174">
        <v>0</v>
      </c>
      <c r="AP181" s="174">
        <v>1</v>
      </c>
      <c r="AQ181" s="174">
        <v>0</v>
      </c>
      <c r="AR181" s="174">
        <v>0</v>
      </c>
      <c r="AS181" s="174">
        <v>0</v>
      </c>
      <c r="AT181" s="174">
        <v>0</v>
      </c>
      <c r="AU181" s="174">
        <v>0</v>
      </c>
      <c r="AV181" s="174">
        <v>0</v>
      </c>
      <c r="AW181" s="174">
        <v>0</v>
      </c>
      <c r="AX181" s="174">
        <v>0</v>
      </c>
      <c r="AY181" s="174">
        <v>0</v>
      </c>
      <c r="AZ181" s="174">
        <v>0</v>
      </c>
      <c r="BA181" s="174">
        <v>0</v>
      </c>
      <c r="BB181" s="174">
        <v>0</v>
      </c>
      <c r="BC181" s="174">
        <v>0</v>
      </c>
      <c r="BD181" s="174">
        <v>0</v>
      </c>
      <c r="BE181" s="174">
        <v>0</v>
      </c>
      <c r="BF181" s="174">
        <v>0</v>
      </c>
      <c r="BG181" s="174">
        <v>1</v>
      </c>
      <c r="BH181" s="174">
        <v>0</v>
      </c>
      <c r="BI181" s="174">
        <v>0</v>
      </c>
      <c r="BJ181" s="174">
        <v>0</v>
      </c>
    </row>
    <row r="182" s="188" customFormat="1" ht="28.399999999999999" hidden="1" customHeight="1">
      <c r="B182" s="180"/>
      <c r="C182" s="176"/>
      <c r="D182" s="176"/>
      <c r="E182" s="180" t="s">
        <v>779</v>
      </c>
      <c r="F182" s="111" t="s">
        <v>529</v>
      </c>
      <c r="G182" s="177" t="s">
        <v>498</v>
      </c>
      <c r="H182" s="177">
        <v>19470</v>
      </c>
      <c r="I182" s="177">
        <v>19490</v>
      </c>
      <c r="J182" s="111"/>
      <c r="K182" s="174"/>
      <c r="L182" s="180" t="s">
        <v>325</v>
      </c>
      <c r="M182" s="188">
        <v>1</v>
      </c>
      <c r="N182" s="188">
        <v>0</v>
      </c>
      <c r="O182" s="188">
        <v>0</v>
      </c>
      <c r="P182" s="142">
        <v>1</v>
      </c>
      <c r="Q182" s="188">
        <v>0</v>
      </c>
      <c r="R182" s="188">
        <v>0</v>
      </c>
      <c r="S182" s="188">
        <v>0</v>
      </c>
      <c r="T182" s="142">
        <v>0</v>
      </c>
      <c r="U182" s="188">
        <v>0</v>
      </c>
      <c r="V182" s="188">
        <v>1</v>
      </c>
      <c r="W182" s="188">
        <v>0</v>
      </c>
      <c r="X182" s="188">
        <v>0</v>
      </c>
      <c r="Y182" s="188">
        <v>1</v>
      </c>
      <c r="Z182" s="188">
        <v>0</v>
      </c>
      <c r="AA182" s="188">
        <v>1</v>
      </c>
      <c r="AB182" s="188">
        <v>0</v>
      </c>
      <c r="AC182" s="188">
        <v>0</v>
      </c>
      <c r="AD182" s="188">
        <v>0</v>
      </c>
      <c r="AE182" s="188">
        <v>1</v>
      </c>
      <c r="AF182" s="188">
        <v>1</v>
      </c>
      <c r="AG182" s="188">
        <v>1</v>
      </c>
      <c r="AH182" s="188">
        <v>1</v>
      </c>
      <c r="AI182" s="188">
        <v>1</v>
      </c>
      <c r="AJ182" s="188">
        <v>1</v>
      </c>
      <c r="AK182" s="188">
        <v>0</v>
      </c>
      <c r="AL182" s="188">
        <v>1</v>
      </c>
      <c r="AM182" s="188">
        <v>1</v>
      </c>
      <c r="AN182" s="188">
        <v>0</v>
      </c>
      <c r="AO182" s="188">
        <v>0</v>
      </c>
      <c r="AP182" s="188">
        <v>1</v>
      </c>
      <c r="AQ182" s="188">
        <v>0</v>
      </c>
      <c r="AR182" s="188">
        <v>0</v>
      </c>
      <c r="AS182" s="188">
        <v>0</v>
      </c>
      <c r="AT182" s="188">
        <v>0</v>
      </c>
      <c r="AU182" s="188">
        <v>0</v>
      </c>
      <c r="AV182" s="188">
        <v>0</v>
      </c>
      <c r="AW182" s="188">
        <v>0</v>
      </c>
      <c r="AX182" s="188">
        <v>0</v>
      </c>
      <c r="AY182" s="188">
        <v>0</v>
      </c>
      <c r="AZ182" s="188">
        <v>0</v>
      </c>
      <c r="BA182" s="188">
        <v>0</v>
      </c>
      <c r="BB182" s="188">
        <v>0</v>
      </c>
      <c r="BC182" s="188">
        <v>0</v>
      </c>
      <c r="BD182" s="188">
        <v>0</v>
      </c>
      <c r="BE182" s="188">
        <v>0</v>
      </c>
      <c r="BF182" s="188">
        <v>0</v>
      </c>
      <c r="BG182" s="188">
        <v>0</v>
      </c>
      <c r="BH182" s="188">
        <v>0</v>
      </c>
      <c r="BI182" s="188">
        <v>0</v>
      </c>
      <c r="BJ182" s="188">
        <v>0</v>
      </c>
    </row>
    <row r="183" s="188" customFormat="1" ht="41.75" hidden="1" customHeight="1">
      <c r="B183" s="180"/>
      <c r="C183" s="176"/>
      <c r="D183" s="176"/>
      <c r="E183" s="180" t="s">
        <v>780</v>
      </c>
      <c r="F183" s="111" t="s">
        <v>692</v>
      </c>
      <c r="G183" s="177" t="s">
        <v>498</v>
      </c>
      <c r="H183" s="177">
        <v>19572</v>
      </c>
      <c r="I183" s="177">
        <v>19620</v>
      </c>
      <c r="J183" s="111"/>
      <c r="K183" s="174"/>
      <c r="L183" s="180" t="s">
        <v>325</v>
      </c>
      <c r="M183" s="188">
        <v>1</v>
      </c>
      <c r="N183" s="188">
        <v>0</v>
      </c>
      <c r="O183" s="188">
        <v>0</v>
      </c>
      <c r="P183" s="142">
        <v>1</v>
      </c>
      <c r="Q183" s="188">
        <v>0</v>
      </c>
      <c r="R183" s="188">
        <v>0</v>
      </c>
      <c r="S183" s="188">
        <v>0</v>
      </c>
      <c r="T183" s="142">
        <v>0</v>
      </c>
      <c r="U183" s="188">
        <v>0</v>
      </c>
      <c r="V183" s="188">
        <v>1</v>
      </c>
      <c r="W183" s="188">
        <v>0</v>
      </c>
      <c r="X183" s="188">
        <v>0</v>
      </c>
      <c r="Y183" s="188">
        <v>0</v>
      </c>
      <c r="Z183" s="188">
        <v>1</v>
      </c>
      <c r="AA183" s="188">
        <v>1</v>
      </c>
      <c r="AB183" s="188">
        <v>0</v>
      </c>
      <c r="AC183" s="188">
        <v>0</v>
      </c>
      <c r="AD183" s="188">
        <v>0</v>
      </c>
      <c r="AE183" s="188">
        <v>1</v>
      </c>
      <c r="AF183" s="188">
        <v>1</v>
      </c>
      <c r="AG183" s="188">
        <v>1</v>
      </c>
      <c r="AH183" s="188">
        <v>1</v>
      </c>
      <c r="AI183" s="188">
        <v>1</v>
      </c>
      <c r="AJ183" s="188">
        <v>1</v>
      </c>
      <c r="AK183" s="188">
        <v>0</v>
      </c>
      <c r="AL183" s="188">
        <v>1</v>
      </c>
      <c r="AM183" s="188">
        <v>1</v>
      </c>
      <c r="AN183" s="188">
        <v>0</v>
      </c>
      <c r="AO183" s="188">
        <v>0</v>
      </c>
      <c r="AP183" s="188">
        <v>1</v>
      </c>
      <c r="AQ183" s="188">
        <v>1</v>
      </c>
      <c r="AR183" s="188">
        <v>0</v>
      </c>
      <c r="AS183" s="188">
        <v>0</v>
      </c>
      <c r="AT183" s="188">
        <v>1</v>
      </c>
      <c r="AU183" s="188">
        <v>0</v>
      </c>
      <c r="AV183" s="188">
        <v>0</v>
      </c>
      <c r="AW183" s="188">
        <v>0</v>
      </c>
      <c r="AX183" s="188">
        <v>1</v>
      </c>
      <c r="AY183" s="188">
        <v>0</v>
      </c>
      <c r="AZ183" s="188">
        <v>0</v>
      </c>
      <c r="BA183" s="188">
        <v>0</v>
      </c>
      <c r="BB183" s="188">
        <v>0</v>
      </c>
      <c r="BC183" s="188">
        <v>0</v>
      </c>
      <c r="BD183" s="188">
        <v>0</v>
      </c>
      <c r="BE183" s="188">
        <v>0</v>
      </c>
      <c r="BF183" s="188">
        <v>0</v>
      </c>
      <c r="BG183" s="188">
        <v>0</v>
      </c>
      <c r="BH183" s="188">
        <v>0</v>
      </c>
      <c r="BI183" s="188">
        <v>0</v>
      </c>
      <c r="BJ183" s="188">
        <v>0</v>
      </c>
    </row>
    <row r="184" s="162" customFormat="1" ht="41.75" hidden="1" customHeight="1">
      <c r="B184" s="197"/>
      <c r="C184" s="196"/>
      <c r="D184" s="196"/>
      <c r="E184" s="197" t="s">
        <v>781</v>
      </c>
      <c r="F184" s="196" t="s">
        <v>541</v>
      </c>
      <c r="G184" s="233" t="s">
        <v>498</v>
      </c>
      <c r="H184" s="233">
        <v>19655</v>
      </c>
      <c r="I184" s="233">
        <v>19663</v>
      </c>
      <c r="J184" s="196"/>
      <c r="K184" s="142"/>
      <c r="L184" s="197" t="s">
        <v>447</v>
      </c>
      <c r="M184" s="162">
        <v>1</v>
      </c>
      <c r="N184" s="162">
        <v>0</v>
      </c>
      <c r="O184" s="162">
        <v>0</v>
      </c>
      <c r="P184" s="142">
        <v>1</v>
      </c>
      <c r="Q184" s="162">
        <v>0</v>
      </c>
      <c r="R184" s="162">
        <v>0</v>
      </c>
      <c r="S184" s="162">
        <v>0</v>
      </c>
      <c r="T184" s="142">
        <v>0</v>
      </c>
      <c r="U184" s="162">
        <v>0</v>
      </c>
      <c r="V184" s="162">
        <v>0</v>
      </c>
      <c r="W184" s="162">
        <v>1</v>
      </c>
      <c r="X184" s="162">
        <v>0</v>
      </c>
      <c r="Y184" s="162">
        <v>0</v>
      </c>
      <c r="Z184" s="162">
        <v>1</v>
      </c>
      <c r="AA184" s="162">
        <v>1</v>
      </c>
      <c r="AB184" s="162">
        <v>0</v>
      </c>
      <c r="AC184" s="162">
        <v>0</v>
      </c>
      <c r="AD184" s="162">
        <v>0</v>
      </c>
      <c r="AE184" s="162">
        <v>0</v>
      </c>
      <c r="AF184" s="162">
        <v>1</v>
      </c>
      <c r="AG184" s="162">
        <v>0</v>
      </c>
      <c r="AH184" s="162">
        <v>0</v>
      </c>
      <c r="AI184" s="162">
        <v>0</v>
      </c>
      <c r="AJ184" s="162">
        <v>0</v>
      </c>
      <c r="AK184" s="162">
        <v>0</v>
      </c>
      <c r="AL184" s="162">
        <v>0</v>
      </c>
      <c r="AM184" s="162">
        <v>1</v>
      </c>
      <c r="AN184" s="162">
        <v>0</v>
      </c>
      <c r="AO184" s="162">
        <v>1</v>
      </c>
      <c r="AP184" s="162">
        <v>0</v>
      </c>
      <c r="AQ184" s="162">
        <v>1</v>
      </c>
      <c r="AR184" s="162">
        <v>0</v>
      </c>
      <c r="AS184" s="162">
        <v>0</v>
      </c>
      <c r="AT184" s="162">
        <v>1</v>
      </c>
      <c r="AU184" s="162">
        <v>0</v>
      </c>
      <c r="AV184" s="162">
        <v>0</v>
      </c>
      <c r="AW184" s="162">
        <v>1</v>
      </c>
      <c r="AX184" s="162">
        <v>0</v>
      </c>
      <c r="AY184" s="162">
        <v>0</v>
      </c>
      <c r="AZ184" s="162">
        <v>0</v>
      </c>
      <c r="BA184" s="162">
        <v>0</v>
      </c>
      <c r="BB184" s="162">
        <v>0</v>
      </c>
      <c r="BC184" s="162">
        <v>0</v>
      </c>
      <c r="BD184" s="162">
        <v>1</v>
      </c>
      <c r="BE184" s="162">
        <v>0</v>
      </c>
      <c r="BF184" s="162">
        <v>0</v>
      </c>
      <c r="BG184" s="162">
        <v>1</v>
      </c>
      <c r="BH184" s="162">
        <v>0</v>
      </c>
      <c r="BI184" s="162">
        <v>0</v>
      </c>
      <c r="BJ184" s="162">
        <v>1</v>
      </c>
    </row>
    <row r="185" s="207" customFormat="1" ht="28.399999999999999" hidden="1" customHeight="1">
      <c r="B185" s="177"/>
      <c r="C185" s="176"/>
      <c r="D185" s="176"/>
      <c r="E185" s="177" t="s">
        <v>782</v>
      </c>
      <c r="F185" s="111" t="s">
        <v>527</v>
      </c>
      <c r="G185" s="177" t="s">
        <v>498</v>
      </c>
      <c r="H185" s="177">
        <v>28920</v>
      </c>
      <c r="I185" s="177">
        <v>28957</v>
      </c>
      <c r="J185" s="111"/>
      <c r="K185" s="174"/>
      <c r="L185" s="177" t="s">
        <v>325</v>
      </c>
      <c r="M185" s="207">
        <v>1</v>
      </c>
      <c r="N185" s="207">
        <v>0</v>
      </c>
      <c r="O185" s="207">
        <v>0</v>
      </c>
      <c r="P185" s="142">
        <v>1</v>
      </c>
      <c r="Q185" s="207">
        <v>0</v>
      </c>
      <c r="R185" s="207">
        <v>0</v>
      </c>
      <c r="S185" s="207">
        <v>0</v>
      </c>
      <c r="T185" s="142">
        <v>0</v>
      </c>
      <c r="U185" s="207">
        <v>0</v>
      </c>
      <c r="V185" s="207">
        <v>0</v>
      </c>
      <c r="W185" s="207">
        <v>1</v>
      </c>
      <c r="X185" s="207">
        <v>1</v>
      </c>
      <c r="Y185" s="207">
        <v>0</v>
      </c>
      <c r="Z185" s="207">
        <v>1</v>
      </c>
      <c r="AA185" s="207">
        <v>1</v>
      </c>
      <c r="AB185" s="207">
        <v>0</v>
      </c>
      <c r="AC185" s="207">
        <v>0</v>
      </c>
      <c r="AD185" s="207">
        <v>0</v>
      </c>
      <c r="AE185" s="207">
        <v>1</v>
      </c>
      <c r="AF185" s="207">
        <v>1</v>
      </c>
      <c r="AG185" s="207">
        <v>1</v>
      </c>
      <c r="AH185" s="207">
        <v>1</v>
      </c>
      <c r="AI185" s="207">
        <v>1</v>
      </c>
      <c r="AJ185" s="207">
        <v>1</v>
      </c>
      <c r="AK185" s="207">
        <v>0</v>
      </c>
      <c r="AL185" s="207">
        <v>0</v>
      </c>
      <c r="AM185" s="207">
        <v>1</v>
      </c>
      <c r="AN185" s="207">
        <v>0</v>
      </c>
      <c r="AO185" s="207">
        <v>0</v>
      </c>
      <c r="AP185" s="207">
        <v>1</v>
      </c>
      <c r="AQ185" s="207">
        <v>0</v>
      </c>
      <c r="AR185" s="207">
        <v>0</v>
      </c>
      <c r="AS185" s="207">
        <v>0</v>
      </c>
      <c r="AT185" s="207">
        <v>0</v>
      </c>
      <c r="AU185" s="207">
        <v>0</v>
      </c>
      <c r="AV185" s="207">
        <v>0</v>
      </c>
      <c r="AW185" s="207">
        <v>0</v>
      </c>
      <c r="AX185" s="207">
        <v>0</v>
      </c>
      <c r="AY185" s="207">
        <v>0</v>
      </c>
      <c r="AZ185" s="207">
        <v>0</v>
      </c>
      <c r="BA185" s="207">
        <v>0</v>
      </c>
      <c r="BB185" s="207">
        <v>0</v>
      </c>
      <c r="BC185" s="207">
        <v>0</v>
      </c>
      <c r="BD185" s="207">
        <v>0</v>
      </c>
      <c r="BE185" s="207">
        <v>0</v>
      </c>
      <c r="BF185" s="207">
        <v>0</v>
      </c>
      <c r="BG185" s="207">
        <v>0</v>
      </c>
      <c r="BH185" s="207">
        <v>0</v>
      </c>
      <c r="BI185" s="207">
        <v>0</v>
      </c>
      <c r="BJ185" s="207">
        <v>0</v>
      </c>
    </row>
    <row r="186" s="207" customFormat="1" ht="122.40000000000001" hidden="1" customHeight="1">
      <c r="B186" s="177"/>
      <c r="C186" s="176"/>
      <c r="D186" s="176"/>
      <c r="E186" s="177" t="s">
        <v>783</v>
      </c>
      <c r="F186" s="111" t="s">
        <v>784</v>
      </c>
      <c r="G186" s="177" t="s">
        <v>498</v>
      </c>
      <c r="H186" s="177">
        <v>29094</v>
      </c>
      <c r="I186" s="177">
        <v>29516</v>
      </c>
      <c r="J186" s="111"/>
      <c r="K186" s="174"/>
      <c r="L186" s="177" t="s">
        <v>325</v>
      </c>
      <c r="M186" s="207">
        <v>0</v>
      </c>
      <c r="N186" s="207">
        <v>0</v>
      </c>
      <c r="O186" s="207">
        <v>1</v>
      </c>
      <c r="P186" s="142">
        <v>1</v>
      </c>
      <c r="Q186" s="207">
        <v>0</v>
      </c>
      <c r="R186" s="207">
        <v>0</v>
      </c>
      <c r="S186" s="207">
        <v>0</v>
      </c>
      <c r="T186" s="142">
        <v>0</v>
      </c>
      <c r="U186" s="207">
        <v>1</v>
      </c>
      <c r="V186" s="207">
        <v>1</v>
      </c>
      <c r="W186" s="207">
        <v>0</v>
      </c>
      <c r="X186" s="207">
        <v>1</v>
      </c>
      <c r="Y186" s="207">
        <v>1</v>
      </c>
      <c r="Z186" s="207">
        <v>0</v>
      </c>
      <c r="AA186" s="207">
        <v>1</v>
      </c>
      <c r="AB186" s="207">
        <v>0</v>
      </c>
      <c r="AC186" s="207">
        <v>0</v>
      </c>
      <c r="AD186" s="207">
        <v>0</v>
      </c>
      <c r="AE186" s="207">
        <v>1</v>
      </c>
      <c r="AF186" s="207">
        <v>1</v>
      </c>
      <c r="AG186" s="207">
        <v>1</v>
      </c>
      <c r="AH186" s="207">
        <v>1</v>
      </c>
      <c r="AI186" s="207">
        <v>1</v>
      </c>
      <c r="AJ186" s="207">
        <v>1</v>
      </c>
      <c r="AK186" s="207">
        <v>1</v>
      </c>
      <c r="AL186" s="207">
        <v>1</v>
      </c>
      <c r="AM186" s="207">
        <v>1</v>
      </c>
      <c r="AN186" s="207">
        <v>0</v>
      </c>
      <c r="AO186" s="207">
        <v>0</v>
      </c>
      <c r="AP186" s="207">
        <v>1</v>
      </c>
      <c r="AQ186" s="207">
        <v>1</v>
      </c>
      <c r="AR186" s="207">
        <v>0</v>
      </c>
      <c r="AS186" s="207">
        <v>0</v>
      </c>
      <c r="AT186" s="207">
        <v>1</v>
      </c>
      <c r="AU186" s="207">
        <v>0</v>
      </c>
      <c r="AV186" s="207">
        <v>0</v>
      </c>
      <c r="AW186" s="207">
        <v>0</v>
      </c>
      <c r="AX186" s="207">
        <v>1</v>
      </c>
      <c r="AY186" s="207">
        <v>0</v>
      </c>
      <c r="AZ186" s="207">
        <v>1</v>
      </c>
      <c r="BA186" s="207">
        <v>0</v>
      </c>
      <c r="BB186" s="207">
        <v>0</v>
      </c>
      <c r="BC186" s="207">
        <v>0</v>
      </c>
      <c r="BD186" s="207">
        <v>0</v>
      </c>
      <c r="BE186" s="207">
        <v>0</v>
      </c>
      <c r="BF186" s="207">
        <v>0</v>
      </c>
      <c r="BG186" s="207">
        <v>0</v>
      </c>
      <c r="BH186" s="207">
        <v>1</v>
      </c>
      <c r="BI186" s="207">
        <v>0</v>
      </c>
      <c r="BJ186" s="207">
        <v>0</v>
      </c>
    </row>
    <row r="187" s="275" customFormat="1" ht="82" hidden="1" customHeight="1">
      <c r="A187" s="142"/>
      <c r="B187" s="233"/>
      <c r="C187" s="196"/>
      <c r="D187" s="196"/>
      <c r="E187" s="196" t="s">
        <v>785</v>
      </c>
      <c r="F187" s="196" t="s">
        <v>786</v>
      </c>
      <c r="G187" s="196" t="s">
        <v>498</v>
      </c>
      <c r="H187" s="196">
        <v>29525</v>
      </c>
      <c r="I187" s="196">
        <v>29590</v>
      </c>
      <c r="J187" s="196"/>
      <c r="K187" s="142"/>
      <c r="L187" s="233" t="s">
        <v>325</v>
      </c>
      <c r="M187" s="275">
        <v>1</v>
      </c>
      <c r="N187" s="275">
        <v>0</v>
      </c>
      <c r="O187" s="275">
        <v>0</v>
      </c>
      <c r="P187" s="142">
        <v>1</v>
      </c>
      <c r="Q187" s="275">
        <v>0</v>
      </c>
      <c r="R187" s="275">
        <v>0</v>
      </c>
      <c r="S187" s="275">
        <v>0</v>
      </c>
      <c r="T187" s="142">
        <v>0</v>
      </c>
      <c r="U187" s="275">
        <v>1</v>
      </c>
      <c r="V187" s="275">
        <v>0</v>
      </c>
      <c r="W187" s="275">
        <v>1</v>
      </c>
      <c r="X187" s="275">
        <v>0</v>
      </c>
      <c r="Y187" s="275">
        <v>1</v>
      </c>
      <c r="Z187" s="275">
        <v>0</v>
      </c>
      <c r="AA187" s="275">
        <v>0</v>
      </c>
      <c r="AB187" s="275">
        <v>0</v>
      </c>
      <c r="AC187" s="275">
        <v>0</v>
      </c>
      <c r="AD187" s="275">
        <v>1</v>
      </c>
      <c r="AE187" s="275">
        <v>1</v>
      </c>
      <c r="AF187" s="275">
        <v>1</v>
      </c>
      <c r="AG187" s="275">
        <v>0</v>
      </c>
      <c r="AH187" s="275">
        <v>0</v>
      </c>
      <c r="AI187" s="275">
        <v>0</v>
      </c>
      <c r="AJ187" s="275">
        <v>0</v>
      </c>
      <c r="AK187" s="275">
        <v>1</v>
      </c>
      <c r="AL187" s="275">
        <v>1</v>
      </c>
      <c r="AM187" s="275">
        <v>1</v>
      </c>
      <c r="AN187" s="275">
        <v>0</v>
      </c>
      <c r="AO187" s="275">
        <v>0</v>
      </c>
      <c r="AP187" s="275">
        <v>0</v>
      </c>
      <c r="AQ187" s="275">
        <v>1</v>
      </c>
      <c r="AR187" s="275">
        <v>0</v>
      </c>
      <c r="AS187" s="275">
        <v>0</v>
      </c>
      <c r="AT187" s="275">
        <v>1</v>
      </c>
      <c r="AU187" s="275">
        <v>0</v>
      </c>
      <c r="AV187" s="275">
        <v>0</v>
      </c>
      <c r="AW187" s="275">
        <v>0</v>
      </c>
      <c r="AX187" s="275">
        <v>1</v>
      </c>
      <c r="AY187" s="275">
        <v>0</v>
      </c>
      <c r="AZ187" s="275">
        <v>1</v>
      </c>
      <c r="BA187" s="275">
        <v>0</v>
      </c>
      <c r="BB187" s="275">
        <v>0</v>
      </c>
      <c r="BC187" s="275">
        <v>0</v>
      </c>
      <c r="BD187" s="275">
        <v>0</v>
      </c>
      <c r="BE187" s="275">
        <v>1</v>
      </c>
      <c r="BF187" s="275">
        <v>0</v>
      </c>
      <c r="BG187" s="275">
        <v>0</v>
      </c>
      <c r="BH187" s="275">
        <v>0</v>
      </c>
      <c r="BI187" s="275">
        <v>0</v>
      </c>
      <c r="BJ187" s="275">
        <v>0</v>
      </c>
    </row>
    <row r="188" s="207" customFormat="1" ht="41.75" hidden="1" customHeight="1">
      <c r="B188" s="177"/>
      <c r="C188" s="176"/>
      <c r="D188" s="176"/>
      <c r="E188" s="176" t="s">
        <v>787</v>
      </c>
      <c r="F188" s="111" t="s">
        <v>788</v>
      </c>
      <c r="G188" s="176" t="s">
        <v>498</v>
      </c>
      <c r="H188" s="176">
        <v>29654</v>
      </c>
      <c r="I188" s="176">
        <v>29774</v>
      </c>
      <c r="J188" s="111"/>
      <c r="K188" s="174"/>
      <c r="L188" s="177" t="s">
        <v>66</v>
      </c>
      <c r="M188" s="207">
        <v>1</v>
      </c>
      <c r="N188" s="207">
        <v>0</v>
      </c>
      <c r="O188" s="207">
        <v>0</v>
      </c>
      <c r="P188" s="142">
        <v>1</v>
      </c>
      <c r="Q188" s="207">
        <v>0</v>
      </c>
      <c r="R188" s="207">
        <v>0</v>
      </c>
      <c r="S188" s="207">
        <v>0</v>
      </c>
      <c r="T188" s="142">
        <v>0</v>
      </c>
      <c r="U188" s="207">
        <v>0</v>
      </c>
      <c r="V188" s="207">
        <v>0</v>
      </c>
      <c r="W188" s="207">
        <v>1</v>
      </c>
      <c r="X188" s="207">
        <v>1</v>
      </c>
      <c r="Y188" s="207">
        <v>0</v>
      </c>
      <c r="Z188" s="207">
        <v>1</v>
      </c>
      <c r="AA188" s="207">
        <v>1</v>
      </c>
      <c r="AB188" s="207">
        <v>0</v>
      </c>
      <c r="AC188" s="207">
        <v>0</v>
      </c>
      <c r="AD188" s="207">
        <v>0</v>
      </c>
      <c r="AE188" s="207">
        <v>0</v>
      </c>
      <c r="AF188" s="207">
        <v>1</v>
      </c>
      <c r="AG188" s="207">
        <v>1</v>
      </c>
      <c r="AH188" s="207">
        <v>1</v>
      </c>
      <c r="AI188" s="207">
        <v>1</v>
      </c>
      <c r="AJ188" s="207">
        <v>1</v>
      </c>
      <c r="AK188" s="207">
        <v>1</v>
      </c>
      <c r="AL188" s="207">
        <v>1</v>
      </c>
      <c r="AM188" s="207">
        <v>0</v>
      </c>
      <c r="AN188" s="207">
        <v>0</v>
      </c>
      <c r="AO188" s="207">
        <v>0</v>
      </c>
      <c r="AP188" s="207">
        <v>1</v>
      </c>
      <c r="AQ188" s="207">
        <v>1</v>
      </c>
      <c r="AR188" s="207">
        <v>0</v>
      </c>
      <c r="AS188" s="207">
        <v>0</v>
      </c>
      <c r="AT188" s="207">
        <v>0</v>
      </c>
      <c r="AU188" s="207">
        <v>1</v>
      </c>
      <c r="AV188" s="207">
        <v>0</v>
      </c>
      <c r="AW188" s="207">
        <v>0</v>
      </c>
      <c r="AX188" s="207">
        <v>1</v>
      </c>
      <c r="AY188" s="207">
        <v>0</v>
      </c>
      <c r="AZ188" s="207">
        <v>0</v>
      </c>
      <c r="BA188" s="207">
        <v>0</v>
      </c>
      <c r="BB188" s="207">
        <v>0</v>
      </c>
      <c r="BC188" s="207">
        <v>0</v>
      </c>
      <c r="BD188" s="207">
        <v>0</v>
      </c>
      <c r="BE188" s="207">
        <v>0</v>
      </c>
      <c r="BF188" s="207">
        <v>0</v>
      </c>
      <c r="BG188" s="207">
        <v>0</v>
      </c>
      <c r="BH188" s="207">
        <v>0</v>
      </c>
      <c r="BI188" s="207">
        <v>1</v>
      </c>
      <c r="BJ188" s="207">
        <v>0</v>
      </c>
    </row>
    <row r="189" s="207" customFormat="1" ht="14.25" hidden="1" customHeight="1">
      <c r="B189" s="177"/>
      <c r="C189" s="176"/>
      <c r="D189" s="176"/>
      <c r="E189" s="180" t="s">
        <v>789</v>
      </c>
      <c r="F189" s="111" t="s">
        <v>502</v>
      </c>
      <c r="G189" s="180" t="s">
        <v>498</v>
      </c>
      <c r="H189" s="180">
        <v>29863</v>
      </c>
      <c r="I189" s="180">
        <v>29880</v>
      </c>
      <c r="J189" s="111"/>
      <c r="K189" s="174"/>
      <c r="L189" s="177" t="s">
        <v>325</v>
      </c>
      <c r="M189" s="207">
        <v>1</v>
      </c>
      <c r="N189" s="207">
        <v>0</v>
      </c>
      <c r="O189" s="207">
        <v>0</v>
      </c>
      <c r="P189" s="142">
        <v>1</v>
      </c>
      <c r="Q189" s="207">
        <v>0</v>
      </c>
      <c r="R189" s="207">
        <v>0</v>
      </c>
      <c r="S189" s="207">
        <v>0</v>
      </c>
      <c r="T189" s="142">
        <v>0</v>
      </c>
      <c r="U189" s="207">
        <v>0</v>
      </c>
      <c r="V189" s="207">
        <v>0</v>
      </c>
      <c r="W189" s="207">
        <v>1</v>
      </c>
      <c r="X189" s="207">
        <v>0</v>
      </c>
      <c r="Y189" s="207">
        <v>0</v>
      </c>
      <c r="Z189" s="207">
        <v>1</v>
      </c>
      <c r="AA189" s="207">
        <v>1</v>
      </c>
      <c r="AB189" s="207">
        <v>0</v>
      </c>
      <c r="AC189" s="207">
        <v>0</v>
      </c>
      <c r="AD189" s="207">
        <v>0</v>
      </c>
      <c r="AE189" s="207">
        <v>0</v>
      </c>
      <c r="AF189" s="207">
        <v>0</v>
      </c>
      <c r="AG189" s="207">
        <v>0</v>
      </c>
      <c r="AH189" s="207">
        <v>0</v>
      </c>
      <c r="AI189" s="207">
        <v>0</v>
      </c>
      <c r="AJ189" s="207">
        <v>1</v>
      </c>
      <c r="AK189" s="207">
        <v>1</v>
      </c>
      <c r="AL189" s="207">
        <v>1</v>
      </c>
      <c r="AM189" s="207">
        <v>0</v>
      </c>
      <c r="AN189" s="207">
        <v>0</v>
      </c>
      <c r="AO189" s="207">
        <v>1</v>
      </c>
      <c r="AP189" s="207">
        <v>0</v>
      </c>
      <c r="AQ189" s="207">
        <v>0</v>
      </c>
      <c r="AR189" s="207">
        <v>0</v>
      </c>
      <c r="AS189" s="207">
        <v>0</v>
      </c>
      <c r="AT189" s="207">
        <v>0</v>
      </c>
      <c r="AU189" s="207">
        <v>0</v>
      </c>
      <c r="AV189" s="207">
        <v>0</v>
      </c>
      <c r="AW189" s="207">
        <v>0</v>
      </c>
      <c r="AX189" s="207">
        <v>0</v>
      </c>
      <c r="AY189" s="207">
        <v>0</v>
      </c>
      <c r="AZ189" s="207">
        <v>0</v>
      </c>
      <c r="BA189" s="207">
        <v>0</v>
      </c>
      <c r="BB189" s="207">
        <v>0</v>
      </c>
      <c r="BC189" s="207">
        <v>0</v>
      </c>
      <c r="BD189" s="207">
        <v>0</v>
      </c>
      <c r="BE189" s="207">
        <v>0</v>
      </c>
      <c r="BF189" s="207">
        <v>0</v>
      </c>
      <c r="BG189" s="207">
        <v>0</v>
      </c>
      <c r="BH189" s="207">
        <v>0</v>
      </c>
      <c r="BI189" s="207">
        <v>0</v>
      </c>
      <c r="BJ189" s="207">
        <v>0</v>
      </c>
    </row>
    <row r="190" s="207" customFormat="1" ht="28.399999999999999" hidden="1" customHeight="1">
      <c r="B190" s="177"/>
      <c r="C190" s="176"/>
      <c r="D190" s="176"/>
      <c r="E190" s="180" t="s">
        <v>790</v>
      </c>
      <c r="F190" s="111" t="s">
        <v>791</v>
      </c>
      <c r="G190" s="177" t="s">
        <v>498</v>
      </c>
      <c r="H190" s="177">
        <v>29911</v>
      </c>
      <c r="I190" s="177">
        <v>29972</v>
      </c>
      <c r="J190" s="111"/>
      <c r="L190" s="177" t="s">
        <v>325</v>
      </c>
      <c r="M190" s="207">
        <v>1</v>
      </c>
      <c r="P190" s="142">
        <v>1</v>
      </c>
      <c r="T190" s="142"/>
      <c r="U190" s="207">
        <v>1</v>
      </c>
      <c r="W190" s="207">
        <v>1</v>
      </c>
      <c r="X190" s="207">
        <v>1</v>
      </c>
      <c r="Z190" s="207">
        <v>1</v>
      </c>
      <c r="AD190" s="207">
        <v>1</v>
      </c>
      <c r="AE190" s="207">
        <v>1</v>
      </c>
      <c r="AF190" s="207">
        <v>1</v>
      </c>
      <c r="AG190" s="207">
        <v>1</v>
      </c>
      <c r="AH190" s="207">
        <v>1</v>
      </c>
      <c r="AI190" s="207">
        <v>1</v>
      </c>
      <c r="AJ190" s="207">
        <v>1</v>
      </c>
      <c r="AM190" s="207">
        <v>1</v>
      </c>
      <c r="AP190" s="207">
        <v>1</v>
      </c>
    </row>
    <row r="191" s="275" customFormat="1" ht="41.75" hidden="1" customHeight="1">
      <c r="A191" s="142"/>
      <c r="B191" s="233"/>
      <c r="C191" s="196"/>
      <c r="D191" s="196"/>
      <c r="E191" s="196" t="s">
        <v>792</v>
      </c>
      <c r="F191" s="196" t="s">
        <v>535</v>
      </c>
      <c r="G191" s="196" t="s">
        <v>498</v>
      </c>
      <c r="H191" s="196">
        <v>30260</v>
      </c>
      <c r="I191" s="196">
        <v>30269</v>
      </c>
      <c r="J191" s="196"/>
      <c r="K191" s="142"/>
      <c r="L191" s="233" t="s">
        <v>447</v>
      </c>
      <c r="M191" s="275">
        <v>0</v>
      </c>
      <c r="N191" s="275">
        <v>0</v>
      </c>
      <c r="O191" s="275">
        <v>0</v>
      </c>
      <c r="P191" s="142">
        <v>0</v>
      </c>
      <c r="Q191" s="275">
        <v>0</v>
      </c>
      <c r="R191" s="275">
        <v>1</v>
      </c>
      <c r="S191" s="275">
        <v>1</v>
      </c>
      <c r="T191" s="142">
        <v>1</v>
      </c>
      <c r="U191" s="275">
        <v>0</v>
      </c>
      <c r="V191" s="275">
        <v>1</v>
      </c>
      <c r="W191" s="275">
        <v>0</v>
      </c>
      <c r="X191" s="275">
        <v>0</v>
      </c>
      <c r="Y191" s="275">
        <v>1</v>
      </c>
      <c r="Z191" s="275">
        <v>0</v>
      </c>
      <c r="AA191" s="275">
        <v>0</v>
      </c>
      <c r="AB191" s="275">
        <v>0</v>
      </c>
      <c r="AC191" s="275">
        <v>1</v>
      </c>
      <c r="AD191" s="275">
        <v>0</v>
      </c>
      <c r="AE191" s="275">
        <v>1</v>
      </c>
      <c r="AF191" s="275">
        <v>1</v>
      </c>
      <c r="AG191" s="275">
        <v>1</v>
      </c>
      <c r="AH191" s="275">
        <v>0</v>
      </c>
      <c r="AI191" s="275">
        <v>1</v>
      </c>
      <c r="AJ191" s="275">
        <v>1</v>
      </c>
      <c r="AK191" s="275">
        <v>0</v>
      </c>
      <c r="AL191" s="275">
        <v>1</v>
      </c>
      <c r="AM191" s="275">
        <v>1</v>
      </c>
      <c r="AN191" s="275">
        <v>1</v>
      </c>
      <c r="AO191" s="275">
        <v>0</v>
      </c>
      <c r="AP191" s="275">
        <v>1</v>
      </c>
      <c r="AQ191" s="275">
        <v>1</v>
      </c>
      <c r="AR191" s="275">
        <v>0</v>
      </c>
      <c r="AS191" s="275">
        <v>1</v>
      </c>
      <c r="AT191" s="275">
        <v>0</v>
      </c>
      <c r="AU191" s="275">
        <v>0</v>
      </c>
      <c r="AV191" s="275">
        <v>0</v>
      </c>
      <c r="AW191" s="275">
        <v>1</v>
      </c>
      <c r="AX191" s="275">
        <v>0</v>
      </c>
      <c r="AY191" s="275">
        <v>0</v>
      </c>
      <c r="AZ191" s="275">
        <v>0</v>
      </c>
      <c r="BA191" s="275">
        <v>0</v>
      </c>
      <c r="BB191" s="275">
        <v>1</v>
      </c>
      <c r="BC191" s="275">
        <v>0</v>
      </c>
      <c r="BD191" s="275">
        <v>0</v>
      </c>
      <c r="BE191" s="275">
        <v>0</v>
      </c>
      <c r="BF191" s="275">
        <v>0</v>
      </c>
      <c r="BG191" s="275">
        <v>1</v>
      </c>
      <c r="BH191" s="275">
        <v>0</v>
      </c>
      <c r="BI191" s="275">
        <v>0</v>
      </c>
      <c r="BJ191" s="275">
        <v>0</v>
      </c>
    </row>
    <row r="192" s="207" customFormat="1" ht="28.399999999999999" hidden="1" customHeight="1">
      <c r="A192" s="144"/>
      <c r="B192" s="177"/>
      <c r="C192" s="180"/>
      <c r="D192" s="180"/>
      <c r="E192" s="180" t="s">
        <v>793</v>
      </c>
      <c r="F192" s="145" t="s">
        <v>533</v>
      </c>
      <c r="G192" s="180" t="s">
        <v>498</v>
      </c>
      <c r="H192" s="180">
        <v>30489</v>
      </c>
      <c r="I192" s="180">
        <v>30510</v>
      </c>
      <c r="J192" s="145"/>
      <c r="K192" s="188"/>
      <c r="L192" s="177" t="s">
        <v>447</v>
      </c>
      <c r="M192" s="207">
        <v>0</v>
      </c>
      <c r="N192" s="207">
        <v>0</v>
      </c>
      <c r="O192" s="207">
        <v>0</v>
      </c>
      <c r="P192" s="162">
        <v>0</v>
      </c>
      <c r="Q192" s="207">
        <v>0</v>
      </c>
      <c r="R192" s="207">
        <v>1</v>
      </c>
      <c r="S192" s="207">
        <v>1</v>
      </c>
      <c r="T192" s="162">
        <v>1</v>
      </c>
      <c r="U192" s="207">
        <v>0</v>
      </c>
      <c r="V192" s="207">
        <v>1</v>
      </c>
      <c r="W192" s="207">
        <v>0</v>
      </c>
      <c r="X192" s="207">
        <v>0</v>
      </c>
      <c r="Y192" s="207">
        <v>1</v>
      </c>
      <c r="Z192" s="207">
        <v>0</v>
      </c>
      <c r="AA192" s="207">
        <v>0</v>
      </c>
      <c r="AB192" s="207">
        <v>0</v>
      </c>
      <c r="AC192" s="207">
        <v>1</v>
      </c>
      <c r="AD192" s="207">
        <v>0</v>
      </c>
      <c r="AE192" s="207">
        <v>1</v>
      </c>
      <c r="AF192" s="207">
        <v>1</v>
      </c>
      <c r="AG192" s="207">
        <v>1</v>
      </c>
      <c r="AH192" s="207">
        <v>0</v>
      </c>
      <c r="AI192" s="207">
        <v>1</v>
      </c>
      <c r="AJ192" s="207">
        <v>1</v>
      </c>
      <c r="AK192" s="207">
        <v>0</v>
      </c>
      <c r="AL192" s="207">
        <v>1</v>
      </c>
      <c r="AM192" s="207">
        <v>1</v>
      </c>
      <c r="AN192" s="207">
        <v>1</v>
      </c>
      <c r="AO192" s="207">
        <v>0</v>
      </c>
      <c r="AP192" s="207">
        <v>1</v>
      </c>
      <c r="AQ192" s="207">
        <v>0</v>
      </c>
      <c r="AR192" s="207">
        <v>0</v>
      </c>
      <c r="AS192" s="207">
        <v>0</v>
      </c>
      <c r="AT192" s="207">
        <v>0</v>
      </c>
      <c r="AU192" s="207">
        <v>0</v>
      </c>
      <c r="AV192" s="207">
        <v>0</v>
      </c>
      <c r="AW192" s="207">
        <v>0</v>
      </c>
      <c r="AX192" s="207">
        <v>0</v>
      </c>
      <c r="AY192" s="207">
        <v>0</v>
      </c>
      <c r="AZ192" s="207">
        <v>0</v>
      </c>
      <c r="BA192" s="207">
        <v>0</v>
      </c>
      <c r="BB192" s="207">
        <v>0</v>
      </c>
      <c r="BC192" s="207">
        <v>0</v>
      </c>
      <c r="BD192" s="207">
        <v>0</v>
      </c>
      <c r="BE192" s="207">
        <v>0</v>
      </c>
      <c r="BF192" s="207">
        <v>0</v>
      </c>
      <c r="BG192" s="207">
        <v>0</v>
      </c>
      <c r="BH192" s="207">
        <v>0</v>
      </c>
      <c r="BI192" s="207">
        <v>0</v>
      </c>
      <c r="BJ192" s="207">
        <v>0</v>
      </c>
    </row>
    <row r="193" s="304" customFormat="1" ht="41.75" customHeight="1">
      <c r="B193" s="305" t="s">
        <v>482</v>
      </c>
      <c r="C193" s="305" t="s">
        <v>202</v>
      </c>
      <c r="D193" s="305" t="s">
        <v>364</v>
      </c>
      <c r="E193" s="306" t="s">
        <v>794</v>
      </c>
      <c r="G193" s="306" t="s">
        <v>498</v>
      </c>
      <c r="H193" s="307">
        <v>7170</v>
      </c>
      <c r="I193" s="307"/>
      <c r="J193" s="308" t="s">
        <v>795</v>
      </c>
      <c r="K193" s="309"/>
      <c r="L193" s="308"/>
      <c r="M193" s="308"/>
      <c r="N193" s="308"/>
      <c r="O193" s="308"/>
      <c r="P193" s="305"/>
      <c r="Q193" s="308"/>
      <c r="R193" s="308"/>
      <c r="S193" s="308"/>
      <c r="T193" s="305"/>
      <c r="U193" s="308"/>
      <c r="V193" s="308"/>
      <c r="W193" s="308"/>
      <c r="X193" s="308"/>
      <c r="Y193" s="308"/>
      <c r="Z193" s="308"/>
      <c r="AA193" s="308"/>
      <c r="AB193" s="308"/>
      <c r="AC193" s="308"/>
      <c r="AD193" s="308"/>
      <c r="AE193" s="308"/>
      <c r="AF193" s="308"/>
      <c r="AG193" s="308"/>
      <c r="AH193" s="308"/>
      <c r="AI193" s="308"/>
      <c r="AJ193" s="308"/>
      <c r="AK193" s="308"/>
      <c r="AL193" s="308"/>
      <c r="AM193" s="308"/>
      <c r="AN193" s="308"/>
      <c r="AO193" s="308"/>
      <c r="AP193" s="308"/>
      <c r="AQ193" s="308"/>
      <c r="AR193" s="308"/>
      <c r="AS193" s="308"/>
      <c r="AT193" s="308"/>
      <c r="AU193" s="308"/>
      <c r="AV193" s="308"/>
      <c r="AW193" s="308"/>
      <c r="AX193" s="308"/>
      <c r="AY193" s="308"/>
      <c r="AZ193" s="308"/>
      <c r="BA193" s="308"/>
      <c r="BB193" s="308"/>
      <c r="BC193" s="308"/>
      <c r="BD193" s="308"/>
      <c r="BE193" s="308"/>
      <c r="BF193" s="308"/>
      <c r="BG193" s="308"/>
      <c r="BH193" s="308"/>
      <c r="BI193" s="308"/>
      <c r="BJ193" s="308"/>
    </row>
    <row r="194" s="188" customFormat="1" ht="68.650000000000006" hidden="1" customHeight="1">
      <c r="A194" s="137" t="s">
        <v>481</v>
      </c>
      <c r="B194" s="310" t="s">
        <v>513</v>
      </c>
      <c r="C194" s="310" t="s">
        <v>206</v>
      </c>
      <c r="D194" s="174" t="s">
        <v>349</v>
      </c>
      <c r="E194" s="296" t="s">
        <v>796</v>
      </c>
      <c r="F194" s="172" t="s">
        <v>575</v>
      </c>
      <c r="G194" s="296" t="s">
        <v>498</v>
      </c>
      <c r="H194" s="296">
        <v>17547</v>
      </c>
      <c r="I194" s="296">
        <v>17626</v>
      </c>
      <c r="J194" s="172" t="s">
        <v>759</v>
      </c>
      <c r="K194" s="176">
        <v>6</v>
      </c>
      <c r="L194" s="188" t="s">
        <v>325</v>
      </c>
      <c r="M194" s="188">
        <v>1</v>
      </c>
      <c r="N194" s="188">
        <v>0</v>
      </c>
      <c r="O194" s="188">
        <v>0</v>
      </c>
      <c r="P194" s="142">
        <v>1</v>
      </c>
      <c r="Q194" s="188">
        <v>0</v>
      </c>
      <c r="R194" s="188">
        <v>0</v>
      </c>
      <c r="S194" s="188">
        <v>0</v>
      </c>
      <c r="T194" s="142">
        <v>0</v>
      </c>
      <c r="U194" s="188">
        <v>0</v>
      </c>
      <c r="V194" s="188">
        <v>1</v>
      </c>
      <c r="W194" s="188">
        <v>0</v>
      </c>
      <c r="X194" s="188">
        <v>1</v>
      </c>
      <c r="Y194" s="188">
        <v>1</v>
      </c>
      <c r="Z194" s="188">
        <v>0</v>
      </c>
      <c r="AA194" s="188">
        <v>1</v>
      </c>
      <c r="AB194" s="188">
        <v>0</v>
      </c>
      <c r="AC194" s="188">
        <v>0</v>
      </c>
      <c r="AD194" s="188">
        <v>0</v>
      </c>
      <c r="AE194" s="188">
        <v>1</v>
      </c>
      <c r="AF194" s="188">
        <v>1</v>
      </c>
      <c r="AG194" s="188">
        <v>1</v>
      </c>
      <c r="AH194" s="188">
        <v>1</v>
      </c>
      <c r="AI194" s="188">
        <v>1</v>
      </c>
      <c r="AJ194" s="188">
        <v>1</v>
      </c>
      <c r="AK194" s="188">
        <v>0</v>
      </c>
      <c r="AL194" s="188">
        <v>1</v>
      </c>
      <c r="AM194" s="188">
        <v>1</v>
      </c>
      <c r="AN194" s="188">
        <v>1</v>
      </c>
      <c r="AO194" s="188">
        <v>0</v>
      </c>
      <c r="AP194" s="188">
        <v>1</v>
      </c>
      <c r="AQ194" s="188">
        <v>0</v>
      </c>
      <c r="AR194" s="188">
        <v>0</v>
      </c>
      <c r="AS194" s="188">
        <v>0</v>
      </c>
      <c r="AT194" s="188">
        <v>0</v>
      </c>
      <c r="AU194" s="188">
        <v>0</v>
      </c>
      <c r="AV194" s="188">
        <v>0</v>
      </c>
      <c r="AW194" s="188">
        <v>0</v>
      </c>
      <c r="AX194" s="188">
        <v>0</v>
      </c>
      <c r="AY194" s="188">
        <v>0</v>
      </c>
      <c r="AZ194" s="188">
        <v>0</v>
      </c>
      <c r="BA194" s="188">
        <v>0</v>
      </c>
      <c r="BB194" s="188">
        <v>0</v>
      </c>
      <c r="BC194" s="188">
        <v>0</v>
      </c>
      <c r="BD194" s="188">
        <v>0</v>
      </c>
      <c r="BE194" s="188">
        <v>0</v>
      </c>
      <c r="BF194" s="188">
        <v>0</v>
      </c>
      <c r="BG194" s="188">
        <v>0</v>
      </c>
      <c r="BH194" s="188">
        <v>0</v>
      </c>
      <c r="BI194" s="188">
        <v>0</v>
      </c>
      <c r="BJ194" s="188">
        <v>0</v>
      </c>
    </row>
    <row r="195" s="188" customFormat="1" ht="55.25" hidden="1" customHeight="1">
      <c r="B195" s="311"/>
      <c r="C195" s="310"/>
      <c r="D195" s="174"/>
      <c r="E195" s="296" t="s">
        <v>797</v>
      </c>
      <c r="F195" s="172" t="s">
        <v>798</v>
      </c>
      <c r="G195" s="296" t="s">
        <v>498</v>
      </c>
      <c r="H195" s="296">
        <v>17948</v>
      </c>
      <c r="I195" s="296">
        <v>18105</v>
      </c>
      <c r="J195" s="172"/>
      <c r="K195" s="176"/>
      <c r="L195" s="188" t="s">
        <v>325</v>
      </c>
      <c r="M195" s="188">
        <v>1</v>
      </c>
      <c r="P195" s="142">
        <v>1</v>
      </c>
      <c r="T195" s="142"/>
      <c r="V195" s="188">
        <v>1</v>
      </c>
      <c r="X195" s="188">
        <v>1</v>
      </c>
      <c r="Z195" s="188">
        <v>1</v>
      </c>
      <c r="AA195" s="188">
        <v>1</v>
      </c>
      <c r="AE195" s="188">
        <v>1</v>
      </c>
      <c r="AF195" s="188">
        <v>1</v>
      </c>
      <c r="AG195" s="188">
        <v>1</v>
      </c>
      <c r="AI195" s="188">
        <v>1</v>
      </c>
      <c r="AJ195" s="188">
        <v>1</v>
      </c>
      <c r="AK195" s="188">
        <v>1</v>
      </c>
      <c r="AL195" s="188">
        <v>1</v>
      </c>
      <c r="AM195" s="188">
        <v>1</v>
      </c>
      <c r="AP195" s="188">
        <v>1</v>
      </c>
    </row>
    <row r="196" s="188" customFormat="1" ht="28.399999999999999" hidden="1" customHeight="1">
      <c r="B196" s="311"/>
      <c r="C196" s="310"/>
      <c r="D196" s="174"/>
      <c r="E196" s="295" t="s">
        <v>799</v>
      </c>
      <c r="F196" s="172" t="s">
        <v>485</v>
      </c>
      <c r="G196" s="296" t="s">
        <v>498</v>
      </c>
      <c r="H196" s="296">
        <v>18331</v>
      </c>
      <c r="I196" s="296">
        <v>18391</v>
      </c>
      <c r="J196" s="172" t="s">
        <v>800</v>
      </c>
      <c r="K196" s="176"/>
      <c r="L196" s="188" t="s">
        <v>325</v>
      </c>
      <c r="M196" s="188">
        <v>1</v>
      </c>
      <c r="N196" s="188">
        <v>0</v>
      </c>
      <c r="O196" s="188">
        <v>0</v>
      </c>
      <c r="P196" s="142">
        <v>1</v>
      </c>
      <c r="Q196" s="188">
        <v>0</v>
      </c>
      <c r="R196" s="188">
        <v>0</v>
      </c>
      <c r="S196" s="188">
        <v>0</v>
      </c>
      <c r="T196" s="142">
        <v>0</v>
      </c>
      <c r="U196" s="188">
        <v>0</v>
      </c>
      <c r="V196" s="188">
        <v>1</v>
      </c>
      <c r="W196" s="188">
        <v>0</v>
      </c>
      <c r="X196" s="188">
        <v>1</v>
      </c>
      <c r="Y196" s="188">
        <v>0</v>
      </c>
      <c r="Z196" s="188">
        <v>1</v>
      </c>
      <c r="AA196" s="188">
        <v>0</v>
      </c>
      <c r="AB196" s="188">
        <v>0</v>
      </c>
      <c r="AC196" s="188">
        <v>0</v>
      </c>
      <c r="AD196" s="188">
        <v>0</v>
      </c>
      <c r="AE196" s="188">
        <v>1</v>
      </c>
      <c r="AF196" s="188">
        <v>1</v>
      </c>
      <c r="AG196" s="188">
        <v>1</v>
      </c>
      <c r="AH196" s="188">
        <v>1</v>
      </c>
      <c r="AI196" s="188">
        <v>1</v>
      </c>
      <c r="AJ196" s="188">
        <v>1</v>
      </c>
      <c r="AK196" s="188">
        <v>0</v>
      </c>
      <c r="AL196" s="188">
        <v>1</v>
      </c>
      <c r="AM196" s="188">
        <v>1</v>
      </c>
      <c r="AN196" s="188">
        <v>0</v>
      </c>
      <c r="AO196" s="188">
        <v>0</v>
      </c>
      <c r="AP196" s="188">
        <v>1</v>
      </c>
      <c r="AQ196" s="188">
        <v>0</v>
      </c>
      <c r="AR196" s="188">
        <v>0</v>
      </c>
      <c r="AS196" s="188">
        <v>0</v>
      </c>
      <c r="AT196" s="188">
        <v>0</v>
      </c>
      <c r="AU196" s="188">
        <v>0</v>
      </c>
      <c r="AV196" s="188">
        <v>0</v>
      </c>
      <c r="AW196" s="188">
        <v>0</v>
      </c>
      <c r="AX196" s="188">
        <v>0</v>
      </c>
      <c r="AY196" s="188">
        <v>0</v>
      </c>
      <c r="AZ196" s="188">
        <v>0</v>
      </c>
      <c r="BA196" s="188">
        <v>0</v>
      </c>
      <c r="BB196" s="188">
        <v>0</v>
      </c>
      <c r="BC196" s="188">
        <v>0</v>
      </c>
      <c r="BD196" s="188">
        <v>0</v>
      </c>
      <c r="BE196" s="188">
        <v>0</v>
      </c>
      <c r="BF196" s="188">
        <v>0</v>
      </c>
      <c r="BG196" s="188">
        <v>0</v>
      </c>
      <c r="BH196" s="188">
        <v>0</v>
      </c>
      <c r="BI196" s="188">
        <v>0</v>
      </c>
      <c r="BJ196" s="188">
        <v>0</v>
      </c>
    </row>
    <row r="197" s="207" customFormat="1" ht="28.399999999999999" hidden="1" customHeight="1">
      <c r="B197" s="312"/>
      <c r="C197" s="310"/>
      <c r="D197" s="174"/>
      <c r="E197" s="296" t="s">
        <v>801</v>
      </c>
      <c r="F197" s="172" t="s">
        <v>717</v>
      </c>
      <c r="G197" s="296" t="s">
        <v>498</v>
      </c>
      <c r="H197" s="296">
        <v>18560</v>
      </c>
      <c r="I197" s="296">
        <v>18612</v>
      </c>
      <c r="J197" s="172"/>
      <c r="K197" s="176"/>
      <c r="L197" s="207" t="s">
        <v>447</v>
      </c>
      <c r="M197" s="207">
        <v>0</v>
      </c>
      <c r="N197" s="207">
        <v>0</v>
      </c>
      <c r="O197" s="207">
        <v>0</v>
      </c>
      <c r="P197" s="142">
        <v>0</v>
      </c>
      <c r="Q197" s="207">
        <v>1</v>
      </c>
      <c r="R197" s="207">
        <v>0</v>
      </c>
      <c r="S197" s="207">
        <v>0</v>
      </c>
      <c r="T197" s="142">
        <v>1</v>
      </c>
      <c r="U197" s="207">
        <v>0</v>
      </c>
      <c r="V197" s="207">
        <v>1</v>
      </c>
      <c r="W197" s="207">
        <v>0</v>
      </c>
      <c r="X197" s="207">
        <v>1</v>
      </c>
      <c r="Y197" s="207">
        <v>0</v>
      </c>
      <c r="Z197" s="207">
        <v>1</v>
      </c>
      <c r="AA197" s="207">
        <v>1</v>
      </c>
      <c r="AB197" s="207">
        <v>0</v>
      </c>
      <c r="AC197" s="207">
        <v>0</v>
      </c>
      <c r="AD197" s="207">
        <v>0</v>
      </c>
      <c r="AE197" s="207">
        <v>0</v>
      </c>
      <c r="AF197" s="207">
        <v>0</v>
      </c>
      <c r="AG197" s="207">
        <v>1</v>
      </c>
      <c r="AH197" s="207">
        <v>1</v>
      </c>
      <c r="AI197" s="207">
        <v>1</v>
      </c>
      <c r="AJ197" s="207">
        <v>0</v>
      </c>
      <c r="AK197" s="207">
        <v>0</v>
      </c>
      <c r="AL197" s="207">
        <v>1</v>
      </c>
      <c r="AM197" s="207">
        <v>0</v>
      </c>
      <c r="AN197" s="207">
        <v>0</v>
      </c>
      <c r="AO197" s="207">
        <v>0</v>
      </c>
      <c r="AP197" s="207">
        <v>1</v>
      </c>
      <c r="AQ197" s="207">
        <v>0</v>
      </c>
      <c r="AR197" s="207">
        <v>0</v>
      </c>
      <c r="AS197" s="207">
        <v>0</v>
      </c>
      <c r="AT197" s="207">
        <v>0</v>
      </c>
      <c r="AU197" s="207">
        <v>0</v>
      </c>
      <c r="AV197" s="207">
        <v>0</v>
      </c>
      <c r="AW197" s="207">
        <v>0</v>
      </c>
      <c r="AX197" s="207">
        <v>0</v>
      </c>
      <c r="AY197" s="207">
        <v>0</v>
      </c>
      <c r="AZ197" s="207">
        <v>0</v>
      </c>
      <c r="BA197" s="207">
        <v>0</v>
      </c>
      <c r="BB197" s="207">
        <v>0</v>
      </c>
      <c r="BC197" s="207">
        <v>0</v>
      </c>
      <c r="BD197" s="207">
        <v>0</v>
      </c>
      <c r="BE197" s="207">
        <v>0</v>
      </c>
      <c r="BF197" s="207">
        <v>0</v>
      </c>
      <c r="BG197" s="207">
        <v>0</v>
      </c>
      <c r="BH197" s="207">
        <v>0</v>
      </c>
      <c r="BI197" s="207">
        <v>0</v>
      </c>
      <c r="BJ197" s="207">
        <v>0</v>
      </c>
    </row>
    <row r="198" s="207" customFormat="1" ht="14.25" hidden="1" customHeight="1">
      <c r="B198" s="312"/>
      <c r="C198" s="310"/>
      <c r="D198" s="174"/>
      <c r="E198" s="296" t="s">
        <v>802</v>
      </c>
      <c r="F198" s="172" t="s">
        <v>546</v>
      </c>
      <c r="G198" s="296" t="s">
        <v>498</v>
      </c>
      <c r="H198" s="296">
        <v>18650</v>
      </c>
      <c r="I198" s="296">
        <v>18660</v>
      </c>
      <c r="J198" s="172"/>
      <c r="K198" s="176"/>
      <c r="L198" s="207" t="s">
        <v>325</v>
      </c>
      <c r="M198" s="207">
        <v>0</v>
      </c>
      <c r="N198" s="207">
        <v>1</v>
      </c>
      <c r="O198" s="207">
        <v>0</v>
      </c>
      <c r="P198" s="142">
        <v>1</v>
      </c>
      <c r="Q198" s="207">
        <v>0</v>
      </c>
      <c r="R198" s="207">
        <v>0</v>
      </c>
      <c r="S198" s="207">
        <v>0</v>
      </c>
      <c r="T198" s="142">
        <v>0</v>
      </c>
      <c r="U198" s="207">
        <v>0</v>
      </c>
      <c r="V198" s="207">
        <v>1</v>
      </c>
      <c r="W198" s="207">
        <v>0</v>
      </c>
      <c r="X198" s="207">
        <v>1</v>
      </c>
      <c r="Y198" s="207">
        <v>0</v>
      </c>
      <c r="Z198" s="207">
        <v>1</v>
      </c>
      <c r="AA198" s="207">
        <v>1</v>
      </c>
      <c r="AB198" s="207">
        <v>0</v>
      </c>
      <c r="AC198" s="207">
        <v>0</v>
      </c>
      <c r="AD198" s="207">
        <v>0</v>
      </c>
      <c r="AE198" s="207">
        <v>1</v>
      </c>
      <c r="AF198" s="207">
        <v>0</v>
      </c>
      <c r="AG198" s="207">
        <v>1</v>
      </c>
      <c r="AH198" s="207">
        <v>1</v>
      </c>
      <c r="AI198" s="207">
        <v>1</v>
      </c>
      <c r="AJ198" s="207">
        <v>0</v>
      </c>
      <c r="AK198" s="207">
        <v>0</v>
      </c>
      <c r="AL198" s="207">
        <v>1</v>
      </c>
      <c r="AM198" s="207">
        <v>1</v>
      </c>
      <c r="AN198" s="207">
        <v>0</v>
      </c>
      <c r="AO198" s="207">
        <v>0</v>
      </c>
      <c r="AP198" s="207">
        <v>1</v>
      </c>
      <c r="AQ198" s="207">
        <v>0</v>
      </c>
      <c r="AR198" s="207">
        <v>0</v>
      </c>
      <c r="AS198" s="207">
        <v>0</v>
      </c>
      <c r="AT198" s="207">
        <v>0</v>
      </c>
      <c r="AU198" s="207">
        <v>0</v>
      </c>
      <c r="AV198" s="207">
        <v>0</v>
      </c>
      <c r="AW198" s="207">
        <v>0</v>
      </c>
      <c r="AX198" s="207">
        <v>0</v>
      </c>
      <c r="AY198" s="207">
        <v>0</v>
      </c>
      <c r="AZ198" s="207">
        <v>0</v>
      </c>
      <c r="BA198" s="207">
        <v>0</v>
      </c>
      <c r="BB198" s="207">
        <v>0</v>
      </c>
      <c r="BC198" s="207">
        <v>0</v>
      </c>
      <c r="BD198" s="207">
        <v>0</v>
      </c>
      <c r="BE198" s="207">
        <v>0</v>
      </c>
      <c r="BF198" s="207">
        <v>0</v>
      </c>
      <c r="BG198" s="207">
        <v>0</v>
      </c>
      <c r="BH198" s="207">
        <v>0</v>
      </c>
      <c r="BI198" s="207">
        <v>0</v>
      </c>
      <c r="BJ198" s="207">
        <v>0</v>
      </c>
    </row>
    <row r="199" s="207" customFormat="1" ht="14.25" hidden="1" customHeight="1">
      <c r="A199" s="144"/>
      <c r="B199" s="312"/>
      <c r="C199" s="311"/>
      <c r="D199" s="188"/>
      <c r="E199" s="296" t="s">
        <v>803</v>
      </c>
      <c r="F199" s="173" t="s">
        <v>608</v>
      </c>
      <c r="G199" s="295" t="s">
        <v>498</v>
      </c>
      <c r="H199" s="295">
        <v>19365</v>
      </c>
      <c r="I199" s="295">
        <v>19377</v>
      </c>
      <c r="J199" s="173"/>
      <c r="K199" s="180"/>
      <c r="L199" s="207" t="s">
        <v>325</v>
      </c>
      <c r="M199" s="207">
        <v>1</v>
      </c>
      <c r="N199" s="207">
        <v>0</v>
      </c>
      <c r="O199" s="207">
        <v>0</v>
      </c>
      <c r="P199" s="142">
        <v>1</v>
      </c>
      <c r="Q199" s="207">
        <v>0</v>
      </c>
      <c r="R199" s="207">
        <v>0</v>
      </c>
      <c r="S199" s="207">
        <v>0</v>
      </c>
      <c r="T199" s="142">
        <v>0</v>
      </c>
      <c r="U199" s="207">
        <v>0</v>
      </c>
      <c r="V199" s="207">
        <v>1</v>
      </c>
      <c r="W199" s="207">
        <v>0</v>
      </c>
      <c r="X199" s="207">
        <v>1</v>
      </c>
      <c r="Y199" s="207">
        <v>0</v>
      </c>
      <c r="Z199" s="207">
        <v>1</v>
      </c>
      <c r="AA199" s="207">
        <v>1</v>
      </c>
      <c r="AB199" s="207">
        <v>0</v>
      </c>
      <c r="AC199" s="207">
        <v>0</v>
      </c>
      <c r="AD199" s="207">
        <v>0</v>
      </c>
      <c r="AE199" s="207">
        <v>0</v>
      </c>
      <c r="AF199" s="207">
        <v>0</v>
      </c>
      <c r="AG199" s="207">
        <v>0</v>
      </c>
      <c r="AH199" s="207">
        <v>0</v>
      </c>
      <c r="AI199" s="207">
        <v>0</v>
      </c>
      <c r="AJ199" s="207">
        <v>0</v>
      </c>
      <c r="AK199" s="207">
        <v>1</v>
      </c>
      <c r="AL199" s="207">
        <v>1</v>
      </c>
      <c r="AM199" s="207">
        <v>0</v>
      </c>
      <c r="AN199" s="207">
        <v>0</v>
      </c>
      <c r="AO199" s="207">
        <v>1</v>
      </c>
      <c r="AP199" s="207">
        <v>0</v>
      </c>
      <c r="AQ199" s="207">
        <v>0</v>
      </c>
      <c r="AR199" s="207">
        <v>0</v>
      </c>
      <c r="AS199" s="207">
        <v>0</v>
      </c>
      <c r="AT199" s="207">
        <v>0</v>
      </c>
      <c r="AU199" s="207">
        <v>0</v>
      </c>
      <c r="AV199" s="207">
        <v>0</v>
      </c>
      <c r="AW199" s="207">
        <v>0</v>
      </c>
      <c r="AX199" s="207">
        <v>0</v>
      </c>
      <c r="AY199" s="207">
        <v>0</v>
      </c>
      <c r="AZ199" s="207">
        <v>0</v>
      </c>
      <c r="BA199" s="207">
        <v>0</v>
      </c>
      <c r="BB199" s="207">
        <v>0</v>
      </c>
      <c r="BC199" s="207">
        <v>0</v>
      </c>
      <c r="BD199" s="207">
        <v>0</v>
      </c>
      <c r="BE199" s="207">
        <v>0</v>
      </c>
      <c r="BF199" s="207">
        <v>0</v>
      </c>
      <c r="BG199" s="207">
        <v>0</v>
      </c>
      <c r="BH199" s="207">
        <v>0</v>
      </c>
      <c r="BI199" s="207">
        <v>0</v>
      </c>
      <c r="BJ199" s="207">
        <v>0</v>
      </c>
    </row>
    <row r="200" ht="14.25" customHeight="1">
      <c r="G200" s="111"/>
      <c r="H200" s="313"/>
      <c r="I200" s="313"/>
    </row>
    <row r="201" ht="14.25" customHeight="1">
      <c r="G201" s="111"/>
      <c r="H201" s="313"/>
      <c r="I201" s="313"/>
    </row>
    <row r="202" ht="14.25" customHeight="1">
      <c r="G202" s="111"/>
      <c r="H202" s="313"/>
      <c r="I202" s="313"/>
    </row>
    <row r="203" ht="41.75" customHeight="1">
      <c r="B203" s="314"/>
      <c r="C203" s="314" t="s">
        <v>804</v>
      </c>
      <c r="G203" s="111"/>
      <c r="H203" s="313"/>
      <c r="I203" s="313"/>
    </row>
    <row r="204" s="142" customFormat="1" ht="41.75" customHeight="1">
      <c r="A204" s="137" t="s">
        <v>481</v>
      </c>
      <c r="B204" s="315" t="s">
        <v>513</v>
      </c>
      <c r="C204" s="315" t="s">
        <v>208</v>
      </c>
      <c r="D204" s="142" t="s">
        <v>17</v>
      </c>
      <c r="E204" s="196" t="s">
        <v>805</v>
      </c>
      <c r="F204" s="142" t="s">
        <v>806</v>
      </c>
      <c r="G204" s="196" t="s">
        <v>498</v>
      </c>
      <c r="H204" s="291">
        <v>11740</v>
      </c>
      <c r="I204" s="291">
        <v>11802</v>
      </c>
      <c r="J204" s="196" t="s">
        <v>807</v>
      </c>
      <c r="K204" s="142">
        <v>6</v>
      </c>
      <c r="L204" s="142" t="s">
        <v>447</v>
      </c>
      <c r="M204" s="142">
        <v>0</v>
      </c>
      <c r="N204" s="142">
        <v>0</v>
      </c>
      <c r="O204" s="142">
        <v>0</v>
      </c>
      <c r="P204" s="142">
        <v>0</v>
      </c>
      <c r="Q204" s="142">
        <v>0</v>
      </c>
      <c r="R204" s="142">
        <v>0</v>
      </c>
      <c r="S204" s="142">
        <v>0</v>
      </c>
      <c r="T204" s="142">
        <v>0</v>
      </c>
      <c r="U204" s="142">
        <v>1</v>
      </c>
      <c r="V204" s="142">
        <v>1</v>
      </c>
      <c r="W204" s="142">
        <v>0</v>
      </c>
      <c r="X204" s="142">
        <v>1</v>
      </c>
      <c r="Y204" s="142">
        <v>1</v>
      </c>
      <c r="Z204" s="142">
        <v>0</v>
      </c>
      <c r="AA204" s="142">
        <v>0</v>
      </c>
      <c r="AB204" s="142">
        <v>0</v>
      </c>
      <c r="AC204" s="142">
        <v>0</v>
      </c>
      <c r="AD204" s="142">
        <v>1</v>
      </c>
      <c r="AE204" s="142">
        <v>1</v>
      </c>
      <c r="AF204" s="142">
        <v>1</v>
      </c>
      <c r="AG204" s="142">
        <v>0</v>
      </c>
      <c r="AH204" s="142">
        <v>0</v>
      </c>
      <c r="AI204" s="142">
        <v>0</v>
      </c>
      <c r="AJ204" s="142">
        <v>1</v>
      </c>
      <c r="AK204" s="142">
        <v>0</v>
      </c>
      <c r="AL204" s="142">
        <v>1</v>
      </c>
      <c r="AM204" s="142">
        <v>1</v>
      </c>
      <c r="AN204" s="142">
        <v>1</v>
      </c>
      <c r="AO204" s="142">
        <v>0</v>
      </c>
      <c r="AP204" s="142">
        <v>1</v>
      </c>
      <c r="AQ204" s="142">
        <v>0</v>
      </c>
      <c r="AR204" s="142">
        <v>0</v>
      </c>
      <c r="AS204" s="142">
        <v>0</v>
      </c>
      <c r="AT204" s="142">
        <v>0</v>
      </c>
      <c r="AU204" s="142">
        <v>0</v>
      </c>
      <c r="AV204" s="142">
        <v>0</v>
      </c>
      <c r="AW204" s="142">
        <v>0</v>
      </c>
      <c r="AX204" s="142">
        <v>0</v>
      </c>
      <c r="AY204" s="142">
        <v>0</v>
      </c>
      <c r="AZ204" s="142">
        <v>0</v>
      </c>
      <c r="BA204" s="142">
        <v>0</v>
      </c>
      <c r="BB204" s="142">
        <v>0</v>
      </c>
      <c r="BC204" s="142">
        <v>0</v>
      </c>
      <c r="BD204" s="142">
        <v>0</v>
      </c>
      <c r="BE204" s="142">
        <v>0</v>
      </c>
      <c r="BF204" s="142">
        <v>0</v>
      </c>
      <c r="BG204" s="142">
        <v>0</v>
      </c>
      <c r="BH204" s="142">
        <v>0</v>
      </c>
      <c r="BI204" s="142">
        <v>0</v>
      </c>
      <c r="BJ204" s="142">
        <v>0</v>
      </c>
    </row>
    <row r="205" ht="14.25" customHeight="1">
      <c r="B205" s="316"/>
      <c r="C205" s="316"/>
      <c r="D205" s="39"/>
      <c r="E205" s="111" t="s">
        <v>808</v>
      </c>
      <c r="F205" s="39" t="s">
        <v>506</v>
      </c>
      <c r="G205" s="111" t="s">
        <v>498</v>
      </c>
      <c r="H205" s="313">
        <v>11940</v>
      </c>
      <c r="I205" s="313">
        <v>11987</v>
      </c>
      <c r="L205" s="39" t="s">
        <v>325</v>
      </c>
      <c r="M205" s="39">
        <v>1</v>
      </c>
      <c r="N205" s="39">
        <v>0</v>
      </c>
      <c r="O205" s="39">
        <v>0</v>
      </c>
      <c r="P205" s="142">
        <v>1</v>
      </c>
      <c r="Q205" s="39">
        <v>0</v>
      </c>
      <c r="R205" s="39">
        <v>0</v>
      </c>
      <c r="S205" s="39">
        <v>0</v>
      </c>
      <c r="T205" s="142">
        <v>0</v>
      </c>
      <c r="U205" s="39">
        <v>0</v>
      </c>
      <c r="V205" s="39">
        <v>0</v>
      </c>
      <c r="W205" s="39">
        <v>1</v>
      </c>
      <c r="X205" s="39">
        <v>1</v>
      </c>
      <c r="Y205" s="39">
        <v>0</v>
      </c>
      <c r="Z205" s="39">
        <v>1</v>
      </c>
      <c r="AA205" s="39">
        <v>1</v>
      </c>
      <c r="AB205" s="39">
        <v>0</v>
      </c>
      <c r="AC205" s="39">
        <v>0</v>
      </c>
      <c r="AD205" s="39">
        <v>0</v>
      </c>
      <c r="AE205" s="39">
        <v>1</v>
      </c>
      <c r="AF205" s="39">
        <v>1</v>
      </c>
      <c r="AG205" s="39">
        <v>0</v>
      </c>
      <c r="AH205" s="39">
        <v>0</v>
      </c>
      <c r="AI205" s="39">
        <v>0</v>
      </c>
      <c r="AJ205" s="39">
        <v>1</v>
      </c>
      <c r="AK205" s="39">
        <v>0</v>
      </c>
      <c r="AL205" s="39">
        <v>1</v>
      </c>
      <c r="AM205" s="39">
        <v>1</v>
      </c>
      <c r="AN205" s="39">
        <v>0</v>
      </c>
      <c r="AO205" s="39">
        <v>0</v>
      </c>
      <c r="AP205" s="39">
        <v>1</v>
      </c>
      <c r="AQ205" s="39">
        <v>0</v>
      </c>
      <c r="AR205" s="39">
        <v>0</v>
      </c>
      <c r="AS205" s="39">
        <v>0</v>
      </c>
      <c r="AT205" s="39">
        <v>0</v>
      </c>
      <c r="AU205" s="39">
        <v>0</v>
      </c>
      <c r="AV205" s="39">
        <v>0</v>
      </c>
      <c r="AW205" s="39">
        <v>0</v>
      </c>
      <c r="AX205" s="39">
        <v>0</v>
      </c>
      <c r="AY205" s="39">
        <v>0</v>
      </c>
      <c r="AZ205" s="39">
        <v>0</v>
      </c>
      <c r="BA205" s="39">
        <v>0</v>
      </c>
      <c r="BB205" s="39">
        <v>0</v>
      </c>
      <c r="BC205" s="39">
        <v>0</v>
      </c>
      <c r="BD205" s="39">
        <v>0</v>
      </c>
      <c r="BE205" s="39">
        <v>0</v>
      </c>
      <c r="BF205" s="39">
        <v>0</v>
      </c>
      <c r="BG205" s="39">
        <v>0</v>
      </c>
      <c r="BH205" s="39">
        <v>0</v>
      </c>
      <c r="BI205" s="39">
        <v>0</v>
      </c>
      <c r="BJ205" s="39">
        <v>0</v>
      </c>
    </row>
    <row r="206" s="260" customFormat="1" ht="28.399999999999999" customHeight="1">
      <c r="E206" s="317" t="s">
        <v>809</v>
      </c>
      <c r="F206" s="260" t="s">
        <v>533</v>
      </c>
      <c r="G206" s="317" t="s">
        <v>498</v>
      </c>
      <c r="H206" s="318">
        <v>23011</v>
      </c>
      <c r="I206" s="318">
        <v>23032</v>
      </c>
      <c r="J206" s="319"/>
      <c r="L206" s="260" t="s">
        <v>325</v>
      </c>
      <c r="M206" s="260">
        <v>1</v>
      </c>
      <c r="N206" s="260">
        <v>0</v>
      </c>
      <c r="O206" s="260">
        <v>0</v>
      </c>
      <c r="P206" s="260">
        <v>1</v>
      </c>
      <c r="Q206" s="260">
        <v>0</v>
      </c>
      <c r="R206" s="260">
        <v>0</v>
      </c>
      <c r="S206" s="260">
        <v>0</v>
      </c>
      <c r="T206" s="260">
        <v>0</v>
      </c>
      <c r="U206" s="260">
        <v>0</v>
      </c>
      <c r="V206" s="260">
        <v>0</v>
      </c>
      <c r="W206" s="260">
        <v>1</v>
      </c>
      <c r="X206" s="260">
        <v>0</v>
      </c>
      <c r="Y206" s="260">
        <v>1</v>
      </c>
      <c r="Z206" s="260">
        <v>0</v>
      </c>
      <c r="AA206" s="260">
        <v>1</v>
      </c>
      <c r="AB206" s="260">
        <v>0</v>
      </c>
      <c r="AC206" s="260">
        <v>0</v>
      </c>
      <c r="AD206" s="260">
        <v>0</v>
      </c>
      <c r="AE206" s="260">
        <v>1</v>
      </c>
      <c r="AF206" s="260">
        <v>1</v>
      </c>
      <c r="AG206" s="260">
        <v>0</v>
      </c>
      <c r="AH206" s="260">
        <v>0</v>
      </c>
      <c r="AI206" s="260">
        <v>0</v>
      </c>
      <c r="AJ206" s="260">
        <v>0</v>
      </c>
      <c r="AK206" s="260">
        <v>0</v>
      </c>
      <c r="AL206" s="260">
        <v>0</v>
      </c>
      <c r="AM206" s="260">
        <v>0</v>
      </c>
      <c r="AN206" s="260">
        <v>1</v>
      </c>
      <c r="AO206" s="260">
        <v>1</v>
      </c>
      <c r="AP206" s="260">
        <v>0</v>
      </c>
      <c r="AQ206" s="260">
        <v>1</v>
      </c>
      <c r="AR206" s="260">
        <v>0</v>
      </c>
      <c r="AS206" s="260">
        <v>0</v>
      </c>
      <c r="AT206" s="260">
        <v>0</v>
      </c>
      <c r="AU206" s="260">
        <v>1</v>
      </c>
      <c r="AV206" s="260">
        <v>1</v>
      </c>
      <c r="AW206" s="260">
        <v>0</v>
      </c>
      <c r="AX206" s="260">
        <v>0</v>
      </c>
      <c r="AY206" s="260">
        <v>0</v>
      </c>
      <c r="AZ206" s="260">
        <v>0</v>
      </c>
      <c r="BA206" s="260">
        <v>0</v>
      </c>
      <c r="BB206" s="260">
        <v>0</v>
      </c>
      <c r="BC206" s="260">
        <v>0</v>
      </c>
      <c r="BD206" s="260">
        <v>0</v>
      </c>
      <c r="BE206" s="260">
        <v>0</v>
      </c>
      <c r="BF206" s="260">
        <v>0</v>
      </c>
      <c r="BG206" s="260">
        <v>0</v>
      </c>
      <c r="BH206" s="260">
        <v>0</v>
      </c>
      <c r="BI206" s="260">
        <v>1</v>
      </c>
      <c r="BJ206" s="260">
        <v>0</v>
      </c>
    </row>
    <row r="207" ht="14.25" customHeight="1">
      <c r="D207" s="39"/>
      <c r="E207" s="145" t="s">
        <v>810</v>
      </c>
      <c r="F207" s="39" t="s">
        <v>646</v>
      </c>
      <c r="G207" s="145" t="s">
        <v>498</v>
      </c>
      <c r="H207" s="320">
        <v>23063</v>
      </c>
      <c r="I207" s="320">
        <v>23079</v>
      </c>
      <c r="L207" s="39" t="s">
        <v>325</v>
      </c>
      <c r="M207" s="39">
        <v>1</v>
      </c>
      <c r="N207" s="39">
        <v>0</v>
      </c>
      <c r="O207" s="39">
        <v>0</v>
      </c>
      <c r="P207" s="142">
        <v>1</v>
      </c>
      <c r="Q207" s="39">
        <v>0</v>
      </c>
      <c r="R207" s="39">
        <v>0</v>
      </c>
      <c r="S207" s="39">
        <v>0</v>
      </c>
      <c r="T207" s="142">
        <v>0</v>
      </c>
      <c r="U207" s="39">
        <v>0</v>
      </c>
      <c r="V207" s="39">
        <v>0</v>
      </c>
      <c r="W207" s="39">
        <v>1</v>
      </c>
      <c r="X207" s="39">
        <v>0</v>
      </c>
      <c r="Y207" s="39">
        <v>0</v>
      </c>
      <c r="Z207" s="39">
        <v>1</v>
      </c>
      <c r="AA207" s="39">
        <v>1</v>
      </c>
      <c r="AB207" s="39">
        <v>0</v>
      </c>
      <c r="AC207" s="39">
        <v>0</v>
      </c>
      <c r="AD207" s="39">
        <v>0</v>
      </c>
      <c r="AE207" s="39">
        <v>1</v>
      </c>
      <c r="AF207" s="39">
        <v>1</v>
      </c>
      <c r="AG207" s="39">
        <v>0</v>
      </c>
      <c r="AH207" s="39">
        <v>0</v>
      </c>
      <c r="AI207" s="39">
        <v>0</v>
      </c>
      <c r="AJ207" s="39">
        <v>1</v>
      </c>
      <c r="AK207" s="39">
        <v>0</v>
      </c>
      <c r="AL207" s="39">
        <v>0</v>
      </c>
      <c r="AM207" s="39">
        <v>1</v>
      </c>
      <c r="AN207" s="39">
        <v>0</v>
      </c>
      <c r="AO207" s="39">
        <v>1</v>
      </c>
      <c r="AP207" s="39">
        <v>0</v>
      </c>
      <c r="AQ207" s="39">
        <v>0</v>
      </c>
      <c r="AR207" s="39">
        <v>0</v>
      </c>
      <c r="AS207" s="39">
        <v>0</v>
      </c>
      <c r="AT207" s="39">
        <v>0</v>
      </c>
      <c r="AU207" s="39">
        <v>0</v>
      </c>
      <c r="AV207" s="39">
        <v>0</v>
      </c>
      <c r="AW207" s="39">
        <v>0</v>
      </c>
      <c r="AX207" s="39">
        <v>0</v>
      </c>
      <c r="AY207" s="39">
        <v>0</v>
      </c>
      <c r="AZ207" s="39">
        <v>0</v>
      </c>
      <c r="BA207" s="39">
        <v>0</v>
      </c>
      <c r="BB207" s="39">
        <v>0</v>
      </c>
      <c r="BC207" s="39">
        <v>0</v>
      </c>
      <c r="BD207" s="39">
        <v>0</v>
      </c>
      <c r="BE207" s="39">
        <v>0</v>
      </c>
      <c r="BF207" s="39">
        <v>0</v>
      </c>
      <c r="BG207" s="39">
        <v>0</v>
      </c>
      <c r="BH207" s="39">
        <v>0</v>
      </c>
      <c r="BI207" s="39">
        <v>0</v>
      </c>
      <c r="BJ207" s="39">
        <v>0</v>
      </c>
    </row>
    <row r="208" ht="22.5" customHeight="1">
      <c r="B208" s="316"/>
      <c r="C208" s="316"/>
      <c r="D208" s="39"/>
      <c r="E208" s="145" t="s">
        <v>811</v>
      </c>
      <c r="F208" s="39" t="s">
        <v>485</v>
      </c>
      <c r="G208" s="156" t="s">
        <v>498</v>
      </c>
      <c r="H208" s="321">
        <v>23197</v>
      </c>
      <c r="I208" s="321">
        <v>23257</v>
      </c>
      <c r="L208" s="39" t="s">
        <v>325</v>
      </c>
      <c r="M208" s="39">
        <v>1</v>
      </c>
      <c r="N208" s="39">
        <v>0</v>
      </c>
      <c r="O208" s="39">
        <v>0</v>
      </c>
      <c r="P208" s="142">
        <v>1</v>
      </c>
      <c r="Q208" s="39">
        <v>0</v>
      </c>
      <c r="R208" s="39">
        <v>0</v>
      </c>
      <c r="S208" s="39">
        <v>0</v>
      </c>
      <c r="T208" s="142">
        <v>0</v>
      </c>
      <c r="U208" s="39">
        <v>1</v>
      </c>
      <c r="V208" s="39">
        <v>0</v>
      </c>
      <c r="W208" s="39">
        <v>1</v>
      </c>
      <c r="X208" s="39">
        <v>1</v>
      </c>
      <c r="Y208" s="39">
        <v>0</v>
      </c>
      <c r="Z208" s="39">
        <v>1</v>
      </c>
      <c r="AA208" s="39">
        <v>0</v>
      </c>
      <c r="AB208" s="39">
        <v>0</v>
      </c>
      <c r="AC208" s="39">
        <v>0</v>
      </c>
      <c r="AD208" s="39">
        <v>1</v>
      </c>
      <c r="AE208" s="39">
        <v>1</v>
      </c>
      <c r="AF208" s="39">
        <v>1</v>
      </c>
      <c r="AG208" s="39">
        <v>1</v>
      </c>
      <c r="AH208" s="39">
        <v>0</v>
      </c>
      <c r="AI208" s="39">
        <v>0</v>
      </c>
      <c r="AJ208" s="39">
        <v>1</v>
      </c>
      <c r="AK208" s="39">
        <v>0</v>
      </c>
      <c r="AL208" s="39">
        <v>1</v>
      </c>
      <c r="AM208" s="39">
        <v>1</v>
      </c>
      <c r="AN208" s="39">
        <v>0</v>
      </c>
      <c r="AO208" s="39">
        <v>0</v>
      </c>
      <c r="AP208" s="39">
        <v>1</v>
      </c>
      <c r="AQ208" s="39">
        <v>0</v>
      </c>
      <c r="AR208" s="39">
        <v>0</v>
      </c>
      <c r="AS208" s="39">
        <v>0</v>
      </c>
      <c r="AT208" s="39">
        <v>0</v>
      </c>
      <c r="AU208" s="39">
        <v>0</v>
      </c>
      <c r="AV208" s="39">
        <v>0</v>
      </c>
      <c r="AW208" s="39">
        <v>0</v>
      </c>
      <c r="AX208" s="39">
        <v>0</v>
      </c>
      <c r="AY208" s="39">
        <v>0</v>
      </c>
      <c r="AZ208" s="39">
        <v>0</v>
      </c>
      <c r="BA208" s="39">
        <v>0</v>
      </c>
      <c r="BB208" s="39">
        <v>0</v>
      </c>
      <c r="BC208" s="39">
        <v>0</v>
      </c>
      <c r="BD208" s="39">
        <v>0</v>
      </c>
      <c r="BE208" s="39">
        <v>0</v>
      </c>
      <c r="BF208" s="39">
        <v>0</v>
      </c>
      <c r="BG208" s="39">
        <v>0</v>
      </c>
      <c r="BH208" s="39">
        <v>0</v>
      </c>
      <c r="BI208" s="39">
        <v>0</v>
      </c>
      <c r="BJ208" s="39">
        <v>0</v>
      </c>
    </row>
    <row r="209" ht="28.399999999999999" customHeight="1">
      <c r="B209" s="316"/>
      <c r="C209" s="316"/>
      <c r="D209" s="39"/>
      <c r="E209" s="145" t="s">
        <v>812</v>
      </c>
      <c r="F209" s="39" t="s">
        <v>813</v>
      </c>
      <c r="G209" s="156" t="s">
        <v>498</v>
      </c>
      <c r="H209" s="321">
        <v>23660</v>
      </c>
      <c r="I209" s="321">
        <v>23729</v>
      </c>
      <c r="J209" s="111" t="s">
        <v>814</v>
      </c>
      <c r="L209" s="39" t="s">
        <v>325</v>
      </c>
      <c r="M209" s="39">
        <v>1</v>
      </c>
      <c r="N209" s="39">
        <v>0</v>
      </c>
      <c r="O209" s="39">
        <v>0</v>
      </c>
      <c r="P209" s="142">
        <v>1</v>
      </c>
      <c r="Q209" s="39">
        <v>0</v>
      </c>
      <c r="R209" s="39">
        <v>0</v>
      </c>
      <c r="S209" s="39">
        <v>0</v>
      </c>
      <c r="T209" s="142">
        <v>0</v>
      </c>
      <c r="U209" s="39">
        <v>0</v>
      </c>
      <c r="V209" s="39">
        <v>0</v>
      </c>
      <c r="W209" s="39">
        <v>1</v>
      </c>
      <c r="X209" s="39">
        <v>0</v>
      </c>
      <c r="Y209" s="39">
        <v>0</v>
      </c>
      <c r="Z209" s="39">
        <v>1</v>
      </c>
      <c r="AA209" s="39">
        <v>1</v>
      </c>
      <c r="AB209" s="39">
        <v>0</v>
      </c>
      <c r="AC209" s="39">
        <v>0</v>
      </c>
      <c r="AD209" s="39">
        <v>0</v>
      </c>
      <c r="AE209" s="39">
        <v>0</v>
      </c>
      <c r="AF209" s="39">
        <v>1</v>
      </c>
      <c r="AG209" s="39">
        <v>0</v>
      </c>
      <c r="AH209" s="39">
        <v>0</v>
      </c>
      <c r="AI209" s="39">
        <v>0</v>
      </c>
      <c r="AJ209" s="39">
        <v>0</v>
      </c>
      <c r="AK209" s="39">
        <v>0</v>
      </c>
      <c r="AL209" s="39">
        <v>1</v>
      </c>
      <c r="AM209" s="39">
        <v>0</v>
      </c>
      <c r="AN209" s="39">
        <v>0</v>
      </c>
      <c r="AO209" s="39">
        <v>1</v>
      </c>
      <c r="AP209" s="39">
        <v>0</v>
      </c>
      <c r="AQ209" s="39">
        <v>1</v>
      </c>
      <c r="AR209" s="39">
        <v>0</v>
      </c>
      <c r="AS209" s="39">
        <v>0</v>
      </c>
      <c r="AT209" s="39">
        <v>0</v>
      </c>
      <c r="AU209" s="39">
        <v>1</v>
      </c>
      <c r="AV209" s="39">
        <v>0</v>
      </c>
      <c r="AW209" s="39">
        <v>0</v>
      </c>
      <c r="AX209" s="39">
        <v>1</v>
      </c>
      <c r="AY209" s="39">
        <v>0</v>
      </c>
      <c r="AZ209" s="39">
        <v>0</v>
      </c>
      <c r="BA209" s="39">
        <v>0</v>
      </c>
      <c r="BB209" s="39">
        <v>0</v>
      </c>
      <c r="BC209" s="39">
        <v>0</v>
      </c>
      <c r="BD209" s="39">
        <v>0</v>
      </c>
      <c r="BE209" s="39">
        <v>0</v>
      </c>
      <c r="BF209" s="39">
        <v>0</v>
      </c>
      <c r="BG209" s="39">
        <v>0</v>
      </c>
      <c r="BH209" s="39">
        <v>0</v>
      </c>
      <c r="BI209" s="39">
        <v>0</v>
      </c>
      <c r="BJ209" s="39">
        <v>0</v>
      </c>
    </row>
    <row r="210" s="260" customFormat="1" ht="41.75" customHeight="1">
      <c r="B210" s="305"/>
      <c r="C210" s="305"/>
      <c r="E210" s="258" t="s">
        <v>815</v>
      </c>
      <c r="F210" s="260" t="s">
        <v>699</v>
      </c>
      <c r="G210" s="258" t="s">
        <v>498</v>
      </c>
      <c r="H210" s="322">
        <v>23826</v>
      </c>
      <c r="I210" s="322">
        <v>23880</v>
      </c>
      <c r="J210" s="319" t="s">
        <v>816</v>
      </c>
      <c r="L210" s="260" t="s">
        <v>325</v>
      </c>
      <c r="M210" s="260">
        <v>0</v>
      </c>
      <c r="N210" s="260">
        <v>0</v>
      </c>
      <c r="O210" s="260">
        <v>0</v>
      </c>
      <c r="P210" s="260">
        <v>0</v>
      </c>
      <c r="Q210" s="260">
        <v>0</v>
      </c>
      <c r="R210" s="260">
        <v>0</v>
      </c>
      <c r="S210" s="260">
        <v>0</v>
      </c>
      <c r="T210" s="260">
        <v>0</v>
      </c>
      <c r="U210" s="260">
        <v>1</v>
      </c>
      <c r="V210" s="260">
        <v>0</v>
      </c>
      <c r="W210" s="260">
        <v>1</v>
      </c>
      <c r="X210" s="260">
        <v>0</v>
      </c>
      <c r="Y210" s="260">
        <v>1</v>
      </c>
      <c r="Z210" s="260">
        <v>0</v>
      </c>
      <c r="AA210" s="260">
        <v>1</v>
      </c>
      <c r="AB210" s="260">
        <v>0</v>
      </c>
      <c r="AC210" s="260">
        <v>0</v>
      </c>
      <c r="AD210" s="260">
        <v>0</v>
      </c>
      <c r="AE210" s="260">
        <v>1</v>
      </c>
      <c r="AF210" s="260">
        <v>1</v>
      </c>
      <c r="AG210" s="260">
        <v>1</v>
      </c>
      <c r="AH210" s="260">
        <v>1</v>
      </c>
      <c r="AI210" s="260">
        <v>1</v>
      </c>
      <c r="AJ210" s="260">
        <v>0</v>
      </c>
      <c r="AK210" s="260">
        <v>0</v>
      </c>
      <c r="AL210" s="260">
        <v>1</v>
      </c>
      <c r="AM210" s="260">
        <v>1</v>
      </c>
      <c r="AN210" s="260">
        <v>1</v>
      </c>
      <c r="AO210" s="260">
        <v>0</v>
      </c>
      <c r="AP210" s="260">
        <v>1</v>
      </c>
      <c r="AQ210" s="260">
        <v>0</v>
      </c>
      <c r="AR210" s="260">
        <v>0</v>
      </c>
      <c r="AS210" s="260">
        <v>0</v>
      </c>
      <c r="AT210" s="260">
        <v>0</v>
      </c>
      <c r="AU210" s="260">
        <v>0</v>
      </c>
      <c r="AV210" s="260">
        <v>0</v>
      </c>
      <c r="AW210" s="260">
        <v>0</v>
      </c>
      <c r="AX210" s="260">
        <v>0</v>
      </c>
      <c r="AY210" s="260">
        <v>0</v>
      </c>
      <c r="AZ210" s="260">
        <v>0</v>
      </c>
      <c r="BA210" s="260">
        <v>0</v>
      </c>
      <c r="BB210" s="260">
        <v>0</v>
      </c>
      <c r="BC210" s="260">
        <v>0</v>
      </c>
      <c r="BD210" s="260">
        <v>0</v>
      </c>
      <c r="BE210" s="260">
        <v>0</v>
      </c>
      <c r="BF210" s="260">
        <v>0</v>
      </c>
      <c r="BG210" s="260">
        <v>0</v>
      </c>
      <c r="BH210" s="260">
        <v>0</v>
      </c>
      <c r="BI210" s="260">
        <v>0</v>
      </c>
      <c r="BJ210" s="260">
        <v>0</v>
      </c>
    </row>
    <row r="211" s="260" customFormat="1" ht="14.25" customHeight="1">
      <c r="B211" s="305"/>
      <c r="C211" s="305"/>
      <c r="E211" s="323" t="s">
        <v>817</v>
      </c>
      <c r="F211" s="260" t="s">
        <v>544</v>
      </c>
      <c r="G211" s="323" t="s">
        <v>498</v>
      </c>
      <c r="H211" s="324">
        <v>23911</v>
      </c>
      <c r="I211" s="324">
        <v>23926</v>
      </c>
      <c r="J211" s="323" t="s">
        <v>657</v>
      </c>
      <c r="L211" s="260" t="s">
        <v>325</v>
      </c>
      <c r="M211" s="260">
        <v>1</v>
      </c>
      <c r="N211" s="260">
        <v>0</v>
      </c>
      <c r="O211" s="260">
        <v>0</v>
      </c>
      <c r="P211" s="260">
        <v>1</v>
      </c>
      <c r="Q211" s="260">
        <v>0</v>
      </c>
      <c r="R211" s="260">
        <v>0</v>
      </c>
      <c r="S211" s="260">
        <v>0</v>
      </c>
      <c r="T211" s="260">
        <v>0</v>
      </c>
      <c r="U211" s="260">
        <v>0</v>
      </c>
      <c r="V211" s="260">
        <v>0</v>
      </c>
      <c r="W211" s="260">
        <v>1</v>
      </c>
      <c r="X211" s="260">
        <v>1</v>
      </c>
      <c r="Y211" s="260">
        <v>0</v>
      </c>
      <c r="Z211" s="260">
        <v>1</v>
      </c>
      <c r="AA211" s="260">
        <v>1</v>
      </c>
      <c r="AB211" s="260">
        <v>0</v>
      </c>
      <c r="AC211" s="260">
        <v>0</v>
      </c>
      <c r="AD211" s="260">
        <v>0</v>
      </c>
      <c r="AE211" s="260">
        <v>0</v>
      </c>
      <c r="AF211" s="260">
        <v>1</v>
      </c>
      <c r="AG211" s="260">
        <v>0</v>
      </c>
      <c r="AH211" s="260">
        <v>0</v>
      </c>
      <c r="AI211" s="260">
        <v>0</v>
      </c>
      <c r="AJ211" s="260">
        <v>0</v>
      </c>
      <c r="AK211" s="260">
        <v>0</v>
      </c>
      <c r="AL211" s="260">
        <v>0</v>
      </c>
      <c r="AM211" s="260">
        <v>1</v>
      </c>
      <c r="AN211" s="260">
        <v>0</v>
      </c>
      <c r="AO211" s="260">
        <v>1</v>
      </c>
      <c r="AP211" s="260">
        <v>0</v>
      </c>
      <c r="AQ211" s="260">
        <v>1</v>
      </c>
      <c r="AR211" s="260">
        <v>0</v>
      </c>
      <c r="AS211" s="260">
        <v>0</v>
      </c>
      <c r="AT211" s="260">
        <v>0</v>
      </c>
      <c r="AU211" s="260">
        <v>1</v>
      </c>
      <c r="AV211" s="260">
        <v>0</v>
      </c>
      <c r="AW211" s="260">
        <v>0</v>
      </c>
      <c r="AX211" s="260">
        <v>1</v>
      </c>
      <c r="AY211" s="260">
        <v>0</v>
      </c>
      <c r="AZ211" s="260">
        <v>0</v>
      </c>
      <c r="BA211" s="260">
        <v>0</v>
      </c>
      <c r="BB211" s="260">
        <v>0</v>
      </c>
      <c r="BC211" s="260">
        <v>0</v>
      </c>
      <c r="BD211" s="260">
        <v>0</v>
      </c>
      <c r="BE211" s="260">
        <v>0</v>
      </c>
      <c r="BF211" s="260">
        <v>0</v>
      </c>
      <c r="BG211" s="260">
        <v>0</v>
      </c>
      <c r="BH211" s="260">
        <v>0</v>
      </c>
      <c r="BI211" s="260">
        <v>0</v>
      </c>
      <c r="BJ211" s="260">
        <v>0</v>
      </c>
    </row>
    <row r="212" ht="14.25" customHeight="1">
      <c r="B212" s="316"/>
      <c r="C212" s="316"/>
      <c r="D212" s="39"/>
      <c r="E212" s="145" t="s">
        <v>818</v>
      </c>
      <c r="F212" s="39" t="s">
        <v>717</v>
      </c>
      <c r="G212" s="145" t="s">
        <v>498</v>
      </c>
      <c r="H212" s="320">
        <v>24387</v>
      </c>
      <c r="I212" s="320">
        <v>24439</v>
      </c>
      <c r="J212" s="111" t="s">
        <v>819</v>
      </c>
      <c r="L212" s="39" t="s">
        <v>325</v>
      </c>
      <c r="O212" s="39">
        <v>1</v>
      </c>
      <c r="P212" s="142">
        <v>1</v>
      </c>
      <c r="T212" s="142"/>
      <c r="W212" s="39">
        <v>1</v>
      </c>
      <c r="X212" s="39">
        <v>1</v>
      </c>
      <c r="Z212" s="39">
        <v>1</v>
      </c>
      <c r="AA212" s="39">
        <v>1</v>
      </c>
      <c r="AE212" s="39">
        <v>1</v>
      </c>
      <c r="AF212" s="39">
        <v>1</v>
      </c>
      <c r="AL212" s="39">
        <v>1</v>
      </c>
      <c r="AO212" s="39">
        <v>1</v>
      </c>
    </row>
    <row r="213" ht="28.399999999999999" customHeight="1">
      <c r="A213" s="137" t="s">
        <v>481</v>
      </c>
      <c r="D213" s="211" t="s">
        <v>17</v>
      </c>
      <c r="E213" s="111" t="s">
        <v>820</v>
      </c>
      <c r="F213" s="39" t="s">
        <v>821</v>
      </c>
      <c r="G213" s="111" t="s">
        <v>498</v>
      </c>
      <c r="H213" s="313">
        <v>15330</v>
      </c>
      <c r="I213" s="313">
        <v>15359</v>
      </c>
      <c r="J213" s="170"/>
      <c r="K213" s="39">
        <v>12</v>
      </c>
      <c r="L213" s="39" t="s">
        <v>325</v>
      </c>
      <c r="M213" s="39">
        <v>1</v>
      </c>
      <c r="N213" s="316">
        <v>0</v>
      </c>
      <c r="O213" s="39">
        <v>0</v>
      </c>
      <c r="P213" s="39">
        <v>1</v>
      </c>
      <c r="Q213" s="39">
        <v>0</v>
      </c>
      <c r="R213" s="316">
        <v>0</v>
      </c>
      <c r="S213" s="39">
        <v>0</v>
      </c>
      <c r="T213" s="39">
        <v>0</v>
      </c>
      <c r="U213" s="39">
        <v>0</v>
      </c>
      <c r="V213" s="316">
        <v>1</v>
      </c>
      <c r="X213" s="39">
        <v>1</v>
      </c>
      <c r="Y213" s="39">
        <v>0</v>
      </c>
      <c r="Z213" s="316">
        <v>1</v>
      </c>
      <c r="AA213" s="39">
        <v>1</v>
      </c>
      <c r="AB213" s="39">
        <v>0</v>
      </c>
      <c r="AC213" s="39">
        <v>0</v>
      </c>
      <c r="AD213" s="316">
        <v>0</v>
      </c>
      <c r="AE213" s="39">
        <v>0</v>
      </c>
      <c r="AF213" s="39">
        <v>1</v>
      </c>
      <c r="AG213" s="39">
        <v>0</v>
      </c>
      <c r="AH213" s="316">
        <v>0</v>
      </c>
      <c r="AI213" s="39">
        <v>0</v>
      </c>
      <c r="AJ213" s="39">
        <v>0</v>
      </c>
      <c r="AK213" s="39">
        <v>1</v>
      </c>
      <c r="AL213" s="316">
        <v>0</v>
      </c>
      <c r="AM213" s="39">
        <v>0</v>
      </c>
      <c r="AN213" s="39">
        <v>1</v>
      </c>
      <c r="AO213" s="39">
        <v>1</v>
      </c>
      <c r="AP213" s="316">
        <v>0</v>
      </c>
      <c r="AQ213" s="39">
        <v>0</v>
      </c>
      <c r="AR213" s="39">
        <v>0</v>
      </c>
      <c r="AS213" s="39">
        <v>0</v>
      </c>
      <c r="AT213" s="316">
        <v>0</v>
      </c>
      <c r="AU213" s="39">
        <v>0</v>
      </c>
      <c r="AV213" s="39">
        <v>0</v>
      </c>
      <c r="AW213" s="39">
        <v>0</v>
      </c>
      <c r="AX213" s="316">
        <v>0</v>
      </c>
      <c r="AY213" s="39">
        <v>0</v>
      </c>
      <c r="AZ213" s="39">
        <v>0</v>
      </c>
      <c r="BA213" s="39">
        <v>0</v>
      </c>
      <c r="BB213" s="316">
        <v>0</v>
      </c>
      <c r="BC213" s="39">
        <v>0</v>
      </c>
      <c r="BD213" s="39">
        <v>0</v>
      </c>
      <c r="BE213" s="39">
        <v>0</v>
      </c>
      <c r="BF213" s="316">
        <v>0</v>
      </c>
      <c r="BG213" s="39">
        <v>0</v>
      </c>
      <c r="BH213" s="39">
        <v>0</v>
      </c>
      <c r="BI213" s="39">
        <v>0</v>
      </c>
      <c r="BJ213" s="316">
        <v>0</v>
      </c>
      <c r="BN213" s="316"/>
      <c r="BR213" s="316"/>
      <c r="BV213" s="316"/>
      <c r="BZ213" s="316"/>
      <c r="CD213" s="316"/>
      <c r="CH213" s="316"/>
      <c r="CL213" s="316"/>
      <c r="CP213" s="316"/>
      <c r="CT213" s="316"/>
      <c r="CX213" s="316"/>
      <c r="DB213" s="316"/>
      <c r="DF213" s="316"/>
      <c r="DJ213" s="316"/>
      <c r="DN213" s="316"/>
      <c r="DR213" s="316"/>
      <c r="DV213" s="316"/>
      <c r="DZ213" s="316"/>
      <c r="ED213" s="316"/>
      <c r="EH213" s="316"/>
      <c r="EL213" s="316"/>
      <c r="EP213" s="316"/>
      <c r="ET213" s="316"/>
      <c r="EX213" s="316"/>
      <c r="FB213" s="316"/>
      <c r="FF213" s="316"/>
      <c r="FJ213" s="316"/>
      <c r="FN213" s="316"/>
      <c r="FR213" s="316"/>
      <c r="FV213" s="316"/>
      <c r="FZ213" s="316"/>
      <c r="GD213" s="316"/>
      <c r="GH213" s="316"/>
      <c r="GL213" s="316"/>
      <c r="GP213" s="316"/>
      <c r="GT213" s="316"/>
      <c r="GX213" s="316"/>
      <c r="HB213" s="316"/>
      <c r="HF213" s="316"/>
      <c r="HJ213" s="316"/>
      <c r="HN213" s="316"/>
      <c r="HR213" s="316"/>
      <c r="HV213" s="316"/>
      <c r="HZ213" s="316"/>
      <c r="ID213" s="316"/>
      <c r="IH213" s="316"/>
      <c r="IL213" s="316"/>
      <c r="IP213" s="316"/>
      <c r="IT213" s="316"/>
      <c r="IX213" s="316"/>
      <c r="JB213" s="316"/>
      <c r="JF213" s="316"/>
      <c r="JJ213" s="316"/>
      <c r="JN213" s="316"/>
      <c r="JR213" s="316"/>
      <c r="JV213" s="316"/>
      <c r="JZ213" s="316"/>
      <c r="KD213" s="316"/>
      <c r="KH213" s="316"/>
      <c r="KL213" s="316"/>
      <c r="KP213" s="316"/>
      <c r="KT213" s="316"/>
      <c r="KX213" s="316"/>
      <c r="LB213" s="316"/>
      <c r="LF213" s="316"/>
      <c r="LJ213" s="316"/>
      <c r="LN213" s="316"/>
      <c r="LR213" s="316"/>
      <c r="LV213" s="316"/>
      <c r="LZ213" s="316"/>
      <c r="MD213" s="316"/>
      <c r="MH213" s="316"/>
      <c r="ML213" s="316"/>
      <c r="MP213" s="316"/>
      <c r="MT213" s="316"/>
      <c r="MX213" s="316"/>
      <c r="NB213" s="316"/>
      <c r="NF213" s="316"/>
      <c r="NJ213" s="316"/>
      <c r="NN213" s="316"/>
      <c r="NR213" s="316"/>
      <c r="NV213" s="316"/>
      <c r="NZ213" s="316"/>
      <c r="OD213" s="316"/>
      <c r="OH213" s="316"/>
      <c r="OL213" s="316"/>
      <c r="OP213" s="316"/>
      <c r="OT213" s="316"/>
      <c r="OX213" s="316"/>
      <c r="PB213" s="316"/>
      <c r="PF213" s="316"/>
      <c r="PJ213" s="316"/>
      <c r="PN213" s="316"/>
      <c r="PR213" s="316"/>
      <c r="PV213" s="316"/>
      <c r="PZ213" s="316"/>
      <c r="QD213" s="316"/>
      <c r="QH213" s="316"/>
      <c r="QL213" s="316"/>
      <c r="QP213" s="316"/>
      <c r="QT213" s="316"/>
      <c r="QX213" s="316"/>
      <c r="RB213" s="316"/>
      <c r="RF213" s="316"/>
      <c r="RJ213" s="316"/>
      <c r="RN213" s="316"/>
      <c r="RR213" s="316"/>
      <c r="RV213" s="316"/>
      <c r="RZ213" s="316"/>
      <c r="SD213" s="316"/>
      <c r="SH213" s="316"/>
      <c r="SL213" s="316"/>
      <c r="SP213" s="316"/>
      <c r="ST213" s="316"/>
      <c r="SX213" s="316"/>
      <c r="TB213" s="316"/>
      <c r="TF213" s="316"/>
      <c r="TJ213" s="316"/>
      <c r="TN213" s="316"/>
      <c r="TR213" s="316"/>
      <c r="TV213" s="316"/>
      <c r="TZ213" s="316"/>
      <c r="UD213" s="316"/>
      <c r="UH213" s="316"/>
      <c r="UL213" s="316"/>
      <c r="UP213" s="316"/>
      <c r="UT213" s="316"/>
      <c r="UX213" s="316"/>
      <c r="VB213" s="316"/>
      <c r="VF213" s="316"/>
      <c r="VJ213" s="316"/>
      <c r="VN213" s="316"/>
      <c r="VR213" s="316"/>
      <c r="VV213" s="316"/>
      <c r="VZ213" s="316"/>
      <c r="WD213" s="316"/>
      <c r="WH213" s="316"/>
      <c r="WL213" s="316"/>
      <c r="WP213" s="316"/>
      <c r="WT213" s="316"/>
      <c r="WX213" s="316"/>
      <c r="XB213" s="316"/>
      <c r="XF213" s="316"/>
      <c r="XJ213" s="316"/>
      <c r="XN213" s="316"/>
      <c r="XR213" s="316"/>
      <c r="XV213" s="316"/>
      <c r="XZ213" s="316"/>
      <c r="YD213" s="316"/>
      <c r="YH213" s="316"/>
      <c r="YL213" s="316"/>
      <c r="YP213" s="316"/>
      <c r="YT213" s="316"/>
      <c r="YX213" s="316"/>
      <c r="ZB213" s="316"/>
      <c r="ZF213" s="316"/>
      <c r="ZJ213" s="316"/>
      <c r="ZN213" s="316"/>
      <c r="ZR213" s="316"/>
      <c r="ZV213" s="316"/>
      <c r="ZZ213" s="316"/>
      <c r="AAD213" s="316"/>
      <c r="AAH213" s="316"/>
      <c r="AAL213" s="316"/>
      <c r="AAP213" s="316"/>
      <c r="AAT213" s="316"/>
      <c r="AAX213" s="316"/>
      <c r="ABB213" s="316"/>
      <c r="ABF213" s="316"/>
      <c r="ABJ213" s="316"/>
      <c r="ABN213" s="316"/>
      <c r="ABR213" s="316"/>
      <c r="ABV213" s="316"/>
      <c r="ABZ213" s="316"/>
      <c r="ACD213" s="316"/>
      <c r="ACH213" s="316"/>
      <c r="ACL213" s="316"/>
      <c r="ACP213" s="316"/>
      <c r="ACT213" s="316"/>
      <c r="ACX213" s="316"/>
      <c r="ADB213" s="316"/>
      <c r="ADF213" s="316"/>
      <c r="ADJ213" s="316"/>
      <c r="ADN213" s="316"/>
      <c r="ADR213" s="316"/>
      <c r="ADV213" s="316"/>
      <c r="ADZ213" s="316"/>
      <c r="AED213" s="316"/>
      <c r="AEH213" s="316"/>
      <c r="AEL213" s="316"/>
      <c r="AEP213" s="316"/>
      <c r="AET213" s="316"/>
      <c r="AEX213" s="316"/>
      <c r="AFB213" s="316"/>
      <c r="AFF213" s="316"/>
      <c r="AFJ213" s="316"/>
      <c r="AFN213" s="316"/>
      <c r="AFR213" s="316"/>
      <c r="AFV213" s="316"/>
      <c r="AFZ213" s="316"/>
      <c r="AGD213" s="316"/>
      <c r="AGH213" s="316"/>
      <c r="AGL213" s="316"/>
      <c r="AGP213" s="316"/>
      <c r="AGT213" s="316"/>
      <c r="AGX213" s="316"/>
      <c r="AHB213" s="316"/>
      <c r="AHF213" s="316"/>
      <c r="AHJ213" s="316"/>
      <c r="AHN213" s="316"/>
      <c r="AHR213" s="316"/>
      <c r="AHV213" s="316"/>
      <c r="AHZ213" s="316"/>
      <c r="AID213" s="316"/>
      <c r="AIH213" s="316"/>
      <c r="AIL213" s="316"/>
      <c r="AIP213" s="316"/>
      <c r="AIT213" s="316"/>
      <c r="AIX213" s="316"/>
      <c r="AJB213" s="316"/>
      <c r="AJF213" s="316"/>
      <c r="AJJ213" s="316"/>
      <c r="AJN213" s="316"/>
      <c r="AJR213" s="316"/>
      <c r="AJV213" s="316"/>
      <c r="AJZ213" s="316"/>
      <c r="AKD213" s="316"/>
      <c r="AKH213" s="316"/>
      <c r="AKL213" s="316"/>
      <c r="AKP213" s="316"/>
      <c r="AKT213" s="316"/>
      <c r="AKX213" s="316"/>
      <c r="ALB213" s="316"/>
      <c r="ALF213" s="316"/>
      <c r="ALJ213" s="316"/>
      <c r="ALN213" s="316"/>
      <c r="ALR213" s="316"/>
      <c r="ALV213" s="316"/>
      <c r="ALZ213" s="316"/>
      <c r="AMD213" s="316"/>
      <c r="AMH213" s="316"/>
      <c r="AML213" s="316"/>
      <c r="AMP213" s="316"/>
      <c r="AMT213" s="316"/>
      <c r="AMX213" s="316"/>
      <c r="ANB213" s="316"/>
      <c r="ANF213" s="316"/>
      <c r="ANJ213" s="316"/>
      <c r="ANN213" s="316"/>
      <c r="ANR213" s="316"/>
      <c r="ANV213" s="316"/>
      <c r="ANZ213" s="316"/>
      <c r="AOD213" s="316"/>
      <c r="AOH213" s="316"/>
      <c r="AOL213" s="316"/>
      <c r="AOP213" s="316"/>
      <c r="AOT213" s="316"/>
      <c r="AOX213" s="316"/>
      <c r="APB213" s="316"/>
      <c r="APF213" s="316"/>
      <c r="APJ213" s="316"/>
      <c r="APN213" s="316"/>
      <c r="APR213" s="316"/>
      <c r="APV213" s="316"/>
      <c r="APZ213" s="316"/>
      <c r="AQD213" s="316"/>
      <c r="AQH213" s="316"/>
      <c r="AQL213" s="316"/>
      <c r="AQP213" s="316"/>
      <c r="AQT213" s="316"/>
      <c r="AQX213" s="316"/>
      <c r="ARB213" s="316"/>
      <c r="ARF213" s="316"/>
      <c r="ARJ213" s="316"/>
      <c r="ARN213" s="316"/>
      <c r="ARR213" s="316"/>
      <c r="ARV213" s="316"/>
      <c r="ARZ213" s="316"/>
      <c r="ASD213" s="316"/>
      <c r="ASH213" s="316"/>
      <c r="ASL213" s="316"/>
      <c r="ASP213" s="316"/>
      <c r="AST213" s="316"/>
      <c r="ASX213" s="316"/>
      <c r="ATB213" s="316"/>
      <c r="ATF213" s="316"/>
      <c r="ATJ213" s="316"/>
      <c r="ATN213" s="316"/>
      <c r="ATR213" s="316"/>
      <c r="ATV213" s="316"/>
      <c r="ATZ213" s="316"/>
      <c r="AUD213" s="316"/>
      <c r="AUH213" s="316"/>
      <c r="AUL213" s="316"/>
      <c r="AUP213" s="316"/>
      <c r="AUT213" s="316"/>
      <c r="AUX213" s="316"/>
      <c r="AVB213" s="316"/>
      <c r="AVF213" s="316"/>
      <c r="AVJ213" s="316"/>
      <c r="AVN213" s="316"/>
      <c r="AVR213" s="316"/>
      <c r="AVV213" s="316"/>
      <c r="AVZ213" s="316"/>
      <c r="AWD213" s="316"/>
      <c r="AWH213" s="316"/>
      <c r="AWL213" s="316"/>
      <c r="AWP213" s="316"/>
      <c r="AWT213" s="316"/>
      <c r="AWX213" s="316"/>
      <c r="AXB213" s="316"/>
      <c r="AXF213" s="316"/>
      <c r="AXJ213" s="316"/>
      <c r="AXN213" s="316"/>
      <c r="AXR213" s="316"/>
      <c r="AXV213" s="316"/>
      <c r="AXZ213" s="316"/>
      <c r="AYD213" s="316"/>
      <c r="AYH213" s="316"/>
      <c r="AYL213" s="316"/>
      <c r="AYP213" s="316"/>
      <c r="AYT213" s="316"/>
      <c r="AYX213" s="316"/>
      <c r="AZB213" s="316"/>
      <c r="AZF213" s="316"/>
      <c r="AZJ213" s="316"/>
      <c r="AZN213" s="316"/>
      <c r="AZR213" s="316"/>
      <c r="AZV213" s="316"/>
      <c r="AZZ213" s="316"/>
      <c r="BAD213" s="316"/>
      <c r="BAH213" s="316"/>
      <c r="BAL213" s="316"/>
      <c r="BAP213" s="316"/>
      <c r="BAT213" s="316"/>
      <c r="BAX213" s="316"/>
      <c r="BBB213" s="316"/>
      <c r="BBF213" s="316"/>
      <c r="BBJ213" s="316"/>
      <c r="BBN213" s="316"/>
      <c r="BBR213" s="316"/>
      <c r="BBV213" s="316"/>
      <c r="BBZ213" s="316"/>
      <c r="BCD213" s="316"/>
      <c r="BCH213" s="316"/>
      <c r="BCL213" s="316"/>
      <c r="BCP213" s="316"/>
      <c r="BCT213" s="316"/>
      <c r="BCX213" s="316"/>
      <c r="BDB213" s="316"/>
      <c r="BDF213" s="316"/>
      <c r="BDJ213" s="316"/>
      <c r="BDN213" s="316"/>
      <c r="BDR213" s="316"/>
      <c r="BDV213" s="316"/>
      <c r="BDZ213" s="316"/>
      <c r="BED213" s="316"/>
      <c r="BEH213" s="316"/>
      <c r="BEL213" s="316"/>
      <c r="BEP213" s="316"/>
      <c r="BET213" s="316"/>
      <c r="BEX213" s="316"/>
      <c r="BFB213" s="316"/>
      <c r="BFF213" s="316"/>
      <c r="BFJ213" s="316"/>
      <c r="BFN213" s="316"/>
      <c r="BFR213" s="316"/>
      <c r="BFV213" s="316"/>
      <c r="BFZ213" s="316"/>
      <c r="BGD213" s="316"/>
      <c r="BGH213" s="316"/>
      <c r="BGL213" s="316"/>
      <c r="BGP213" s="316"/>
      <c r="BGT213" s="316"/>
      <c r="BGX213" s="316"/>
      <c r="BHB213" s="316"/>
      <c r="BHF213" s="316"/>
      <c r="BHJ213" s="316"/>
      <c r="BHN213" s="316"/>
      <c r="BHR213" s="316"/>
      <c r="BHV213" s="316"/>
      <c r="BHZ213" s="316"/>
      <c r="BID213" s="316"/>
      <c r="BIH213" s="316"/>
      <c r="BIL213" s="316"/>
      <c r="BIP213" s="316"/>
      <c r="BIT213" s="316"/>
      <c r="BIX213" s="316"/>
      <c r="BJB213" s="316"/>
      <c r="BJF213" s="316"/>
      <c r="BJJ213" s="316"/>
      <c r="BJN213" s="316"/>
      <c r="BJR213" s="316"/>
      <c r="BJV213" s="316"/>
      <c r="BJZ213" s="316"/>
      <c r="BKD213" s="316"/>
      <c r="BKH213" s="316"/>
      <c r="BKL213" s="316"/>
      <c r="BKP213" s="316"/>
      <c r="BKT213" s="316"/>
      <c r="BKX213" s="316"/>
      <c r="BLB213" s="316"/>
      <c r="BLF213" s="316"/>
      <c r="BLJ213" s="316"/>
      <c r="BLN213" s="316"/>
      <c r="BLR213" s="316"/>
      <c r="BLV213" s="316"/>
      <c r="BLZ213" s="316"/>
      <c r="BMD213" s="316"/>
      <c r="BMH213" s="316"/>
      <c r="BML213" s="316"/>
      <c r="BMP213" s="316"/>
      <c r="BMT213" s="316"/>
      <c r="BMX213" s="316"/>
      <c r="BNB213" s="316"/>
      <c r="BNF213" s="316"/>
      <c r="BNJ213" s="316"/>
      <c r="BNN213" s="316"/>
      <c r="BNR213" s="316"/>
      <c r="BNV213" s="316"/>
      <c r="BNZ213" s="316"/>
      <c r="BOD213" s="316"/>
      <c r="BOH213" s="316"/>
      <c r="BOL213" s="316"/>
      <c r="BOP213" s="316"/>
      <c r="BOT213" s="316"/>
      <c r="BOX213" s="316"/>
      <c r="BPB213" s="316"/>
      <c r="BPF213" s="316"/>
      <c r="BPJ213" s="316"/>
      <c r="BPN213" s="316"/>
      <c r="BPR213" s="316"/>
      <c r="BPV213" s="316"/>
      <c r="BPZ213" s="316"/>
      <c r="BQD213" s="316"/>
      <c r="BQH213" s="316"/>
      <c r="BQL213" s="316"/>
      <c r="BQP213" s="316"/>
      <c r="BQT213" s="316"/>
      <c r="BQX213" s="316"/>
      <c r="BRB213" s="316"/>
      <c r="BRF213" s="316"/>
      <c r="BRJ213" s="316"/>
      <c r="BRN213" s="316"/>
      <c r="BRR213" s="316"/>
      <c r="BRV213" s="316"/>
      <c r="BRZ213" s="316"/>
      <c r="BSD213" s="316"/>
      <c r="BSH213" s="316"/>
      <c r="BSL213" s="316"/>
      <c r="BSP213" s="316"/>
      <c r="BST213" s="316"/>
      <c r="BSX213" s="316"/>
      <c r="BTB213" s="316"/>
      <c r="BTF213" s="316"/>
      <c r="BTJ213" s="316"/>
      <c r="BTN213" s="316"/>
      <c r="BTR213" s="316"/>
      <c r="BTV213" s="316"/>
      <c r="BTZ213" s="316"/>
      <c r="BUD213" s="316"/>
      <c r="BUH213" s="316"/>
      <c r="BUL213" s="316"/>
      <c r="BUP213" s="316"/>
      <c r="BUT213" s="316"/>
      <c r="BUX213" s="316"/>
      <c r="BVB213" s="316"/>
      <c r="BVF213" s="316"/>
      <c r="BVJ213" s="316"/>
      <c r="BVN213" s="316"/>
      <c r="BVR213" s="316"/>
      <c r="BVV213" s="316"/>
      <c r="BVZ213" s="316"/>
      <c r="BWD213" s="316"/>
      <c r="BWH213" s="316"/>
      <c r="BWL213" s="316"/>
      <c r="BWP213" s="316"/>
      <c r="BWT213" s="316"/>
      <c r="BWX213" s="316"/>
      <c r="BXB213" s="316"/>
      <c r="BXF213" s="316"/>
      <c r="BXJ213" s="316"/>
      <c r="BXN213" s="316"/>
      <c r="BXR213" s="316"/>
      <c r="BXV213" s="316"/>
      <c r="BXZ213" s="316"/>
      <c r="BYD213" s="316"/>
      <c r="BYH213" s="316"/>
      <c r="BYL213" s="316"/>
      <c r="BYP213" s="316"/>
      <c r="BYT213" s="316"/>
      <c r="BYX213" s="316"/>
      <c r="BZB213" s="316"/>
      <c r="BZF213" s="316"/>
      <c r="BZJ213" s="316"/>
      <c r="BZN213" s="316"/>
      <c r="BZR213" s="316"/>
      <c r="BZV213" s="316"/>
      <c r="BZZ213" s="316"/>
      <c r="CAD213" s="316"/>
      <c r="CAH213" s="316"/>
      <c r="CAL213" s="316"/>
      <c r="CAP213" s="316"/>
      <c r="CAT213" s="316"/>
      <c r="CAX213" s="316"/>
      <c r="CBB213" s="316"/>
      <c r="CBF213" s="316"/>
      <c r="CBJ213" s="316"/>
      <c r="CBN213" s="316"/>
      <c r="CBR213" s="316"/>
      <c r="CBV213" s="316"/>
      <c r="CBZ213" s="316"/>
      <c r="CCD213" s="316"/>
      <c r="CCH213" s="316"/>
      <c r="CCL213" s="316"/>
      <c r="CCP213" s="316"/>
      <c r="CCT213" s="316"/>
      <c r="CCX213" s="316"/>
      <c r="CDB213" s="316"/>
      <c r="CDF213" s="316"/>
      <c r="CDJ213" s="316"/>
      <c r="CDN213" s="316"/>
      <c r="CDR213" s="316"/>
      <c r="CDV213" s="316"/>
      <c r="CDZ213" s="316"/>
      <c r="CED213" s="316"/>
      <c r="CEH213" s="316"/>
      <c r="CEL213" s="316"/>
      <c r="CEP213" s="316"/>
      <c r="CET213" s="316"/>
      <c r="CEX213" s="316"/>
      <c r="CFB213" s="316"/>
      <c r="CFF213" s="316"/>
      <c r="CFJ213" s="316"/>
      <c r="CFN213" s="316"/>
      <c r="CFR213" s="316"/>
      <c r="CFV213" s="316"/>
      <c r="CFZ213" s="316"/>
      <c r="CGD213" s="316"/>
      <c r="CGH213" s="316"/>
      <c r="CGL213" s="316"/>
      <c r="CGP213" s="316"/>
      <c r="CGT213" s="316"/>
      <c r="CGX213" s="316"/>
      <c r="CHB213" s="316"/>
      <c r="CHF213" s="316"/>
      <c r="CHJ213" s="316"/>
      <c r="CHN213" s="316"/>
      <c r="CHR213" s="316"/>
      <c r="CHV213" s="316"/>
      <c r="CHZ213" s="316"/>
      <c r="CID213" s="316"/>
      <c r="CIH213" s="316"/>
      <c r="CIL213" s="316"/>
      <c r="CIP213" s="316"/>
      <c r="CIT213" s="316"/>
      <c r="CIX213" s="316"/>
      <c r="CJB213" s="316"/>
      <c r="CJF213" s="316"/>
      <c r="CJJ213" s="316"/>
      <c r="CJN213" s="316"/>
      <c r="CJR213" s="316"/>
      <c r="CJV213" s="316"/>
      <c r="CJZ213" s="316"/>
      <c r="CKD213" s="316"/>
      <c r="CKH213" s="316"/>
      <c r="CKL213" s="316"/>
      <c r="CKP213" s="316"/>
      <c r="CKT213" s="316"/>
      <c r="CKX213" s="316"/>
      <c r="CLB213" s="316"/>
      <c r="CLF213" s="316"/>
      <c r="CLJ213" s="316"/>
      <c r="CLN213" s="316"/>
      <c r="CLR213" s="316"/>
      <c r="CLV213" s="316"/>
      <c r="CLZ213" s="316"/>
      <c r="CMD213" s="316"/>
      <c r="CMH213" s="316"/>
      <c r="CML213" s="316"/>
      <c r="CMP213" s="316"/>
      <c r="CMT213" s="316"/>
      <c r="CMX213" s="316"/>
      <c r="CNB213" s="316"/>
      <c r="CNF213" s="316"/>
      <c r="CNJ213" s="316"/>
      <c r="CNN213" s="316"/>
      <c r="CNR213" s="316"/>
      <c r="CNV213" s="316"/>
      <c r="CNZ213" s="316"/>
      <c r="COD213" s="316"/>
      <c r="COH213" s="316"/>
      <c r="COL213" s="316"/>
      <c r="COP213" s="316"/>
      <c r="COT213" s="316"/>
      <c r="COX213" s="316"/>
      <c r="CPB213" s="316"/>
      <c r="CPF213" s="316"/>
      <c r="CPJ213" s="316"/>
      <c r="CPN213" s="316"/>
      <c r="CPR213" s="316"/>
      <c r="CPV213" s="316"/>
      <c r="CPZ213" s="316"/>
      <c r="CQD213" s="316"/>
      <c r="CQH213" s="316"/>
      <c r="CQL213" s="316"/>
      <c r="CQP213" s="316"/>
      <c r="CQT213" s="316"/>
      <c r="CQX213" s="316"/>
      <c r="CRB213" s="316"/>
      <c r="CRF213" s="316"/>
      <c r="CRJ213" s="316"/>
      <c r="CRN213" s="316"/>
      <c r="CRR213" s="316"/>
      <c r="CRV213" s="316"/>
      <c r="CRZ213" s="316"/>
      <c r="CSD213" s="316"/>
      <c r="CSH213" s="316"/>
      <c r="CSL213" s="316"/>
      <c r="CSP213" s="316"/>
      <c r="CST213" s="316"/>
      <c r="CSX213" s="316"/>
      <c r="CTB213" s="316"/>
      <c r="CTF213" s="316"/>
      <c r="CTJ213" s="316"/>
      <c r="CTN213" s="316"/>
      <c r="CTR213" s="316"/>
      <c r="CTV213" s="316"/>
      <c r="CTZ213" s="316"/>
      <c r="CUD213" s="316"/>
      <c r="CUH213" s="316"/>
      <c r="CUL213" s="316"/>
      <c r="CUP213" s="316"/>
      <c r="CUT213" s="316"/>
      <c r="CUX213" s="316"/>
      <c r="CVB213" s="316"/>
      <c r="CVF213" s="316"/>
      <c r="CVJ213" s="316"/>
      <c r="CVN213" s="316"/>
      <c r="CVR213" s="316"/>
      <c r="CVV213" s="316"/>
      <c r="CVZ213" s="316"/>
      <c r="CWD213" s="316"/>
      <c r="CWH213" s="316"/>
      <c r="CWL213" s="316"/>
      <c r="CWP213" s="316"/>
      <c r="CWT213" s="316"/>
      <c r="CWX213" s="316"/>
      <c r="CXB213" s="316"/>
      <c r="CXF213" s="316"/>
      <c r="CXJ213" s="316"/>
      <c r="CXN213" s="316"/>
      <c r="CXR213" s="316"/>
      <c r="CXV213" s="316"/>
      <c r="CXZ213" s="316"/>
      <c r="CYD213" s="316"/>
      <c r="CYH213" s="316"/>
      <c r="CYL213" s="316"/>
      <c r="CYP213" s="316"/>
      <c r="CYT213" s="316"/>
      <c r="CYX213" s="316"/>
      <c r="CZB213" s="316"/>
      <c r="CZF213" s="316"/>
      <c r="CZJ213" s="316"/>
      <c r="CZN213" s="316"/>
      <c r="CZR213" s="316"/>
      <c r="CZV213" s="316"/>
      <c r="CZZ213" s="316"/>
      <c r="DAD213" s="316"/>
      <c r="DAH213" s="316"/>
      <c r="DAL213" s="316"/>
      <c r="DAP213" s="316"/>
      <c r="DAT213" s="316"/>
      <c r="DAX213" s="316"/>
      <c r="DBB213" s="316"/>
      <c r="DBF213" s="316"/>
      <c r="DBJ213" s="316"/>
      <c r="DBN213" s="316"/>
      <c r="DBR213" s="316"/>
      <c r="DBV213" s="316"/>
      <c r="DBZ213" s="316"/>
      <c r="DCD213" s="316"/>
      <c r="DCH213" s="316"/>
      <c r="DCL213" s="316"/>
      <c r="DCP213" s="316"/>
      <c r="DCT213" s="316"/>
      <c r="DCX213" s="316"/>
      <c r="DDB213" s="316"/>
      <c r="DDF213" s="316"/>
      <c r="DDJ213" s="316"/>
      <c r="DDN213" s="316"/>
      <c r="DDR213" s="316"/>
      <c r="DDV213" s="316"/>
      <c r="DDZ213" s="316"/>
      <c r="DED213" s="316"/>
      <c r="DEH213" s="316"/>
      <c r="DEL213" s="316"/>
      <c r="DEP213" s="316"/>
      <c r="DET213" s="316"/>
      <c r="DEX213" s="316"/>
      <c r="DFB213" s="316"/>
      <c r="DFF213" s="316"/>
      <c r="DFJ213" s="316"/>
      <c r="DFN213" s="316"/>
      <c r="DFR213" s="316"/>
      <c r="DFV213" s="316"/>
      <c r="DFZ213" s="316"/>
      <c r="DGD213" s="316"/>
      <c r="DGH213" s="316"/>
      <c r="DGL213" s="316"/>
      <c r="DGP213" s="316"/>
      <c r="DGT213" s="316"/>
      <c r="DGX213" s="316"/>
      <c r="DHB213" s="316"/>
      <c r="DHF213" s="316"/>
      <c r="DHJ213" s="316"/>
      <c r="DHN213" s="316"/>
      <c r="DHR213" s="316"/>
      <c r="DHV213" s="316"/>
      <c r="DHZ213" s="316"/>
      <c r="DID213" s="316"/>
      <c r="DIH213" s="316"/>
      <c r="DIL213" s="316"/>
      <c r="DIP213" s="316"/>
      <c r="DIT213" s="316"/>
      <c r="DIX213" s="316"/>
      <c r="DJB213" s="316"/>
      <c r="DJF213" s="316"/>
      <c r="DJJ213" s="316"/>
      <c r="DJN213" s="316"/>
      <c r="DJR213" s="316"/>
      <c r="DJV213" s="316"/>
      <c r="DJZ213" s="316"/>
      <c r="DKD213" s="316"/>
      <c r="DKH213" s="316"/>
      <c r="DKL213" s="316"/>
      <c r="DKP213" s="316"/>
      <c r="DKT213" s="316"/>
      <c r="DKX213" s="316"/>
      <c r="DLB213" s="316"/>
      <c r="DLF213" s="316"/>
      <c r="DLJ213" s="316"/>
      <c r="DLN213" s="316"/>
      <c r="DLR213" s="316"/>
      <c r="DLV213" s="316"/>
      <c r="DLZ213" s="316"/>
      <c r="DMD213" s="316"/>
      <c r="DMH213" s="316"/>
      <c r="DML213" s="316"/>
      <c r="DMP213" s="316"/>
      <c r="DMT213" s="316"/>
      <c r="DMX213" s="316"/>
      <c r="DNB213" s="316"/>
      <c r="DNF213" s="316"/>
      <c r="DNJ213" s="316"/>
      <c r="DNN213" s="316"/>
      <c r="DNR213" s="316"/>
      <c r="DNV213" s="316"/>
      <c r="DNZ213" s="316"/>
      <c r="DOD213" s="316"/>
      <c r="DOH213" s="316"/>
      <c r="DOL213" s="316"/>
      <c r="DOP213" s="316"/>
      <c r="DOT213" s="316"/>
      <c r="DOX213" s="316"/>
      <c r="DPB213" s="316"/>
      <c r="DPF213" s="316"/>
      <c r="DPJ213" s="316"/>
      <c r="DPN213" s="316"/>
      <c r="DPR213" s="316"/>
      <c r="DPV213" s="316"/>
      <c r="DPZ213" s="316"/>
      <c r="DQD213" s="316"/>
      <c r="DQH213" s="316"/>
      <c r="DQL213" s="316"/>
      <c r="DQP213" s="316"/>
      <c r="DQT213" s="316"/>
      <c r="DQX213" s="316"/>
      <c r="DRB213" s="316"/>
      <c r="DRF213" s="316"/>
      <c r="DRJ213" s="316"/>
      <c r="DRN213" s="316"/>
      <c r="DRR213" s="316"/>
      <c r="DRV213" s="316"/>
      <c r="DRZ213" s="316"/>
      <c r="DSD213" s="316"/>
      <c r="DSH213" s="316"/>
      <c r="DSL213" s="316"/>
      <c r="DSP213" s="316"/>
      <c r="DST213" s="316"/>
      <c r="DSX213" s="316"/>
      <c r="DTB213" s="316"/>
      <c r="DTF213" s="316"/>
      <c r="DTJ213" s="316"/>
      <c r="DTN213" s="316"/>
      <c r="DTR213" s="316"/>
      <c r="DTV213" s="316"/>
      <c r="DTZ213" s="316"/>
      <c r="DUD213" s="316"/>
      <c r="DUH213" s="316"/>
      <c r="DUL213" s="316"/>
      <c r="DUP213" s="316"/>
      <c r="DUT213" s="316"/>
      <c r="DUX213" s="316"/>
      <c r="DVB213" s="316"/>
      <c r="DVF213" s="316"/>
      <c r="DVJ213" s="316"/>
      <c r="DVN213" s="316"/>
      <c r="DVR213" s="316"/>
      <c r="DVV213" s="316"/>
      <c r="DVZ213" s="316"/>
      <c r="DWD213" s="316"/>
      <c r="DWH213" s="316"/>
      <c r="DWL213" s="316"/>
      <c r="DWP213" s="316"/>
      <c r="DWT213" s="316"/>
      <c r="DWX213" s="316"/>
      <c r="DXB213" s="316"/>
      <c r="DXF213" s="316"/>
      <c r="DXJ213" s="316"/>
      <c r="DXN213" s="316"/>
      <c r="DXR213" s="316"/>
      <c r="DXV213" s="316"/>
      <c r="DXZ213" s="316"/>
      <c r="DYD213" s="316"/>
      <c r="DYH213" s="316"/>
      <c r="DYL213" s="316"/>
      <c r="DYP213" s="316"/>
      <c r="DYT213" s="316"/>
      <c r="DYX213" s="316"/>
      <c r="DZB213" s="316"/>
      <c r="DZF213" s="316"/>
      <c r="DZJ213" s="316"/>
      <c r="DZN213" s="316"/>
      <c r="DZR213" s="316"/>
      <c r="DZV213" s="316"/>
      <c r="DZZ213" s="316"/>
      <c r="EAD213" s="316"/>
      <c r="EAH213" s="316"/>
      <c r="EAL213" s="316"/>
      <c r="EAP213" s="316"/>
      <c r="EAT213" s="316"/>
      <c r="EAX213" s="316"/>
      <c r="EBB213" s="316"/>
      <c r="EBF213" s="316"/>
      <c r="EBJ213" s="316"/>
      <c r="EBN213" s="316"/>
      <c r="EBR213" s="316"/>
      <c r="EBV213" s="316"/>
      <c r="EBZ213" s="316"/>
      <c r="ECD213" s="316"/>
      <c r="ECH213" s="316"/>
      <c r="ECL213" s="316"/>
      <c r="ECP213" s="316"/>
      <c r="ECT213" s="316"/>
      <c r="ECX213" s="316"/>
      <c r="EDB213" s="316"/>
      <c r="EDF213" s="316"/>
      <c r="EDJ213" s="316"/>
      <c r="EDN213" s="316"/>
      <c r="EDR213" s="316"/>
      <c r="EDV213" s="316"/>
      <c r="EDZ213" s="316"/>
      <c r="EED213" s="316"/>
      <c r="EEH213" s="316"/>
      <c r="EEL213" s="316"/>
      <c r="EEP213" s="316"/>
      <c r="EET213" s="316"/>
      <c r="EEX213" s="316"/>
      <c r="EFB213" s="316"/>
      <c r="EFF213" s="316"/>
      <c r="EFJ213" s="316"/>
      <c r="EFN213" s="316"/>
      <c r="EFR213" s="316"/>
      <c r="EFV213" s="316"/>
      <c r="EFZ213" s="316"/>
      <c r="EGD213" s="316"/>
      <c r="EGH213" s="316"/>
      <c r="EGL213" s="316"/>
      <c r="EGP213" s="316"/>
      <c r="EGT213" s="316"/>
      <c r="EGX213" s="316"/>
      <c r="EHB213" s="316"/>
      <c r="EHF213" s="316"/>
      <c r="EHJ213" s="316"/>
      <c r="EHN213" s="316"/>
      <c r="EHR213" s="316"/>
      <c r="EHV213" s="316"/>
      <c r="EHZ213" s="316"/>
      <c r="EID213" s="316"/>
      <c r="EIH213" s="316"/>
      <c r="EIL213" s="316"/>
      <c r="EIP213" s="316"/>
      <c r="EIT213" s="316"/>
      <c r="EIX213" s="316"/>
      <c r="EJB213" s="316"/>
      <c r="EJF213" s="316"/>
      <c r="EJJ213" s="316"/>
      <c r="EJN213" s="316"/>
      <c r="EJR213" s="316"/>
      <c r="EJV213" s="316"/>
      <c r="EJZ213" s="316"/>
      <c r="EKD213" s="316"/>
      <c r="EKH213" s="316"/>
      <c r="EKL213" s="316"/>
      <c r="EKP213" s="316"/>
      <c r="EKT213" s="316"/>
      <c r="EKX213" s="316"/>
      <c r="ELB213" s="316"/>
      <c r="ELF213" s="316"/>
      <c r="ELJ213" s="316"/>
      <c r="ELN213" s="316"/>
      <c r="ELR213" s="316"/>
      <c r="ELV213" s="316"/>
      <c r="ELZ213" s="316"/>
      <c r="EMD213" s="316"/>
      <c r="EMH213" s="316"/>
      <c r="EML213" s="316"/>
      <c r="EMP213" s="316"/>
      <c r="EMT213" s="316"/>
      <c r="EMX213" s="316"/>
      <c r="ENB213" s="316"/>
      <c r="ENF213" s="316"/>
      <c r="ENJ213" s="316"/>
      <c r="ENN213" s="316"/>
      <c r="ENR213" s="316"/>
      <c r="ENV213" s="316"/>
      <c r="ENZ213" s="316"/>
      <c r="EOD213" s="316"/>
      <c r="EOH213" s="316"/>
      <c r="EOL213" s="316"/>
      <c r="EOP213" s="316"/>
      <c r="EOT213" s="316"/>
      <c r="EOX213" s="316"/>
      <c r="EPB213" s="316"/>
      <c r="EPF213" s="316"/>
      <c r="EPJ213" s="316"/>
      <c r="EPN213" s="316"/>
      <c r="EPR213" s="316"/>
      <c r="EPV213" s="316"/>
      <c r="EPZ213" s="316"/>
      <c r="EQD213" s="316"/>
      <c r="EQH213" s="316"/>
      <c r="EQL213" s="316"/>
      <c r="EQP213" s="316"/>
      <c r="EQT213" s="316"/>
      <c r="EQX213" s="316"/>
      <c r="ERB213" s="316"/>
      <c r="ERF213" s="316"/>
      <c r="ERJ213" s="316"/>
      <c r="ERN213" s="316"/>
      <c r="ERR213" s="316"/>
      <c r="ERV213" s="316"/>
      <c r="ERZ213" s="316"/>
      <c r="ESD213" s="316"/>
      <c r="ESH213" s="316"/>
      <c r="ESL213" s="316"/>
      <c r="ESP213" s="316"/>
      <c r="EST213" s="316"/>
      <c r="ESX213" s="316"/>
      <c r="ETB213" s="316"/>
      <c r="ETF213" s="316"/>
      <c r="ETJ213" s="316"/>
      <c r="ETN213" s="316"/>
      <c r="ETR213" s="316"/>
      <c r="ETV213" s="316"/>
      <c r="ETZ213" s="316"/>
      <c r="EUD213" s="316"/>
      <c r="EUH213" s="316"/>
      <c r="EUL213" s="316"/>
      <c r="EUP213" s="316"/>
      <c r="EUT213" s="316"/>
      <c r="EUX213" s="316"/>
      <c r="EVB213" s="316"/>
      <c r="EVF213" s="316"/>
      <c r="EVJ213" s="316"/>
      <c r="EVN213" s="316"/>
      <c r="EVR213" s="316"/>
      <c r="EVV213" s="316"/>
      <c r="EVZ213" s="316"/>
      <c r="EWD213" s="316"/>
      <c r="EWH213" s="316"/>
      <c r="EWL213" s="316"/>
      <c r="EWP213" s="316"/>
      <c r="EWT213" s="316"/>
      <c r="EWX213" s="316"/>
      <c r="EXB213" s="316"/>
      <c r="EXF213" s="316"/>
      <c r="EXJ213" s="316"/>
      <c r="EXN213" s="316"/>
      <c r="EXR213" s="316"/>
      <c r="EXV213" s="316"/>
      <c r="EXZ213" s="316"/>
      <c r="EYD213" s="316"/>
      <c r="EYH213" s="316"/>
      <c r="EYL213" s="316"/>
      <c r="EYP213" s="316"/>
      <c r="EYT213" s="316"/>
      <c r="EYX213" s="316"/>
      <c r="EZB213" s="316"/>
      <c r="EZF213" s="316"/>
      <c r="EZJ213" s="316"/>
      <c r="EZN213" s="316"/>
      <c r="EZR213" s="316"/>
      <c r="EZV213" s="316"/>
      <c r="EZZ213" s="316"/>
      <c r="FAD213" s="316"/>
      <c r="FAH213" s="316"/>
      <c r="FAL213" s="316"/>
      <c r="FAP213" s="316"/>
      <c r="FAT213" s="316"/>
      <c r="FAX213" s="316"/>
      <c r="FBB213" s="316"/>
      <c r="FBF213" s="316"/>
      <c r="FBJ213" s="316"/>
      <c r="FBN213" s="316"/>
      <c r="FBR213" s="316"/>
      <c r="FBV213" s="316"/>
      <c r="FBZ213" s="316"/>
      <c r="FCD213" s="316"/>
      <c r="FCH213" s="316"/>
      <c r="FCL213" s="316"/>
      <c r="FCP213" s="316"/>
      <c r="FCT213" s="316"/>
      <c r="FCX213" s="316"/>
      <c r="FDB213" s="316"/>
      <c r="FDF213" s="316"/>
      <c r="FDJ213" s="316"/>
      <c r="FDN213" s="316"/>
      <c r="FDR213" s="316"/>
      <c r="FDV213" s="316"/>
      <c r="FDZ213" s="316"/>
      <c r="FED213" s="316"/>
      <c r="FEH213" s="316"/>
      <c r="FEL213" s="316"/>
      <c r="FEP213" s="316"/>
      <c r="FET213" s="316"/>
      <c r="FEX213" s="316"/>
      <c r="FFB213" s="316"/>
      <c r="FFF213" s="316"/>
      <c r="FFJ213" s="316"/>
      <c r="FFN213" s="316"/>
      <c r="FFR213" s="316"/>
      <c r="FFV213" s="316"/>
      <c r="FFZ213" s="316"/>
      <c r="FGD213" s="316"/>
      <c r="FGH213" s="316"/>
      <c r="FGL213" s="316"/>
      <c r="FGP213" s="316"/>
      <c r="FGT213" s="316"/>
      <c r="FGX213" s="316"/>
      <c r="FHB213" s="316"/>
      <c r="FHF213" s="316"/>
      <c r="FHJ213" s="316"/>
      <c r="FHN213" s="316"/>
      <c r="FHR213" s="316"/>
      <c r="FHV213" s="316"/>
      <c r="FHZ213" s="316"/>
      <c r="FID213" s="316"/>
      <c r="FIH213" s="316"/>
      <c r="FIL213" s="316"/>
      <c r="FIP213" s="316"/>
      <c r="FIT213" s="316"/>
      <c r="FIX213" s="316"/>
      <c r="FJB213" s="316"/>
      <c r="FJF213" s="316"/>
      <c r="FJJ213" s="316"/>
      <c r="FJN213" s="316"/>
      <c r="FJR213" s="316"/>
      <c r="FJV213" s="316"/>
      <c r="FJZ213" s="316"/>
      <c r="FKD213" s="316"/>
      <c r="FKH213" s="316"/>
      <c r="FKL213" s="316"/>
      <c r="FKP213" s="316"/>
      <c r="FKT213" s="316"/>
      <c r="FKX213" s="316"/>
      <c r="FLB213" s="316"/>
      <c r="FLF213" s="316"/>
      <c r="FLJ213" s="316"/>
      <c r="FLN213" s="316"/>
      <c r="FLR213" s="316"/>
      <c r="FLV213" s="316"/>
      <c r="FLZ213" s="316"/>
      <c r="FMD213" s="316"/>
      <c r="FMH213" s="316"/>
      <c r="FML213" s="316"/>
      <c r="FMP213" s="316"/>
      <c r="FMT213" s="316"/>
      <c r="FMX213" s="316"/>
      <c r="FNB213" s="316"/>
      <c r="FNF213" s="316"/>
      <c r="FNJ213" s="316"/>
      <c r="FNN213" s="316"/>
      <c r="FNR213" s="316"/>
      <c r="FNV213" s="316"/>
      <c r="FNZ213" s="316"/>
      <c r="FOD213" s="316"/>
      <c r="FOH213" s="316"/>
      <c r="FOL213" s="316"/>
      <c r="FOP213" s="316"/>
      <c r="FOT213" s="316"/>
      <c r="FOX213" s="316"/>
      <c r="FPB213" s="316"/>
      <c r="FPF213" s="316"/>
      <c r="FPJ213" s="316"/>
      <c r="FPN213" s="316"/>
      <c r="FPR213" s="316"/>
      <c r="FPV213" s="316"/>
      <c r="FPZ213" s="316"/>
      <c r="FQD213" s="316"/>
      <c r="FQH213" s="316"/>
      <c r="FQL213" s="316"/>
      <c r="FQP213" s="316"/>
      <c r="FQT213" s="316"/>
      <c r="FQX213" s="316"/>
      <c r="FRB213" s="316"/>
      <c r="FRF213" s="316"/>
      <c r="FRJ213" s="316"/>
      <c r="FRN213" s="316"/>
      <c r="FRR213" s="316"/>
      <c r="FRV213" s="316"/>
      <c r="FRZ213" s="316"/>
      <c r="FSD213" s="316"/>
      <c r="FSH213" s="316"/>
      <c r="FSL213" s="316"/>
      <c r="FSP213" s="316"/>
      <c r="FST213" s="316"/>
      <c r="FSX213" s="316"/>
      <c r="FTB213" s="316"/>
      <c r="FTF213" s="316"/>
      <c r="FTJ213" s="316"/>
      <c r="FTN213" s="316"/>
      <c r="FTR213" s="316"/>
      <c r="FTV213" s="316"/>
      <c r="FTZ213" s="316"/>
      <c r="FUD213" s="316"/>
      <c r="FUH213" s="316"/>
      <c r="FUL213" s="316"/>
      <c r="FUP213" s="316"/>
      <c r="FUT213" s="316"/>
      <c r="FUX213" s="316"/>
      <c r="FVB213" s="316"/>
      <c r="FVF213" s="316"/>
      <c r="FVJ213" s="316"/>
      <c r="FVN213" s="316"/>
      <c r="FVR213" s="316"/>
      <c r="FVV213" s="316"/>
      <c r="FVZ213" s="316"/>
      <c r="FWD213" s="316"/>
      <c r="FWH213" s="316"/>
      <c r="FWL213" s="316"/>
      <c r="FWP213" s="316"/>
      <c r="FWT213" s="316"/>
      <c r="FWX213" s="316"/>
      <c r="FXB213" s="316"/>
      <c r="FXF213" s="316"/>
      <c r="FXJ213" s="316"/>
      <c r="FXN213" s="316"/>
      <c r="FXR213" s="316"/>
      <c r="FXV213" s="316"/>
      <c r="FXZ213" s="316"/>
      <c r="FYD213" s="316"/>
      <c r="FYH213" s="316"/>
      <c r="FYL213" s="316"/>
      <c r="FYP213" s="316"/>
      <c r="FYT213" s="316"/>
      <c r="FYX213" s="316"/>
      <c r="FZB213" s="316"/>
      <c r="FZF213" s="316"/>
      <c r="FZJ213" s="316"/>
      <c r="FZN213" s="316"/>
      <c r="FZR213" s="316"/>
      <c r="FZV213" s="316"/>
      <c r="FZZ213" s="316"/>
      <c r="GAD213" s="316"/>
      <c r="GAH213" s="316"/>
      <c r="GAL213" s="316"/>
      <c r="GAP213" s="316"/>
      <c r="GAT213" s="316"/>
      <c r="GAX213" s="316"/>
      <c r="GBB213" s="316"/>
      <c r="GBF213" s="316"/>
      <c r="GBJ213" s="316"/>
      <c r="GBN213" s="316"/>
      <c r="GBR213" s="316"/>
      <c r="GBV213" s="316"/>
      <c r="GBZ213" s="316"/>
      <c r="GCD213" s="316"/>
      <c r="GCH213" s="316"/>
      <c r="GCL213" s="316"/>
      <c r="GCP213" s="316"/>
      <c r="GCT213" s="316"/>
      <c r="GCX213" s="316"/>
      <c r="GDB213" s="316"/>
      <c r="GDF213" s="316"/>
      <c r="GDJ213" s="316"/>
      <c r="GDN213" s="316"/>
      <c r="GDR213" s="316"/>
      <c r="GDV213" s="316"/>
      <c r="GDZ213" s="316"/>
      <c r="GED213" s="316"/>
      <c r="GEH213" s="316"/>
      <c r="GEL213" s="316"/>
      <c r="GEP213" s="316"/>
      <c r="GET213" s="316"/>
      <c r="GEX213" s="316"/>
      <c r="GFB213" s="316"/>
      <c r="GFF213" s="316"/>
      <c r="GFJ213" s="316"/>
      <c r="GFN213" s="316"/>
      <c r="GFR213" s="316"/>
      <c r="GFV213" s="316"/>
      <c r="GFZ213" s="316"/>
      <c r="GGD213" s="316"/>
      <c r="GGH213" s="316"/>
      <c r="GGL213" s="316"/>
      <c r="GGP213" s="316"/>
      <c r="GGT213" s="316"/>
      <c r="GGX213" s="316"/>
      <c r="GHB213" s="316"/>
      <c r="GHF213" s="316"/>
      <c r="GHJ213" s="316"/>
      <c r="GHN213" s="316"/>
      <c r="GHR213" s="316"/>
      <c r="GHV213" s="316"/>
      <c r="GHZ213" s="316"/>
      <c r="GID213" s="316"/>
      <c r="GIH213" s="316"/>
      <c r="GIL213" s="316"/>
      <c r="GIP213" s="316"/>
      <c r="GIT213" s="316"/>
      <c r="GIX213" s="316"/>
      <c r="GJB213" s="316"/>
      <c r="GJF213" s="316"/>
      <c r="GJJ213" s="316"/>
      <c r="GJN213" s="316"/>
      <c r="GJR213" s="316"/>
      <c r="GJV213" s="316"/>
      <c r="GJZ213" s="316"/>
      <c r="GKD213" s="316"/>
      <c r="GKH213" s="316"/>
      <c r="GKL213" s="316"/>
      <c r="GKP213" s="316"/>
      <c r="GKT213" s="316"/>
      <c r="GKX213" s="316"/>
      <c r="GLB213" s="316"/>
      <c r="GLF213" s="316"/>
      <c r="GLJ213" s="316"/>
      <c r="GLN213" s="316"/>
      <c r="GLR213" s="316"/>
      <c r="GLV213" s="316"/>
      <c r="GLZ213" s="316"/>
      <c r="GMD213" s="316"/>
      <c r="GMH213" s="316"/>
      <c r="GML213" s="316"/>
      <c r="GMP213" s="316"/>
      <c r="GMT213" s="316"/>
      <c r="GMX213" s="316"/>
      <c r="GNB213" s="316"/>
      <c r="GNF213" s="316"/>
      <c r="GNJ213" s="316"/>
      <c r="GNN213" s="316"/>
      <c r="GNR213" s="316"/>
      <c r="GNV213" s="316"/>
      <c r="GNZ213" s="316"/>
      <c r="GOD213" s="316"/>
      <c r="GOH213" s="316"/>
      <c r="GOL213" s="316"/>
      <c r="GOP213" s="316"/>
      <c r="GOT213" s="316"/>
      <c r="GOX213" s="316"/>
      <c r="GPB213" s="316"/>
      <c r="GPF213" s="316"/>
      <c r="GPJ213" s="316"/>
      <c r="GPN213" s="316"/>
      <c r="GPR213" s="316"/>
      <c r="GPV213" s="316"/>
      <c r="GPZ213" s="316"/>
      <c r="GQD213" s="316"/>
      <c r="GQH213" s="316"/>
      <c r="GQL213" s="316"/>
      <c r="GQP213" s="316"/>
      <c r="GQT213" s="316"/>
      <c r="GQX213" s="316"/>
      <c r="GRB213" s="316"/>
      <c r="GRF213" s="316"/>
      <c r="GRJ213" s="316"/>
      <c r="GRN213" s="316"/>
      <c r="GRR213" s="316"/>
      <c r="GRV213" s="316"/>
      <c r="GRZ213" s="316"/>
      <c r="GSD213" s="316"/>
      <c r="GSH213" s="316"/>
      <c r="GSL213" s="316"/>
      <c r="GSP213" s="316"/>
      <c r="GST213" s="316"/>
      <c r="GSX213" s="316"/>
      <c r="GTB213" s="316"/>
      <c r="GTF213" s="316"/>
      <c r="GTJ213" s="316"/>
      <c r="GTN213" s="316"/>
      <c r="GTR213" s="316"/>
      <c r="GTV213" s="316"/>
      <c r="GTZ213" s="316"/>
      <c r="GUD213" s="316"/>
      <c r="GUH213" s="316"/>
      <c r="GUL213" s="316"/>
      <c r="GUP213" s="316"/>
      <c r="GUT213" s="316"/>
      <c r="GUX213" s="316"/>
      <c r="GVB213" s="316"/>
      <c r="GVF213" s="316"/>
      <c r="GVJ213" s="316"/>
      <c r="GVN213" s="316"/>
      <c r="GVR213" s="316"/>
      <c r="GVV213" s="316"/>
      <c r="GVZ213" s="316"/>
      <c r="GWD213" s="316"/>
      <c r="GWH213" s="316"/>
      <c r="GWL213" s="316"/>
      <c r="GWP213" s="316"/>
      <c r="GWT213" s="316"/>
      <c r="GWX213" s="316"/>
      <c r="GXB213" s="316"/>
      <c r="GXF213" s="316"/>
      <c r="GXJ213" s="316"/>
      <c r="GXN213" s="316"/>
      <c r="GXR213" s="316"/>
      <c r="GXV213" s="316"/>
      <c r="GXZ213" s="316"/>
      <c r="GYD213" s="316"/>
      <c r="GYH213" s="316"/>
      <c r="GYL213" s="316"/>
      <c r="GYP213" s="316"/>
      <c r="GYT213" s="316"/>
      <c r="GYX213" s="316"/>
      <c r="GZB213" s="316"/>
      <c r="GZF213" s="316"/>
      <c r="GZJ213" s="316"/>
      <c r="GZN213" s="316"/>
      <c r="GZR213" s="316"/>
      <c r="GZV213" s="316"/>
      <c r="GZZ213" s="316"/>
      <c r="HAD213" s="316"/>
      <c r="HAH213" s="316"/>
      <c r="HAL213" s="316"/>
      <c r="HAP213" s="316"/>
      <c r="HAT213" s="316"/>
      <c r="HAX213" s="316"/>
      <c r="HBB213" s="316"/>
      <c r="HBF213" s="316"/>
      <c r="HBJ213" s="316"/>
      <c r="HBN213" s="316"/>
      <c r="HBR213" s="316"/>
      <c r="HBV213" s="316"/>
      <c r="HBZ213" s="316"/>
      <c r="HCD213" s="316"/>
      <c r="HCH213" s="316"/>
      <c r="HCL213" s="316"/>
      <c r="HCP213" s="316"/>
      <c r="HCT213" s="316"/>
      <c r="HCX213" s="316"/>
      <c r="HDB213" s="316"/>
      <c r="HDF213" s="316"/>
      <c r="HDJ213" s="316"/>
      <c r="HDN213" s="316"/>
      <c r="HDR213" s="316"/>
      <c r="HDV213" s="316"/>
      <c r="HDZ213" s="316"/>
      <c r="HED213" s="316"/>
      <c r="HEH213" s="316"/>
      <c r="HEL213" s="316"/>
      <c r="HEP213" s="316"/>
      <c r="HET213" s="316"/>
      <c r="HEX213" s="316"/>
      <c r="HFB213" s="316"/>
      <c r="HFF213" s="316"/>
      <c r="HFJ213" s="316"/>
      <c r="HFN213" s="316"/>
      <c r="HFR213" s="316"/>
      <c r="HFV213" s="316"/>
      <c r="HFZ213" s="316"/>
      <c r="HGD213" s="316"/>
      <c r="HGH213" s="316"/>
      <c r="HGL213" s="316"/>
      <c r="HGP213" s="316"/>
      <c r="HGT213" s="316"/>
      <c r="HGX213" s="316"/>
      <c r="HHB213" s="316"/>
      <c r="HHF213" s="316"/>
      <c r="HHJ213" s="316"/>
      <c r="HHN213" s="316"/>
      <c r="HHR213" s="316"/>
      <c r="HHV213" s="316"/>
      <c r="HHZ213" s="316"/>
      <c r="HID213" s="316"/>
      <c r="HIH213" s="316"/>
      <c r="HIL213" s="316"/>
      <c r="HIP213" s="316"/>
      <c r="HIT213" s="316"/>
      <c r="HIX213" s="316"/>
      <c r="HJB213" s="316"/>
      <c r="HJF213" s="316"/>
      <c r="HJJ213" s="316"/>
      <c r="HJN213" s="316"/>
      <c r="HJR213" s="316"/>
      <c r="HJV213" s="316"/>
      <c r="HJZ213" s="316"/>
      <c r="HKD213" s="316"/>
      <c r="HKH213" s="316"/>
      <c r="HKL213" s="316"/>
      <c r="HKP213" s="316"/>
      <c r="HKT213" s="316"/>
      <c r="HKX213" s="316"/>
      <c r="HLB213" s="316"/>
      <c r="HLF213" s="316"/>
      <c r="HLJ213" s="316"/>
      <c r="HLN213" s="316"/>
      <c r="HLR213" s="316"/>
      <c r="HLV213" s="316"/>
      <c r="HLZ213" s="316"/>
      <c r="HMD213" s="316"/>
      <c r="HMH213" s="316"/>
      <c r="HML213" s="316"/>
      <c r="HMP213" s="316"/>
      <c r="HMT213" s="316"/>
      <c r="HMX213" s="316"/>
      <c r="HNB213" s="316"/>
      <c r="HNF213" s="316"/>
      <c r="HNJ213" s="316"/>
      <c r="HNN213" s="316"/>
      <c r="HNR213" s="316"/>
      <c r="HNV213" s="316"/>
      <c r="HNZ213" s="316"/>
      <c r="HOD213" s="316"/>
      <c r="HOH213" s="316"/>
      <c r="HOL213" s="316"/>
      <c r="HOP213" s="316"/>
      <c r="HOT213" s="316"/>
      <c r="HOX213" s="316"/>
      <c r="HPB213" s="316"/>
      <c r="HPF213" s="316"/>
      <c r="HPJ213" s="316"/>
      <c r="HPN213" s="316"/>
      <c r="HPR213" s="316"/>
      <c r="HPV213" s="316"/>
      <c r="HPZ213" s="316"/>
      <c r="HQD213" s="316"/>
      <c r="HQH213" s="316"/>
      <c r="HQL213" s="316"/>
      <c r="HQP213" s="316"/>
      <c r="HQT213" s="316"/>
      <c r="HQX213" s="316"/>
      <c r="HRB213" s="316"/>
      <c r="HRF213" s="316"/>
      <c r="HRJ213" s="316"/>
      <c r="HRN213" s="316"/>
      <c r="HRR213" s="316"/>
      <c r="HRV213" s="316"/>
      <c r="HRZ213" s="316"/>
      <c r="HSD213" s="316"/>
      <c r="HSH213" s="316"/>
      <c r="HSL213" s="316"/>
      <c r="HSP213" s="316"/>
      <c r="HST213" s="316"/>
      <c r="HSX213" s="316"/>
      <c r="HTB213" s="316"/>
      <c r="HTF213" s="316"/>
      <c r="HTJ213" s="316"/>
      <c r="HTN213" s="316"/>
      <c r="HTR213" s="316"/>
      <c r="HTV213" s="316"/>
      <c r="HTZ213" s="316"/>
      <c r="HUD213" s="316"/>
      <c r="HUH213" s="316"/>
      <c r="HUL213" s="316"/>
      <c r="HUP213" s="316"/>
      <c r="HUT213" s="316"/>
      <c r="HUX213" s="316"/>
      <c r="HVB213" s="316"/>
      <c r="HVF213" s="316"/>
      <c r="HVJ213" s="316"/>
      <c r="HVN213" s="316"/>
      <c r="HVR213" s="316"/>
      <c r="HVV213" s="316"/>
      <c r="HVZ213" s="316"/>
      <c r="HWD213" s="316"/>
      <c r="HWH213" s="316"/>
      <c r="HWL213" s="316"/>
      <c r="HWP213" s="316"/>
      <c r="HWT213" s="316"/>
      <c r="HWX213" s="316"/>
      <c r="HXB213" s="316"/>
      <c r="HXF213" s="316"/>
      <c r="HXJ213" s="316"/>
      <c r="HXN213" s="316"/>
      <c r="HXR213" s="316"/>
      <c r="HXV213" s="316"/>
      <c r="HXZ213" s="316"/>
      <c r="HYD213" s="316"/>
      <c r="HYH213" s="316"/>
      <c r="HYL213" s="316"/>
      <c r="HYP213" s="316"/>
      <c r="HYT213" s="316"/>
      <c r="HYX213" s="316"/>
      <c r="HZB213" s="316"/>
      <c r="HZF213" s="316"/>
      <c r="HZJ213" s="316"/>
      <c r="HZN213" s="316"/>
      <c r="HZR213" s="316"/>
      <c r="HZV213" s="316"/>
      <c r="HZZ213" s="316"/>
      <c r="IAD213" s="316"/>
      <c r="IAH213" s="316"/>
      <c r="IAL213" s="316"/>
      <c r="IAP213" s="316"/>
      <c r="IAT213" s="316"/>
      <c r="IAX213" s="316"/>
      <c r="IBB213" s="316"/>
      <c r="IBF213" s="316"/>
      <c r="IBJ213" s="316"/>
      <c r="IBN213" s="316"/>
      <c r="IBR213" s="316"/>
      <c r="IBV213" s="316"/>
      <c r="IBZ213" s="316"/>
      <c r="ICD213" s="316"/>
      <c r="ICH213" s="316"/>
      <c r="ICL213" s="316"/>
      <c r="ICP213" s="316"/>
      <c r="ICT213" s="316"/>
      <c r="ICX213" s="316"/>
      <c r="IDB213" s="316"/>
      <c r="IDF213" s="316"/>
      <c r="IDJ213" s="316"/>
      <c r="IDN213" s="316"/>
      <c r="IDR213" s="316"/>
      <c r="IDV213" s="316"/>
      <c r="IDZ213" s="316"/>
      <c r="IED213" s="316"/>
      <c r="IEH213" s="316"/>
      <c r="IEL213" s="316"/>
      <c r="IEP213" s="316"/>
      <c r="IET213" s="316"/>
      <c r="IEX213" s="316"/>
      <c r="IFB213" s="316"/>
      <c r="IFF213" s="316"/>
      <c r="IFJ213" s="316"/>
      <c r="IFN213" s="316"/>
      <c r="IFR213" s="316"/>
      <c r="IFV213" s="316"/>
      <c r="IFZ213" s="316"/>
      <c r="IGD213" s="316"/>
      <c r="IGH213" s="316"/>
      <c r="IGL213" s="316"/>
      <c r="IGP213" s="316"/>
      <c r="IGT213" s="316"/>
      <c r="IGX213" s="316"/>
      <c r="IHB213" s="316"/>
      <c r="IHF213" s="316"/>
      <c r="IHJ213" s="316"/>
      <c r="IHN213" s="316"/>
      <c r="IHR213" s="316"/>
      <c r="IHV213" s="316"/>
      <c r="IHZ213" s="316"/>
      <c r="IID213" s="316"/>
      <c r="IIH213" s="316"/>
      <c r="IIL213" s="316"/>
      <c r="IIP213" s="316"/>
      <c r="IIT213" s="316"/>
      <c r="IIX213" s="316"/>
      <c r="IJB213" s="316"/>
      <c r="IJF213" s="316"/>
      <c r="IJJ213" s="316"/>
      <c r="IJN213" s="316"/>
      <c r="IJR213" s="316"/>
      <c r="IJV213" s="316"/>
      <c r="IJZ213" s="316"/>
      <c r="IKD213" s="316"/>
      <c r="IKH213" s="316"/>
      <c r="IKL213" s="316"/>
      <c r="IKP213" s="316"/>
      <c r="IKT213" s="316"/>
      <c r="IKX213" s="316"/>
      <c r="ILB213" s="316"/>
      <c r="ILF213" s="316"/>
      <c r="ILJ213" s="316"/>
      <c r="ILN213" s="316"/>
      <c r="ILR213" s="316"/>
      <c r="ILV213" s="316"/>
      <c r="ILZ213" s="316"/>
      <c r="IMD213" s="316"/>
      <c r="IMH213" s="316"/>
      <c r="IML213" s="316"/>
      <c r="IMP213" s="316"/>
      <c r="IMT213" s="316"/>
      <c r="IMX213" s="316"/>
      <c r="INB213" s="316"/>
      <c r="INF213" s="316"/>
      <c r="INJ213" s="316"/>
      <c r="INN213" s="316"/>
      <c r="INR213" s="316"/>
      <c r="INV213" s="316"/>
      <c r="INZ213" s="316"/>
      <c r="IOD213" s="316"/>
      <c r="IOH213" s="316"/>
      <c r="IOL213" s="316"/>
      <c r="IOP213" s="316"/>
      <c r="IOT213" s="316"/>
      <c r="IOX213" s="316"/>
      <c r="IPB213" s="316"/>
      <c r="IPF213" s="316"/>
      <c r="IPJ213" s="316"/>
      <c r="IPN213" s="316"/>
      <c r="IPR213" s="316"/>
      <c r="IPV213" s="316"/>
      <c r="IPZ213" s="316"/>
      <c r="IQD213" s="316"/>
      <c r="IQH213" s="316"/>
      <c r="IQL213" s="316"/>
      <c r="IQP213" s="316"/>
      <c r="IQT213" s="316"/>
      <c r="IQX213" s="316"/>
      <c r="IRB213" s="316"/>
      <c r="IRF213" s="316"/>
      <c r="IRJ213" s="316"/>
      <c r="IRN213" s="316"/>
      <c r="IRR213" s="316"/>
      <c r="IRV213" s="316"/>
      <c r="IRZ213" s="316"/>
      <c r="ISD213" s="316"/>
      <c r="ISH213" s="316"/>
      <c r="ISL213" s="316"/>
      <c r="ISP213" s="316"/>
      <c r="IST213" s="316"/>
      <c r="ISX213" s="316"/>
      <c r="ITB213" s="316"/>
      <c r="ITF213" s="316"/>
      <c r="ITJ213" s="316"/>
      <c r="ITN213" s="316"/>
      <c r="ITR213" s="316"/>
      <c r="ITV213" s="316"/>
      <c r="ITZ213" s="316"/>
      <c r="IUD213" s="316"/>
      <c r="IUH213" s="316"/>
      <c r="IUL213" s="316"/>
      <c r="IUP213" s="316"/>
      <c r="IUT213" s="316"/>
      <c r="IUX213" s="316"/>
      <c r="IVB213" s="316"/>
      <c r="IVF213" s="316"/>
      <c r="IVJ213" s="316"/>
      <c r="IVN213" s="316"/>
      <c r="IVR213" s="316"/>
      <c r="IVV213" s="316"/>
      <c r="IVZ213" s="316"/>
      <c r="IWD213" s="316"/>
      <c r="IWH213" s="316"/>
      <c r="IWL213" s="316"/>
      <c r="IWP213" s="316"/>
      <c r="IWT213" s="316"/>
      <c r="IWX213" s="316"/>
      <c r="IXB213" s="316"/>
      <c r="IXF213" s="316"/>
      <c r="IXJ213" s="316"/>
      <c r="IXN213" s="316"/>
      <c r="IXR213" s="316"/>
      <c r="IXV213" s="316"/>
      <c r="IXZ213" s="316"/>
      <c r="IYD213" s="316"/>
      <c r="IYH213" s="316"/>
      <c r="IYL213" s="316"/>
      <c r="IYP213" s="316"/>
      <c r="IYT213" s="316"/>
      <c r="IYX213" s="316"/>
      <c r="IZB213" s="316"/>
      <c r="IZF213" s="316"/>
      <c r="IZJ213" s="316"/>
      <c r="IZN213" s="316"/>
      <c r="IZR213" s="316"/>
      <c r="IZV213" s="316"/>
      <c r="IZZ213" s="316"/>
      <c r="JAD213" s="316"/>
      <c r="JAH213" s="316"/>
      <c r="JAL213" s="316"/>
      <c r="JAP213" s="316"/>
      <c r="JAT213" s="316"/>
      <c r="JAX213" s="316"/>
      <c r="JBB213" s="316"/>
      <c r="JBF213" s="316"/>
      <c r="JBJ213" s="316"/>
      <c r="JBN213" s="316"/>
      <c r="JBR213" s="316"/>
      <c r="JBV213" s="316"/>
      <c r="JBZ213" s="316"/>
      <c r="JCD213" s="316"/>
      <c r="JCH213" s="316"/>
      <c r="JCL213" s="316"/>
      <c r="JCP213" s="316"/>
      <c r="JCT213" s="316"/>
      <c r="JCX213" s="316"/>
      <c r="JDB213" s="316"/>
      <c r="JDF213" s="316"/>
      <c r="JDJ213" s="316"/>
      <c r="JDN213" s="316"/>
      <c r="JDR213" s="316"/>
      <c r="JDV213" s="316"/>
      <c r="JDZ213" s="316"/>
      <c r="JED213" s="316"/>
      <c r="JEH213" s="316"/>
      <c r="JEL213" s="316"/>
      <c r="JEP213" s="316"/>
      <c r="JET213" s="316"/>
      <c r="JEX213" s="316"/>
      <c r="JFB213" s="316"/>
      <c r="JFF213" s="316"/>
      <c r="JFJ213" s="316"/>
      <c r="JFN213" s="316"/>
      <c r="JFR213" s="316"/>
      <c r="JFV213" s="316"/>
      <c r="JFZ213" s="316"/>
      <c r="JGD213" s="316"/>
      <c r="JGH213" s="316"/>
      <c r="JGL213" s="316"/>
      <c r="JGP213" s="316"/>
      <c r="JGT213" s="316"/>
      <c r="JGX213" s="316"/>
      <c r="JHB213" s="316"/>
      <c r="JHF213" s="316"/>
      <c r="JHJ213" s="316"/>
      <c r="JHN213" s="316"/>
      <c r="JHR213" s="316"/>
      <c r="JHV213" s="316"/>
      <c r="JHZ213" s="316"/>
      <c r="JID213" s="316"/>
      <c r="JIH213" s="316"/>
      <c r="JIL213" s="316"/>
      <c r="JIP213" s="316"/>
      <c r="JIT213" s="316"/>
      <c r="JIX213" s="316"/>
      <c r="JJB213" s="316"/>
      <c r="JJF213" s="316"/>
      <c r="JJJ213" s="316"/>
      <c r="JJN213" s="316"/>
      <c r="JJR213" s="316"/>
      <c r="JJV213" s="316"/>
      <c r="JJZ213" s="316"/>
      <c r="JKD213" s="316"/>
      <c r="JKH213" s="316"/>
      <c r="JKL213" s="316"/>
      <c r="JKP213" s="316"/>
      <c r="JKT213" s="316"/>
      <c r="JKX213" s="316"/>
      <c r="JLB213" s="316"/>
      <c r="JLF213" s="316"/>
      <c r="JLJ213" s="316"/>
      <c r="JLN213" s="316"/>
      <c r="JLR213" s="316"/>
      <c r="JLV213" s="316"/>
      <c r="JLZ213" s="316"/>
      <c r="JMD213" s="316"/>
      <c r="JMH213" s="316"/>
      <c r="JML213" s="316"/>
      <c r="JMP213" s="316"/>
      <c r="JMT213" s="316"/>
      <c r="JMX213" s="316"/>
      <c r="JNB213" s="316"/>
      <c r="JNF213" s="316"/>
      <c r="JNJ213" s="316"/>
      <c r="JNN213" s="316"/>
      <c r="JNR213" s="316"/>
      <c r="JNV213" s="316"/>
      <c r="JNZ213" s="316"/>
      <c r="JOD213" s="316"/>
      <c r="JOH213" s="316"/>
      <c r="JOL213" s="316"/>
      <c r="JOP213" s="316"/>
      <c r="JOT213" s="316"/>
      <c r="JOX213" s="316"/>
      <c r="JPB213" s="316"/>
      <c r="JPF213" s="316"/>
      <c r="JPJ213" s="316"/>
      <c r="JPN213" s="316"/>
      <c r="JPR213" s="316"/>
      <c r="JPV213" s="316"/>
      <c r="JPZ213" s="316"/>
      <c r="JQD213" s="316"/>
      <c r="JQH213" s="316"/>
      <c r="JQL213" s="316"/>
      <c r="JQP213" s="316"/>
      <c r="JQT213" s="316"/>
      <c r="JQX213" s="316"/>
      <c r="JRB213" s="316"/>
      <c r="JRF213" s="316"/>
      <c r="JRJ213" s="316"/>
      <c r="JRN213" s="316"/>
      <c r="JRR213" s="316"/>
      <c r="JRV213" s="316"/>
      <c r="JRZ213" s="316"/>
      <c r="JSD213" s="316"/>
      <c r="JSH213" s="316"/>
      <c r="JSL213" s="316"/>
      <c r="JSP213" s="316"/>
      <c r="JST213" s="316"/>
      <c r="JSX213" s="316"/>
      <c r="JTB213" s="316"/>
      <c r="JTF213" s="316"/>
      <c r="JTJ213" s="316"/>
      <c r="JTN213" s="316"/>
      <c r="JTR213" s="316"/>
      <c r="JTV213" s="316"/>
      <c r="JTZ213" s="316"/>
      <c r="JUD213" s="316"/>
      <c r="JUH213" s="316"/>
      <c r="JUL213" s="316"/>
      <c r="JUP213" s="316"/>
      <c r="JUT213" s="316"/>
      <c r="JUX213" s="316"/>
      <c r="JVB213" s="316"/>
      <c r="JVF213" s="316"/>
      <c r="JVJ213" s="316"/>
      <c r="JVN213" s="316"/>
      <c r="JVR213" s="316"/>
      <c r="JVV213" s="316"/>
      <c r="JVZ213" s="316"/>
      <c r="JWD213" s="316"/>
      <c r="JWH213" s="316"/>
      <c r="JWL213" s="316"/>
      <c r="JWP213" s="316"/>
      <c r="JWT213" s="316"/>
      <c r="JWX213" s="316"/>
      <c r="JXB213" s="316"/>
      <c r="JXF213" s="316"/>
      <c r="JXJ213" s="316"/>
      <c r="JXN213" s="316"/>
      <c r="JXR213" s="316"/>
      <c r="JXV213" s="316"/>
      <c r="JXZ213" s="316"/>
      <c r="JYD213" s="316"/>
      <c r="JYH213" s="316"/>
      <c r="JYL213" s="316"/>
      <c r="JYP213" s="316"/>
      <c r="JYT213" s="316"/>
      <c r="JYX213" s="316"/>
      <c r="JZB213" s="316"/>
      <c r="JZF213" s="316"/>
      <c r="JZJ213" s="316"/>
      <c r="JZN213" s="316"/>
      <c r="JZR213" s="316"/>
      <c r="JZV213" s="316"/>
      <c r="JZZ213" s="316"/>
      <c r="KAD213" s="316"/>
      <c r="KAH213" s="316"/>
      <c r="KAL213" s="316"/>
      <c r="KAP213" s="316"/>
      <c r="KAT213" s="316"/>
      <c r="KAX213" s="316"/>
      <c r="KBB213" s="316"/>
      <c r="KBF213" s="316"/>
      <c r="KBJ213" s="316"/>
      <c r="KBN213" s="316"/>
      <c r="KBR213" s="316"/>
      <c r="KBV213" s="316"/>
      <c r="KBZ213" s="316"/>
      <c r="KCD213" s="316"/>
      <c r="KCH213" s="316"/>
      <c r="KCL213" s="316"/>
      <c r="KCP213" s="316"/>
      <c r="KCT213" s="316"/>
      <c r="KCX213" s="316"/>
      <c r="KDB213" s="316"/>
      <c r="KDF213" s="316"/>
      <c r="KDJ213" s="316"/>
      <c r="KDN213" s="316"/>
      <c r="KDR213" s="316"/>
      <c r="KDV213" s="316"/>
      <c r="KDZ213" s="316"/>
      <c r="KED213" s="316"/>
      <c r="KEH213" s="316"/>
      <c r="KEL213" s="316"/>
      <c r="KEP213" s="316"/>
      <c r="KET213" s="316"/>
      <c r="KEX213" s="316"/>
      <c r="KFB213" s="316"/>
      <c r="KFF213" s="316"/>
      <c r="KFJ213" s="316"/>
      <c r="KFN213" s="316"/>
      <c r="KFR213" s="316"/>
      <c r="KFV213" s="316"/>
      <c r="KFZ213" s="316"/>
      <c r="KGD213" s="316"/>
      <c r="KGH213" s="316"/>
      <c r="KGL213" s="316"/>
      <c r="KGP213" s="316"/>
      <c r="KGT213" s="316"/>
      <c r="KGX213" s="316"/>
      <c r="KHB213" s="316"/>
      <c r="KHF213" s="316"/>
      <c r="KHJ213" s="316"/>
      <c r="KHN213" s="316"/>
      <c r="KHR213" s="316"/>
      <c r="KHV213" s="316"/>
      <c r="KHZ213" s="316"/>
      <c r="KID213" s="316"/>
      <c r="KIH213" s="316"/>
      <c r="KIL213" s="316"/>
      <c r="KIP213" s="316"/>
      <c r="KIT213" s="316"/>
      <c r="KIX213" s="316"/>
      <c r="KJB213" s="316"/>
      <c r="KJF213" s="316"/>
      <c r="KJJ213" s="316"/>
      <c r="KJN213" s="316"/>
      <c r="KJR213" s="316"/>
      <c r="KJV213" s="316"/>
      <c r="KJZ213" s="316"/>
      <c r="KKD213" s="316"/>
      <c r="KKH213" s="316"/>
      <c r="KKL213" s="316"/>
      <c r="KKP213" s="316"/>
      <c r="KKT213" s="316"/>
      <c r="KKX213" s="316"/>
      <c r="KLB213" s="316"/>
      <c r="KLF213" s="316"/>
      <c r="KLJ213" s="316"/>
      <c r="KLN213" s="316"/>
      <c r="KLR213" s="316"/>
      <c r="KLV213" s="316"/>
      <c r="KLZ213" s="316"/>
      <c r="KMD213" s="316"/>
      <c r="KMH213" s="316"/>
      <c r="KML213" s="316"/>
      <c r="KMP213" s="316"/>
      <c r="KMT213" s="316"/>
      <c r="KMX213" s="316"/>
      <c r="KNB213" s="316"/>
      <c r="KNF213" s="316"/>
      <c r="KNJ213" s="316"/>
      <c r="KNN213" s="316"/>
      <c r="KNR213" s="316"/>
      <c r="KNV213" s="316"/>
      <c r="KNZ213" s="316"/>
      <c r="KOD213" s="316"/>
      <c r="KOH213" s="316"/>
      <c r="KOL213" s="316"/>
      <c r="KOP213" s="316"/>
      <c r="KOT213" s="316"/>
      <c r="KOX213" s="316"/>
      <c r="KPB213" s="316"/>
      <c r="KPF213" s="316"/>
      <c r="KPJ213" s="316"/>
      <c r="KPN213" s="316"/>
      <c r="KPR213" s="316"/>
      <c r="KPV213" s="316"/>
      <c r="KPZ213" s="316"/>
      <c r="KQD213" s="316"/>
      <c r="KQH213" s="316"/>
      <c r="KQL213" s="316"/>
      <c r="KQP213" s="316"/>
      <c r="KQT213" s="316"/>
      <c r="KQX213" s="316"/>
      <c r="KRB213" s="316"/>
      <c r="KRF213" s="316"/>
      <c r="KRJ213" s="316"/>
      <c r="KRN213" s="316"/>
      <c r="KRR213" s="316"/>
      <c r="KRV213" s="316"/>
      <c r="KRZ213" s="316"/>
      <c r="KSD213" s="316"/>
      <c r="KSH213" s="316"/>
      <c r="KSL213" s="316"/>
      <c r="KSP213" s="316"/>
      <c r="KST213" s="316"/>
      <c r="KSX213" s="316"/>
      <c r="KTB213" s="316"/>
      <c r="KTF213" s="316"/>
      <c r="KTJ213" s="316"/>
      <c r="KTN213" s="316"/>
      <c r="KTR213" s="316"/>
      <c r="KTV213" s="316"/>
      <c r="KTZ213" s="316"/>
      <c r="KUD213" s="316"/>
      <c r="KUH213" s="316"/>
      <c r="KUL213" s="316"/>
      <c r="KUP213" s="316"/>
      <c r="KUT213" s="316"/>
      <c r="KUX213" s="316"/>
      <c r="KVB213" s="316"/>
      <c r="KVF213" s="316"/>
      <c r="KVJ213" s="316"/>
      <c r="KVN213" s="316"/>
      <c r="KVR213" s="316"/>
      <c r="KVV213" s="316"/>
      <c r="KVZ213" s="316"/>
      <c r="KWD213" s="316"/>
      <c r="KWH213" s="316"/>
      <c r="KWL213" s="316"/>
      <c r="KWP213" s="316"/>
      <c r="KWT213" s="316"/>
      <c r="KWX213" s="316"/>
      <c r="KXB213" s="316"/>
      <c r="KXF213" s="316"/>
      <c r="KXJ213" s="316"/>
      <c r="KXN213" s="316"/>
      <c r="KXR213" s="316"/>
      <c r="KXV213" s="316"/>
      <c r="KXZ213" s="316"/>
      <c r="KYD213" s="316"/>
      <c r="KYH213" s="316"/>
      <c r="KYL213" s="316"/>
      <c r="KYP213" s="316"/>
      <c r="KYT213" s="316"/>
      <c r="KYX213" s="316"/>
      <c r="KZB213" s="316"/>
      <c r="KZF213" s="316"/>
      <c r="KZJ213" s="316"/>
      <c r="KZN213" s="316"/>
      <c r="KZR213" s="316"/>
      <c r="KZV213" s="316"/>
      <c r="KZZ213" s="316"/>
      <c r="LAD213" s="316"/>
      <c r="LAH213" s="316"/>
      <c r="LAL213" s="316"/>
      <c r="LAP213" s="316"/>
      <c r="LAT213" s="316"/>
      <c r="LAX213" s="316"/>
      <c r="LBB213" s="316"/>
      <c r="LBF213" s="316"/>
      <c r="LBJ213" s="316"/>
      <c r="LBN213" s="316"/>
      <c r="LBR213" s="316"/>
      <c r="LBV213" s="316"/>
      <c r="LBZ213" s="316"/>
      <c r="LCD213" s="316"/>
      <c r="LCH213" s="316"/>
      <c r="LCL213" s="316"/>
      <c r="LCP213" s="316"/>
      <c r="LCT213" s="316"/>
      <c r="LCX213" s="316"/>
      <c r="LDB213" s="316"/>
      <c r="LDF213" s="316"/>
      <c r="LDJ213" s="316"/>
      <c r="LDN213" s="316"/>
      <c r="LDR213" s="316"/>
      <c r="LDV213" s="316"/>
      <c r="LDZ213" s="316"/>
      <c r="LED213" s="316"/>
      <c r="LEH213" s="316"/>
      <c r="LEL213" s="316"/>
      <c r="LEP213" s="316"/>
      <c r="LET213" s="316"/>
      <c r="LEX213" s="316"/>
      <c r="LFB213" s="316"/>
      <c r="LFF213" s="316"/>
      <c r="LFJ213" s="316"/>
      <c r="LFN213" s="316"/>
      <c r="LFR213" s="316"/>
      <c r="LFV213" s="316"/>
      <c r="LFZ213" s="316"/>
      <c r="LGD213" s="316"/>
      <c r="LGH213" s="316"/>
      <c r="LGL213" s="316"/>
      <c r="LGP213" s="316"/>
      <c r="LGT213" s="316"/>
      <c r="LGX213" s="316"/>
      <c r="LHB213" s="316"/>
      <c r="LHF213" s="316"/>
      <c r="LHJ213" s="316"/>
      <c r="LHN213" s="316"/>
      <c r="LHR213" s="316"/>
      <c r="LHV213" s="316"/>
      <c r="LHZ213" s="316"/>
      <c r="LID213" s="316"/>
      <c r="LIH213" s="316"/>
      <c r="LIL213" s="316"/>
      <c r="LIP213" s="316"/>
      <c r="LIT213" s="316"/>
      <c r="LIX213" s="316"/>
      <c r="LJB213" s="316"/>
      <c r="LJF213" s="316"/>
      <c r="LJJ213" s="316"/>
      <c r="LJN213" s="316"/>
      <c r="LJR213" s="316"/>
      <c r="LJV213" s="316"/>
      <c r="LJZ213" s="316"/>
      <c r="LKD213" s="316"/>
      <c r="LKH213" s="316"/>
      <c r="LKL213" s="316"/>
      <c r="LKP213" s="316"/>
      <c r="LKT213" s="316"/>
      <c r="LKX213" s="316"/>
      <c r="LLB213" s="316"/>
      <c r="LLF213" s="316"/>
      <c r="LLJ213" s="316"/>
      <c r="LLN213" s="316"/>
      <c r="LLR213" s="316"/>
      <c r="LLV213" s="316"/>
      <c r="LLZ213" s="316"/>
      <c r="LMD213" s="316"/>
      <c r="LMH213" s="316"/>
      <c r="LML213" s="316"/>
      <c r="LMP213" s="316"/>
      <c r="LMT213" s="316"/>
      <c r="LMX213" s="316"/>
      <c r="LNB213" s="316"/>
      <c r="LNF213" s="316"/>
      <c r="LNJ213" s="316"/>
      <c r="LNN213" s="316"/>
      <c r="LNR213" s="316"/>
      <c r="LNV213" s="316"/>
      <c r="LNZ213" s="316"/>
      <c r="LOD213" s="316"/>
      <c r="LOH213" s="316"/>
      <c r="LOL213" s="316"/>
      <c r="LOP213" s="316"/>
      <c r="LOT213" s="316"/>
      <c r="LOX213" s="316"/>
      <c r="LPB213" s="316"/>
      <c r="LPF213" s="316"/>
      <c r="LPJ213" s="316"/>
      <c r="LPN213" s="316"/>
      <c r="LPR213" s="316"/>
      <c r="LPV213" s="316"/>
      <c r="LPZ213" s="316"/>
      <c r="LQD213" s="316"/>
      <c r="LQH213" s="316"/>
      <c r="LQL213" s="316"/>
      <c r="LQP213" s="316"/>
      <c r="LQT213" s="316"/>
      <c r="LQX213" s="316"/>
      <c r="LRB213" s="316"/>
      <c r="LRF213" s="316"/>
      <c r="LRJ213" s="316"/>
      <c r="LRN213" s="316"/>
      <c r="LRR213" s="316"/>
      <c r="LRV213" s="316"/>
      <c r="LRZ213" s="316"/>
      <c r="LSD213" s="316"/>
      <c r="LSH213" s="316"/>
      <c r="LSL213" s="316"/>
      <c r="LSP213" s="316"/>
      <c r="LST213" s="316"/>
      <c r="LSX213" s="316"/>
      <c r="LTB213" s="316"/>
      <c r="LTF213" s="316"/>
      <c r="LTJ213" s="316"/>
      <c r="LTN213" s="316"/>
      <c r="LTR213" s="316"/>
      <c r="LTV213" s="316"/>
      <c r="LTZ213" s="316"/>
      <c r="LUD213" s="316"/>
      <c r="LUH213" s="316"/>
      <c r="LUL213" s="316"/>
      <c r="LUP213" s="316"/>
      <c r="LUT213" s="316"/>
      <c r="LUX213" s="316"/>
      <c r="LVB213" s="316"/>
      <c r="LVF213" s="316"/>
      <c r="LVJ213" s="316"/>
      <c r="LVN213" s="316"/>
      <c r="LVR213" s="316"/>
      <c r="LVV213" s="316"/>
      <c r="LVZ213" s="316"/>
      <c r="LWD213" s="316"/>
      <c r="LWH213" s="316"/>
      <c r="LWL213" s="316"/>
      <c r="LWP213" s="316"/>
      <c r="LWT213" s="316"/>
      <c r="LWX213" s="316"/>
      <c r="LXB213" s="316"/>
      <c r="LXF213" s="316"/>
      <c r="LXJ213" s="316"/>
      <c r="LXN213" s="316"/>
      <c r="LXR213" s="316"/>
      <c r="LXV213" s="316"/>
      <c r="LXZ213" s="316"/>
      <c r="LYD213" s="316"/>
      <c r="LYH213" s="316"/>
      <c r="LYL213" s="316"/>
      <c r="LYP213" s="316"/>
      <c r="LYT213" s="316"/>
      <c r="LYX213" s="316"/>
      <c r="LZB213" s="316"/>
      <c r="LZF213" s="316"/>
      <c r="LZJ213" s="316"/>
      <c r="LZN213" s="316"/>
      <c r="LZR213" s="316"/>
      <c r="LZV213" s="316"/>
      <c r="LZZ213" s="316"/>
      <c r="MAD213" s="316"/>
      <c r="MAH213" s="316"/>
      <c r="MAL213" s="316"/>
      <c r="MAP213" s="316"/>
      <c r="MAT213" s="316"/>
      <c r="MAX213" s="316"/>
      <c r="MBB213" s="316"/>
      <c r="MBF213" s="316"/>
      <c r="MBJ213" s="316"/>
      <c r="MBN213" s="316"/>
      <c r="MBR213" s="316"/>
      <c r="MBV213" s="316"/>
      <c r="MBZ213" s="316"/>
      <c r="MCD213" s="316"/>
      <c r="MCH213" s="316"/>
      <c r="MCL213" s="316"/>
      <c r="MCP213" s="316"/>
      <c r="MCT213" s="316"/>
      <c r="MCX213" s="316"/>
      <c r="MDB213" s="316"/>
      <c r="MDF213" s="316"/>
      <c r="MDJ213" s="316"/>
      <c r="MDN213" s="316"/>
      <c r="MDR213" s="316"/>
      <c r="MDV213" s="316"/>
      <c r="MDZ213" s="316"/>
      <c r="MED213" s="316"/>
      <c r="MEH213" s="316"/>
      <c r="MEL213" s="316"/>
      <c r="MEP213" s="316"/>
      <c r="MET213" s="316"/>
      <c r="MEX213" s="316"/>
      <c r="MFB213" s="316"/>
      <c r="MFF213" s="316"/>
      <c r="MFJ213" s="316"/>
      <c r="MFN213" s="316"/>
      <c r="MFR213" s="316"/>
      <c r="MFV213" s="316"/>
      <c r="MFZ213" s="316"/>
      <c r="MGD213" s="316"/>
      <c r="MGH213" s="316"/>
      <c r="MGL213" s="316"/>
      <c r="MGP213" s="316"/>
      <c r="MGT213" s="316"/>
      <c r="MGX213" s="316"/>
      <c r="MHB213" s="316"/>
      <c r="MHF213" s="316"/>
      <c r="MHJ213" s="316"/>
      <c r="MHN213" s="316"/>
      <c r="MHR213" s="316"/>
      <c r="MHV213" s="316"/>
      <c r="MHZ213" s="316"/>
      <c r="MID213" s="316"/>
      <c r="MIH213" s="316"/>
      <c r="MIL213" s="316"/>
      <c r="MIP213" s="316"/>
      <c r="MIT213" s="316"/>
      <c r="MIX213" s="316"/>
      <c r="MJB213" s="316"/>
      <c r="MJF213" s="316"/>
      <c r="MJJ213" s="316"/>
      <c r="MJN213" s="316"/>
      <c r="MJR213" s="316"/>
      <c r="MJV213" s="316"/>
      <c r="MJZ213" s="316"/>
      <c r="MKD213" s="316"/>
      <c r="MKH213" s="316"/>
      <c r="MKL213" s="316"/>
      <c r="MKP213" s="316"/>
      <c r="MKT213" s="316"/>
      <c r="MKX213" s="316"/>
      <c r="MLB213" s="316"/>
      <c r="MLF213" s="316"/>
      <c r="MLJ213" s="316"/>
      <c r="MLN213" s="316"/>
      <c r="MLR213" s="316"/>
      <c r="MLV213" s="316"/>
      <c r="MLZ213" s="316"/>
      <c r="MMD213" s="316"/>
      <c r="MMH213" s="316"/>
      <c r="MML213" s="316"/>
      <c r="MMP213" s="316"/>
      <c r="MMT213" s="316"/>
      <c r="MMX213" s="316"/>
      <c r="MNB213" s="316"/>
      <c r="MNF213" s="316"/>
      <c r="MNJ213" s="316"/>
      <c r="MNN213" s="316"/>
      <c r="MNR213" s="316"/>
      <c r="MNV213" s="316"/>
      <c r="MNZ213" s="316"/>
      <c r="MOD213" s="316"/>
      <c r="MOH213" s="316"/>
      <c r="MOL213" s="316"/>
      <c r="MOP213" s="316"/>
      <c r="MOT213" s="316"/>
      <c r="MOX213" s="316"/>
      <c r="MPB213" s="316"/>
      <c r="MPF213" s="316"/>
      <c r="MPJ213" s="316"/>
      <c r="MPN213" s="316"/>
      <c r="MPR213" s="316"/>
      <c r="MPV213" s="316"/>
      <c r="MPZ213" s="316"/>
      <c r="MQD213" s="316"/>
      <c r="MQH213" s="316"/>
      <c r="MQL213" s="316"/>
      <c r="MQP213" s="316"/>
      <c r="MQT213" s="316"/>
      <c r="MQX213" s="316"/>
      <c r="MRB213" s="316"/>
      <c r="MRF213" s="316"/>
      <c r="MRJ213" s="316"/>
      <c r="MRN213" s="316"/>
      <c r="MRR213" s="316"/>
      <c r="MRV213" s="316"/>
      <c r="MRZ213" s="316"/>
      <c r="MSD213" s="316"/>
      <c r="MSH213" s="316"/>
      <c r="MSL213" s="316"/>
      <c r="MSP213" s="316"/>
      <c r="MST213" s="316"/>
      <c r="MSX213" s="316"/>
      <c r="MTB213" s="316"/>
      <c r="MTF213" s="316"/>
      <c r="MTJ213" s="316"/>
      <c r="MTN213" s="316"/>
      <c r="MTR213" s="316"/>
      <c r="MTV213" s="316"/>
      <c r="MTZ213" s="316"/>
      <c r="MUD213" s="316"/>
      <c r="MUH213" s="316"/>
      <c r="MUL213" s="316"/>
      <c r="MUP213" s="316"/>
      <c r="MUT213" s="316"/>
      <c r="MUX213" s="316"/>
      <c r="MVB213" s="316"/>
      <c r="MVF213" s="316"/>
      <c r="MVJ213" s="316"/>
      <c r="MVN213" s="316"/>
      <c r="MVR213" s="316"/>
      <c r="MVV213" s="316"/>
      <c r="MVZ213" s="316"/>
      <c r="MWD213" s="316"/>
      <c r="MWH213" s="316"/>
      <c r="MWL213" s="316"/>
      <c r="MWP213" s="316"/>
      <c r="MWT213" s="316"/>
      <c r="MWX213" s="316"/>
      <c r="MXB213" s="316"/>
      <c r="MXF213" s="316"/>
      <c r="MXJ213" s="316"/>
      <c r="MXN213" s="316"/>
      <c r="MXR213" s="316"/>
      <c r="MXV213" s="316"/>
      <c r="MXZ213" s="316"/>
      <c r="MYD213" s="316"/>
      <c r="MYH213" s="316"/>
      <c r="MYL213" s="316"/>
      <c r="MYP213" s="316"/>
      <c r="MYT213" s="316"/>
      <c r="MYX213" s="316"/>
      <c r="MZB213" s="316"/>
      <c r="MZF213" s="316"/>
      <c r="MZJ213" s="316"/>
      <c r="MZN213" s="316"/>
      <c r="MZR213" s="316"/>
      <c r="MZV213" s="316"/>
      <c r="MZZ213" s="316"/>
      <c r="NAD213" s="316"/>
      <c r="NAH213" s="316"/>
      <c r="NAL213" s="316"/>
      <c r="NAP213" s="316"/>
      <c r="NAT213" s="316"/>
      <c r="NAX213" s="316"/>
      <c r="NBB213" s="316"/>
      <c r="NBF213" s="316"/>
      <c r="NBJ213" s="316"/>
      <c r="NBN213" s="316"/>
      <c r="NBR213" s="316"/>
      <c r="NBV213" s="316"/>
      <c r="NBZ213" s="316"/>
      <c r="NCD213" s="316"/>
      <c r="NCH213" s="316"/>
      <c r="NCL213" s="316"/>
      <c r="NCP213" s="316"/>
      <c r="NCT213" s="316"/>
      <c r="NCX213" s="316"/>
      <c r="NDB213" s="316"/>
      <c r="NDF213" s="316"/>
      <c r="NDJ213" s="316"/>
      <c r="NDN213" s="316"/>
      <c r="NDR213" s="316"/>
      <c r="NDV213" s="316"/>
      <c r="NDZ213" s="316"/>
      <c r="NED213" s="316"/>
      <c r="NEH213" s="316"/>
      <c r="NEL213" s="316"/>
      <c r="NEP213" s="316"/>
      <c r="NET213" s="316"/>
      <c r="NEX213" s="316"/>
      <c r="NFB213" s="316"/>
      <c r="NFF213" s="316"/>
      <c r="NFJ213" s="316"/>
      <c r="NFN213" s="316"/>
      <c r="NFR213" s="316"/>
      <c r="NFV213" s="316"/>
      <c r="NFZ213" s="316"/>
      <c r="NGD213" s="316"/>
      <c r="NGH213" s="316"/>
      <c r="NGL213" s="316"/>
      <c r="NGP213" s="316"/>
      <c r="NGT213" s="316"/>
      <c r="NGX213" s="316"/>
      <c r="NHB213" s="316"/>
      <c r="NHF213" s="316"/>
      <c r="NHJ213" s="316"/>
      <c r="NHN213" s="316"/>
      <c r="NHR213" s="316"/>
      <c r="NHV213" s="316"/>
      <c r="NHZ213" s="316"/>
      <c r="NID213" s="316"/>
      <c r="NIH213" s="316"/>
      <c r="NIL213" s="316"/>
      <c r="NIP213" s="316"/>
      <c r="NIT213" s="316"/>
      <c r="NIX213" s="316"/>
      <c r="NJB213" s="316"/>
      <c r="NJF213" s="316"/>
      <c r="NJJ213" s="316"/>
      <c r="NJN213" s="316"/>
      <c r="NJR213" s="316"/>
      <c r="NJV213" s="316"/>
      <c r="NJZ213" s="316"/>
      <c r="NKD213" s="316"/>
      <c r="NKH213" s="316"/>
      <c r="NKL213" s="316"/>
      <c r="NKP213" s="316"/>
      <c r="NKT213" s="316"/>
      <c r="NKX213" s="316"/>
      <c r="NLB213" s="316"/>
      <c r="NLF213" s="316"/>
      <c r="NLJ213" s="316"/>
      <c r="NLN213" s="316"/>
      <c r="NLR213" s="316"/>
      <c r="NLV213" s="316"/>
      <c r="NLZ213" s="316"/>
      <c r="NMD213" s="316"/>
      <c r="NMH213" s="316"/>
      <c r="NML213" s="316"/>
      <c r="NMP213" s="316"/>
      <c r="NMT213" s="316"/>
      <c r="NMX213" s="316"/>
      <c r="NNB213" s="316"/>
      <c r="NNF213" s="316"/>
      <c r="NNJ213" s="316"/>
      <c r="NNN213" s="316"/>
      <c r="NNR213" s="316"/>
      <c r="NNV213" s="316"/>
      <c r="NNZ213" s="316"/>
      <c r="NOD213" s="316"/>
      <c r="NOH213" s="316"/>
      <c r="NOL213" s="316"/>
      <c r="NOP213" s="316"/>
      <c r="NOT213" s="316"/>
      <c r="NOX213" s="316"/>
      <c r="NPB213" s="316"/>
      <c r="NPF213" s="316"/>
      <c r="NPJ213" s="316"/>
      <c r="NPN213" s="316"/>
      <c r="NPR213" s="316"/>
      <c r="NPV213" s="316"/>
      <c r="NPZ213" s="316"/>
      <c r="NQD213" s="316"/>
      <c r="NQH213" s="316"/>
      <c r="NQL213" s="316"/>
      <c r="NQP213" s="316"/>
      <c r="NQT213" s="316"/>
      <c r="NQX213" s="316"/>
      <c r="NRB213" s="316"/>
      <c r="NRF213" s="316"/>
      <c r="NRJ213" s="316"/>
      <c r="NRN213" s="316"/>
      <c r="NRR213" s="316"/>
      <c r="NRV213" s="316"/>
      <c r="NRZ213" s="316"/>
      <c r="NSD213" s="316"/>
      <c r="NSH213" s="316"/>
      <c r="NSL213" s="316"/>
      <c r="NSP213" s="316"/>
      <c r="NST213" s="316"/>
      <c r="NSX213" s="316"/>
      <c r="NTB213" s="316"/>
      <c r="NTF213" s="316"/>
      <c r="NTJ213" s="316"/>
      <c r="NTN213" s="316"/>
      <c r="NTR213" s="316"/>
      <c r="NTV213" s="316"/>
      <c r="NTZ213" s="316"/>
      <c r="NUD213" s="316"/>
      <c r="NUH213" s="316"/>
      <c r="NUL213" s="316"/>
      <c r="NUP213" s="316"/>
      <c r="NUT213" s="316"/>
      <c r="NUX213" s="316"/>
      <c r="NVB213" s="316"/>
      <c r="NVF213" s="316"/>
      <c r="NVJ213" s="316"/>
      <c r="NVN213" s="316"/>
      <c r="NVR213" s="316"/>
      <c r="NVV213" s="316"/>
      <c r="NVZ213" s="316"/>
      <c r="NWD213" s="316"/>
      <c r="NWH213" s="316"/>
      <c r="NWL213" s="316"/>
      <c r="NWP213" s="316"/>
      <c r="NWT213" s="316"/>
      <c r="NWX213" s="316"/>
      <c r="NXB213" s="316"/>
      <c r="NXF213" s="316"/>
      <c r="NXJ213" s="316"/>
      <c r="NXN213" s="316"/>
      <c r="NXR213" s="316"/>
      <c r="NXV213" s="316"/>
      <c r="NXZ213" s="316"/>
      <c r="NYD213" s="316"/>
      <c r="NYH213" s="316"/>
      <c r="NYL213" s="316"/>
      <c r="NYP213" s="316"/>
      <c r="NYT213" s="316"/>
      <c r="NYX213" s="316"/>
      <c r="NZB213" s="316"/>
      <c r="NZF213" s="316"/>
      <c r="NZJ213" s="316"/>
      <c r="NZN213" s="316"/>
      <c r="NZR213" s="316"/>
      <c r="NZV213" s="316"/>
      <c r="NZZ213" s="316"/>
      <c r="OAD213" s="316"/>
      <c r="OAH213" s="316"/>
      <c r="OAL213" s="316"/>
      <c r="OAP213" s="316"/>
      <c r="OAT213" s="316"/>
      <c r="OAX213" s="316"/>
      <c r="OBB213" s="316"/>
      <c r="OBF213" s="316"/>
      <c r="OBJ213" s="316"/>
      <c r="OBN213" s="316"/>
      <c r="OBR213" s="316"/>
      <c r="OBV213" s="316"/>
      <c r="OBZ213" s="316"/>
      <c r="OCD213" s="316"/>
      <c r="OCH213" s="316"/>
      <c r="OCL213" s="316"/>
      <c r="OCP213" s="316"/>
      <c r="OCT213" s="316"/>
      <c r="OCX213" s="316"/>
      <c r="ODB213" s="316"/>
      <c r="ODF213" s="316"/>
      <c r="ODJ213" s="316"/>
      <c r="ODN213" s="316"/>
      <c r="ODR213" s="316"/>
      <c r="ODV213" s="316"/>
      <c r="ODZ213" s="316"/>
      <c r="OED213" s="316"/>
      <c r="OEH213" s="316"/>
      <c r="OEL213" s="316"/>
      <c r="OEP213" s="316"/>
      <c r="OET213" s="316"/>
      <c r="OEX213" s="316"/>
      <c r="OFB213" s="316"/>
      <c r="OFF213" s="316"/>
      <c r="OFJ213" s="316"/>
      <c r="OFN213" s="316"/>
      <c r="OFR213" s="316"/>
      <c r="OFV213" s="316"/>
      <c r="OFZ213" s="316"/>
      <c r="OGD213" s="316"/>
      <c r="OGH213" s="316"/>
      <c r="OGL213" s="316"/>
      <c r="OGP213" s="316"/>
      <c r="OGT213" s="316"/>
      <c r="OGX213" s="316"/>
      <c r="OHB213" s="316"/>
      <c r="OHF213" s="316"/>
      <c r="OHJ213" s="316"/>
      <c r="OHN213" s="316"/>
      <c r="OHR213" s="316"/>
      <c r="OHV213" s="316"/>
      <c r="OHZ213" s="316"/>
      <c r="OID213" s="316"/>
      <c r="OIH213" s="316"/>
      <c r="OIL213" s="316"/>
      <c r="OIP213" s="316"/>
      <c r="OIT213" s="316"/>
      <c r="OIX213" s="316"/>
      <c r="OJB213" s="316"/>
      <c r="OJF213" s="316"/>
      <c r="OJJ213" s="316"/>
      <c r="OJN213" s="316"/>
      <c r="OJR213" s="316"/>
      <c r="OJV213" s="316"/>
      <c r="OJZ213" s="316"/>
      <c r="OKD213" s="316"/>
      <c r="OKH213" s="316"/>
      <c r="OKL213" s="316"/>
      <c r="OKP213" s="316"/>
      <c r="OKT213" s="316"/>
      <c r="OKX213" s="316"/>
      <c r="OLB213" s="316"/>
      <c r="OLF213" s="316"/>
      <c r="OLJ213" s="316"/>
      <c r="OLN213" s="316"/>
      <c r="OLR213" s="316"/>
      <c r="OLV213" s="316"/>
      <c r="OLZ213" s="316"/>
      <c r="OMD213" s="316"/>
      <c r="OMH213" s="316"/>
      <c r="OML213" s="316"/>
      <c r="OMP213" s="316"/>
      <c r="OMT213" s="316"/>
      <c r="OMX213" s="316"/>
      <c r="ONB213" s="316"/>
      <c r="ONF213" s="316"/>
      <c r="ONJ213" s="316"/>
      <c r="ONN213" s="316"/>
      <c r="ONR213" s="316"/>
      <c r="ONV213" s="316"/>
      <c r="ONZ213" s="316"/>
      <c r="OOD213" s="316"/>
      <c r="OOH213" s="316"/>
      <c r="OOL213" s="316"/>
      <c r="OOP213" s="316"/>
      <c r="OOT213" s="316"/>
      <c r="OOX213" s="316"/>
      <c r="OPB213" s="316"/>
      <c r="OPF213" s="316"/>
      <c r="OPJ213" s="316"/>
      <c r="OPN213" s="316"/>
      <c r="OPR213" s="316"/>
      <c r="OPV213" s="316"/>
      <c r="OPZ213" s="316"/>
      <c r="OQD213" s="316"/>
      <c r="OQH213" s="316"/>
      <c r="OQL213" s="316"/>
      <c r="OQP213" s="316"/>
      <c r="OQT213" s="316"/>
      <c r="OQX213" s="316"/>
      <c r="ORB213" s="316"/>
      <c r="ORF213" s="316"/>
      <c r="ORJ213" s="316"/>
      <c r="ORN213" s="316"/>
      <c r="ORR213" s="316"/>
      <c r="ORV213" s="316"/>
      <c r="ORZ213" s="316"/>
      <c r="OSD213" s="316"/>
      <c r="OSH213" s="316"/>
      <c r="OSL213" s="316"/>
      <c r="OSP213" s="316"/>
      <c r="OST213" s="316"/>
      <c r="OSX213" s="316"/>
      <c r="OTB213" s="316"/>
      <c r="OTF213" s="316"/>
      <c r="OTJ213" s="316"/>
      <c r="OTN213" s="316"/>
      <c r="OTR213" s="316"/>
      <c r="OTV213" s="316"/>
      <c r="OTZ213" s="316"/>
      <c r="OUD213" s="316"/>
      <c r="OUH213" s="316"/>
      <c r="OUL213" s="316"/>
      <c r="OUP213" s="316"/>
      <c r="OUT213" s="316"/>
      <c r="OUX213" s="316"/>
      <c r="OVB213" s="316"/>
      <c r="OVF213" s="316"/>
      <c r="OVJ213" s="316"/>
      <c r="OVN213" s="316"/>
      <c r="OVR213" s="316"/>
      <c r="OVV213" s="316"/>
      <c r="OVZ213" s="316"/>
      <c r="OWD213" s="316"/>
      <c r="OWH213" s="316"/>
      <c r="OWL213" s="316"/>
      <c r="OWP213" s="316"/>
      <c r="OWT213" s="316"/>
      <c r="OWX213" s="316"/>
      <c r="OXB213" s="316"/>
      <c r="OXF213" s="316"/>
      <c r="OXJ213" s="316"/>
      <c r="OXN213" s="316"/>
      <c r="OXR213" s="316"/>
      <c r="OXV213" s="316"/>
      <c r="OXZ213" s="316"/>
      <c r="OYD213" s="316"/>
      <c r="OYH213" s="316"/>
      <c r="OYL213" s="316"/>
      <c r="OYP213" s="316"/>
      <c r="OYT213" s="316"/>
      <c r="OYX213" s="316"/>
      <c r="OZB213" s="316"/>
      <c r="OZF213" s="316"/>
      <c r="OZJ213" s="316"/>
      <c r="OZN213" s="316"/>
      <c r="OZR213" s="316"/>
      <c r="OZV213" s="316"/>
      <c r="OZZ213" s="316"/>
      <c r="PAD213" s="316"/>
      <c r="PAH213" s="316"/>
      <c r="PAL213" s="316"/>
      <c r="PAP213" s="316"/>
      <c r="PAT213" s="316"/>
      <c r="PAX213" s="316"/>
      <c r="PBB213" s="316"/>
      <c r="PBF213" s="316"/>
      <c r="PBJ213" s="316"/>
      <c r="PBN213" s="316"/>
      <c r="PBR213" s="316"/>
      <c r="PBV213" s="316"/>
      <c r="PBZ213" s="316"/>
      <c r="PCD213" s="316"/>
      <c r="PCH213" s="316"/>
      <c r="PCL213" s="316"/>
      <c r="PCP213" s="316"/>
      <c r="PCT213" s="316"/>
      <c r="PCX213" s="316"/>
      <c r="PDB213" s="316"/>
      <c r="PDF213" s="316"/>
      <c r="PDJ213" s="316"/>
      <c r="PDN213" s="316"/>
      <c r="PDR213" s="316"/>
      <c r="PDV213" s="316"/>
      <c r="PDZ213" s="316"/>
      <c r="PED213" s="316"/>
      <c r="PEH213" s="316"/>
      <c r="PEL213" s="316"/>
      <c r="PEP213" s="316"/>
      <c r="PET213" s="316"/>
      <c r="PEX213" s="316"/>
      <c r="PFB213" s="316"/>
      <c r="PFF213" s="316"/>
      <c r="PFJ213" s="316"/>
      <c r="PFN213" s="316"/>
      <c r="PFR213" s="316"/>
      <c r="PFV213" s="316"/>
      <c r="PFZ213" s="316"/>
      <c r="PGD213" s="316"/>
      <c r="PGH213" s="316"/>
      <c r="PGL213" s="316"/>
      <c r="PGP213" s="316"/>
      <c r="PGT213" s="316"/>
      <c r="PGX213" s="316"/>
      <c r="PHB213" s="316"/>
      <c r="PHF213" s="316"/>
      <c r="PHJ213" s="316"/>
      <c r="PHN213" s="316"/>
      <c r="PHR213" s="316"/>
      <c r="PHV213" s="316"/>
      <c r="PHZ213" s="316"/>
      <c r="PID213" s="316"/>
      <c r="PIH213" s="316"/>
      <c r="PIL213" s="316"/>
      <c r="PIP213" s="316"/>
      <c r="PIT213" s="316"/>
      <c r="PIX213" s="316"/>
      <c r="PJB213" s="316"/>
      <c r="PJF213" s="316"/>
      <c r="PJJ213" s="316"/>
      <c r="PJN213" s="316"/>
      <c r="PJR213" s="316"/>
      <c r="PJV213" s="316"/>
      <c r="PJZ213" s="316"/>
      <c r="PKD213" s="316"/>
      <c r="PKH213" s="316"/>
      <c r="PKL213" s="316"/>
      <c r="PKP213" s="316"/>
      <c r="PKT213" s="316"/>
      <c r="PKX213" s="316"/>
      <c r="PLB213" s="316"/>
      <c r="PLF213" s="316"/>
      <c r="PLJ213" s="316"/>
      <c r="PLN213" s="316"/>
      <c r="PLR213" s="316"/>
      <c r="PLV213" s="316"/>
      <c r="PLZ213" s="316"/>
      <c r="PMD213" s="316"/>
      <c r="PMH213" s="316"/>
      <c r="PML213" s="316"/>
      <c r="PMP213" s="316"/>
      <c r="PMT213" s="316"/>
      <c r="PMX213" s="316"/>
      <c r="PNB213" s="316"/>
      <c r="PNF213" s="316"/>
      <c r="PNJ213" s="316"/>
      <c r="PNN213" s="316"/>
      <c r="PNR213" s="316"/>
      <c r="PNV213" s="316"/>
      <c r="PNZ213" s="316"/>
      <c r="POD213" s="316"/>
      <c r="POH213" s="316"/>
      <c r="POL213" s="316"/>
      <c r="POP213" s="316"/>
      <c r="POT213" s="316"/>
      <c r="POX213" s="316"/>
      <c r="PPB213" s="316"/>
      <c r="PPF213" s="316"/>
      <c r="PPJ213" s="316"/>
      <c r="PPN213" s="316"/>
      <c r="PPR213" s="316"/>
      <c r="PPV213" s="316"/>
      <c r="PPZ213" s="316"/>
      <c r="PQD213" s="316"/>
      <c r="PQH213" s="316"/>
      <c r="PQL213" s="316"/>
      <c r="PQP213" s="316"/>
      <c r="PQT213" s="316"/>
      <c r="PQX213" s="316"/>
      <c r="PRB213" s="316"/>
      <c r="PRF213" s="316"/>
      <c r="PRJ213" s="316"/>
      <c r="PRN213" s="316"/>
      <c r="PRR213" s="316"/>
      <c r="PRV213" s="316"/>
      <c r="PRZ213" s="316"/>
      <c r="PSD213" s="316"/>
      <c r="PSH213" s="316"/>
      <c r="PSL213" s="316"/>
      <c r="PSP213" s="316"/>
      <c r="PST213" s="316"/>
      <c r="PSX213" s="316"/>
      <c r="PTB213" s="316"/>
      <c r="PTF213" s="316"/>
      <c r="PTJ213" s="316"/>
      <c r="PTN213" s="316"/>
      <c r="PTR213" s="316"/>
      <c r="PTV213" s="316"/>
      <c r="PTZ213" s="316"/>
      <c r="PUD213" s="316"/>
      <c r="PUH213" s="316"/>
      <c r="PUL213" s="316"/>
      <c r="PUP213" s="316"/>
      <c r="PUT213" s="316"/>
      <c r="PUX213" s="316"/>
      <c r="PVB213" s="316"/>
      <c r="PVF213" s="316"/>
      <c r="PVJ213" s="316"/>
      <c r="PVN213" s="316"/>
      <c r="PVR213" s="316"/>
      <c r="PVV213" s="316"/>
      <c r="PVZ213" s="316"/>
      <c r="PWD213" s="316"/>
      <c r="PWH213" s="316"/>
      <c r="PWL213" s="316"/>
      <c r="PWP213" s="316"/>
      <c r="PWT213" s="316"/>
      <c r="PWX213" s="316"/>
      <c r="PXB213" s="316"/>
      <c r="PXF213" s="316"/>
      <c r="PXJ213" s="316"/>
      <c r="PXN213" s="316"/>
      <c r="PXR213" s="316"/>
      <c r="PXV213" s="316"/>
      <c r="PXZ213" s="316"/>
      <c r="PYD213" s="316"/>
      <c r="PYH213" s="316"/>
      <c r="PYL213" s="316"/>
      <c r="PYP213" s="316"/>
      <c r="PYT213" s="316"/>
      <c r="PYX213" s="316"/>
      <c r="PZB213" s="316"/>
      <c r="PZF213" s="316"/>
      <c r="PZJ213" s="316"/>
      <c r="PZN213" s="316"/>
      <c r="PZR213" s="316"/>
      <c r="PZV213" s="316"/>
      <c r="PZZ213" s="316"/>
      <c r="QAD213" s="316"/>
      <c r="QAH213" s="316"/>
      <c r="QAL213" s="316"/>
      <c r="QAP213" s="316"/>
      <c r="QAT213" s="316"/>
      <c r="QAX213" s="316"/>
      <c r="QBB213" s="316"/>
      <c r="QBF213" s="316"/>
      <c r="QBJ213" s="316"/>
      <c r="QBN213" s="316"/>
      <c r="QBR213" s="316"/>
      <c r="QBV213" s="316"/>
      <c r="QBZ213" s="316"/>
      <c r="QCD213" s="316"/>
      <c r="QCH213" s="316"/>
      <c r="QCL213" s="316"/>
      <c r="QCP213" s="316"/>
      <c r="QCT213" s="316"/>
      <c r="QCX213" s="316"/>
      <c r="QDB213" s="316"/>
      <c r="QDF213" s="316"/>
      <c r="QDJ213" s="316"/>
      <c r="QDN213" s="316"/>
      <c r="QDR213" s="316"/>
      <c r="QDV213" s="316"/>
      <c r="QDZ213" s="316"/>
      <c r="QED213" s="316"/>
      <c r="QEH213" s="316"/>
      <c r="QEL213" s="316"/>
      <c r="QEP213" s="316"/>
      <c r="QET213" s="316"/>
      <c r="QEX213" s="316"/>
      <c r="QFB213" s="316"/>
      <c r="QFF213" s="316"/>
      <c r="QFJ213" s="316"/>
      <c r="QFN213" s="316"/>
      <c r="QFR213" s="316"/>
      <c r="QFV213" s="316"/>
      <c r="QFZ213" s="316"/>
      <c r="QGD213" s="316"/>
      <c r="QGH213" s="316"/>
      <c r="QGL213" s="316"/>
      <c r="QGP213" s="316"/>
      <c r="QGT213" s="316"/>
      <c r="QGX213" s="316"/>
      <c r="QHB213" s="316"/>
      <c r="QHF213" s="316"/>
      <c r="QHJ213" s="316"/>
      <c r="QHN213" s="316"/>
      <c r="QHR213" s="316"/>
      <c r="QHV213" s="316"/>
      <c r="QHZ213" s="316"/>
      <c r="QID213" s="316"/>
      <c r="QIH213" s="316"/>
      <c r="QIL213" s="316"/>
      <c r="QIP213" s="316"/>
      <c r="QIT213" s="316"/>
      <c r="QIX213" s="316"/>
      <c r="QJB213" s="316"/>
      <c r="QJF213" s="316"/>
      <c r="QJJ213" s="316"/>
      <c r="QJN213" s="316"/>
      <c r="QJR213" s="316"/>
      <c r="QJV213" s="316"/>
      <c r="QJZ213" s="316"/>
      <c r="QKD213" s="316"/>
      <c r="QKH213" s="316"/>
      <c r="QKL213" s="316"/>
      <c r="QKP213" s="316"/>
      <c r="QKT213" s="316"/>
      <c r="QKX213" s="316"/>
      <c r="QLB213" s="316"/>
      <c r="QLF213" s="316"/>
      <c r="QLJ213" s="316"/>
      <c r="QLN213" s="316"/>
      <c r="QLR213" s="316"/>
      <c r="QLV213" s="316"/>
      <c r="QLZ213" s="316"/>
      <c r="QMD213" s="316"/>
      <c r="QMH213" s="316"/>
      <c r="QML213" s="316"/>
      <c r="QMP213" s="316"/>
      <c r="QMT213" s="316"/>
      <c r="QMX213" s="316"/>
      <c r="QNB213" s="316"/>
      <c r="QNF213" s="316"/>
      <c r="QNJ213" s="316"/>
      <c r="QNN213" s="316"/>
      <c r="QNR213" s="316"/>
      <c r="QNV213" s="316"/>
      <c r="QNZ213" s="316"/>
      <c r="QOD213" s="316"/>
      <c r="QOH213" s="316"/>
      <c r="QOL213" s="316"/>
      <c r="QOP213" s="316"/>
      <c r="QOT213" s="316"/>
      <c r="QOX213" s="316"/>
      <c r="QPB213" s="316"/>
      <c r="QPF213" s="316"/>
      <c r="QPJ213" s="316"/>
      <c r="QPN213" s="316"/>
      <c r="QPR213" s="316"/>
      <c r="QPV213" s="316"/>
      <c r="QPZ213" s="316"/>
      <c r="QQD213" s="316"/>
      <c r="QQH213" s="316"/>
      <c r="QQL213" s="316"/>
      <c r="QQP213" s="316"/>
      <c r="QQT213" s="316"/>
      <c r="QQX213" s="316"/>
      <c r="QRB213" s="316"/>
      <c r="QRF213" s="316"/>
      <c r="QRJ213" s="316"/>
      <c r="QRN213" s="316"/>
      <c r="QRR213" s="316"/>
      <c r="QRV213" s="316"/>
      <c r="QRZ213" s="316"/>
      <c r="QSD213" s="316"/>
      <c r="QSH213" s="316"/>
      <c r="QSL213" s="316"/>
      <c r="QSP213" s="316"/>
      <c r="QST213" s="316"/>
      <c r="QSX213" s="316"/>
      <c r="QTB213" s="316"/>
      <c r="QTF213" s="316"/>
      <c r="QTJ213" s="316"/>
      <c r="QTN213" s="316"/>
      <c r="QTR213" s="316"/>
      <c r="QTV213" s="316"/>
      <c r="QTZ213" s="316"/>
      <c r="QUD213" s="316"/>
      <c r="QUH213" s="316"/>
      <c r="QUL213" s="316"/>
      <c r="QUP213" s="316"/>
      <c r="QUT213" s="316"/>
      <c r="QUX213" s="316"/>
      <c r="QVB213" s="316"/>
      <c r="QVF213" s="316"/>
      <c r="QVJ213" s="316"/>
      <c r="QVN213" s="316"/>
      <c r="QVR213" s="316"/>
      <c r="QVV213" s="316"/>
      <c r="QVZ213" s="316"/>
      <c r="QWD213" s="316"/>
      <c r="QWH213" s="316"/>
      <c r="QWL213" s="316"/>
      <c r="QWP213" s="316"/>
      <c r="QWT213" s="316"/>
      <c r="QWX213" s="316"/>
      <c r="QXB213" s="316"/>
      <c r="QXF213" s="316"/>
      <c r="QXJ213" s="316"/>
      <c r="QXN213" s="316"/>
      <c r="QXR213" s="316"/>
      <c r="QXV213" s="316"/>
      <c r="QXZ213" s="316"/>
      <c r="QYD213" s="316"/>
      <c r="QYH213" s="316"/>
      <c r="QYL213" s="316"/>
      <c r="QYP213" s="316"/>
      <c r="QYT213" s="316"/>
      <c r="QYX213" s="316"/>
      <c r="QZB213" s="316"/>
      <c r="QZF213" s="316"/>
      <c r="QZJ213" s="316"/>
      <c r="QZN213" s="316"/>
      <c r="QZR213" s="316"/>
      <c r="QZV213" s="316"/>
      <c r="QZZ213" s="316"/>
      <c r="RAD213" s="316"/>
      <c r="RAH213" s="316"/>
      <c r="RAL213" s="316"/>
      <c r="RAP213" s="316"/>
      <c r="RAT213" s="316"/>
      <c r="RAX213" s="316"/>
      <c r="RBB213" s="316"/>
      <c r="RBF213" s="316"/>
      <c r="RBJ213" s="316"/>
      <c r="RBN213" s="316"/>
      <c r="RBR213" s="316"/>
      <c r="RBV213" s="316"/>
      <c r="RBZ213" s="316"/>
      <c r="RCD213" s="316"/>
      <c r="RCH213" s="316"/>
      <c r="RCL213" s="316"/>
      <c r="RCP213" s="316"/>
      <c r="RCT213" s="316"/>
      <c r="RCX213" s="316"/>
      <c r="RDB213" s="316"/>
      <c r="RDF213" s="316"/>
      <c r="RDJ213" s="316"/>
      <c r="RDN213" s="316"/>
      <c r="RDR213" s="316"/>
      <c r="RDV213" s="316"/>
      <c r="RDZ213" s="316"/>
      <c r="RED213" s="316"/>
      <c r="REH213" s="316"/>
      <c r="REL213" s="316"/>
      <c r="REP213" s="316"/>
      <c r="RET213" s="316"/>
      <c r="REX213" s="316"/>
      <c r="RFB213" s="316"/>
      <c r="RFF213" s="316"/>
      <c r="RFJ213" s="316"/>
      <c r="RFN213" s="316"/>
      <c r="RFR213" s="316"/>
      <c r="RFV213" s="316"/>
      <c r="RFZ213" s="316"/>
      <c r="RGD213" s="316"/>
      <c r="RGH213" s="316"/>
      <c r="RGL213" s="316"/>
      <c r="RGP213" s="316"/>
      <c r="RGT213" s="316"/>
      <c r="RGX213" s="316"/>
      <c r="RHB213" s="316"/>
      <c r="RHF213" s="316"/>
      <c r="RHJ213" s="316"/>
      <c r="RHN213" s="316"/>
      <c r="RHR213" s="316"/>
      <c r="RHV213" s="316"/>
      <c r="RHZ213" s="316"/>
      <c r="RID213" s="316"/>
      <c r="RIH213" s="316"/>
      <c r="RIL213" s="316"/>
      <c r="RIP213" s="316"/>
      <c r="RIT213" s="316"/>
      <c r="RIX213" s="316"/>
      <c r="RJB213" s="316"/>
      <c r="RJF213" s="316"/>
      <c r="RJJ213" s="316"/>
      <c r="RJN213" s="316"/>
      <c r="RJR213" s="316"/>
      <c r="RJV213" s="316"/>
      <c r="RJZ213" s="316"/>
      <c r="RKD213" s="316"/>
      <c r="RKH213" s="316"/>
      <c r="RKL213" s="316"/>
      <c r="RKP213" s="316"/>
      <c r="RKT213" s="316"/>
      <c r="RKX213" s="316"/>
      <c r="RLB213" s="316"/>
      <c r="RLF213" s="316"/>
      <c r="RLJ213" s="316"/>
      <c r="RLN213" s="316"/>
      <c r="RLR213" s="316"/>
      <c r="RLV213" s="316"/>
      <c r="RLZ213" s="316"/>
      <c r="RMD213" s="316"/>
      <c r="RMH213" s="316"/>
      <c r="RML213" s="316"/>
      <c r="RMP213" s="316"/>
      <c r="RMT213" s="316"/>
      <c r="RMX213" s="316"/>
      <c r="RNB213" s="316"/>
      <c r="RNF213" s="316"/>
      <c r="RNJ213" s="316"/>
      <c r="RNN213" s="316"/>
      <c r="RNR213" s="316"/>
      <c r="RNV213" s="316"/>
      <c r="RNZ213" s="316"/>
      <c r="ROD213" s="316"/>
      <c r="ROH213" s="316"/>
      <c r="ROL213" s="316"/>
      <c r="ROP213" s="316"/>
      <c r="ROT213" s="316"/>
      <c r="ROX213" s="316"/>
      <c r="RPB213" s="316"/>
      <c r="RPF213" s="316"/>
      <c r="RPJ213" s="316"/>
      <c r="RPN213" s="316"/>
      <c r="RPR213" s="316"/>
      <c r="RPV213" s="316"/>
      <c r="RPZ213" s="316"/>
      <c r="RQD213" s="316"/>
      <c r="RQH213" s="316"/>
      <c r="RQL213" s="316"/>
      <c r="RQP213" s="316"/>
      <c r="RQT213" s="316"/>
      <c r="RQX213" s="316"/>
      <c r="RRB213" s="316"/>
      <c r="RRF213" s="316"/>
      <c r="RRJ213" s="316"/>
      <c r="RRN213" s="316"/>
      <c r="RRR213" s="316"/>
      <c r="RRV213" s="316"/>
      <c r="RRZ213" s="316"/>
      <c r="RSD213" s="316"/>
      <c r="RSH213" s="316"/>
      <c r="RSL213" s="316"/>
      <c r="RSP213" s="316"/>
      <c r="RST213" s="316"/>
      <c r="RSX213" s="316"/>
      <c r="RTB213" s="316"/>
      <c r="RTF213" s="316"/>
      <c r="RTJ213" s="316"/>
      <c r="RTN213" s="316"/>
      <c r="RTR213" s="316"/>
      <c r="RTV213" s="316"/>
      <c r="RTZ213" s="316"/>
      <c r="RUD213" s="316"/>
      <c r="RUH213" s="316"/>
      <c r="RUL213" s="316"/>
      <c r="RUP213" s="316"/>
      <c r="RUT213" s="316"/>
      <c r="RUX213" s="316"/>
      <c r="RVB213" s="316"/>
      <c r="RVF213" s="316"/>
      <c r="RVJ213" s="316"/>
      <c r="RVN213" s="316"/>
      <c r="RVR213" s="316"/>
      <c r="RVV213" s="316"/>
      <c r="RVZ213" s="316"/>
      <c r="RWD213" s="316"/>
      <c r="RWH213" s="316"/>
      <c r="RWL213" s="316"/>
      <c r="RWP213" s="316"/>
      <c r="RWT213" s="316"/>
      <c r="RWX213" s="316"/>
      <c r="RXB213" s="316"/>
      <c r="RXF213" s="316"/>
      <c r="RXJ213" s="316"/>
      <c r="RXN213" s="316"/>
      <c r="RXR213" s="316"/>
      <c r="RXV213" s="316"/>
      <c r="RXZ213" s="316"/>
      <c r="RYD213" s="316"/>
      <c r="RYH213" s="316"/>
      <c r="RYL213" s="316"/>
      <c r="RYP213" s="316"/>
      <c r="RYT213" s="316"/>
      <c r="RYX213" s="316"/>
      <c r="RZB213" s="316"/>
      <c r="RZF213" s="316"/>
      <c r="RZJ213" s="316"/>
      <c r="RZN213" s="316"/>
      <c r="RZR213" s="316"/>
      <c r="RZV213" s="316"/>
      <c r="RZZ213" s="316"/>
      <c r="SAD213" s="316"/>
      <c r="SAH213" s="316"/>
      <c r="SAL213" s="316"/>
      <c r="SAP213" s="316"/>
      <c r="SAT213" s="316"/>
      <c r="SAX213" s="316"/>
      <c r="SBB213" s="316"/>
      <c r="SBF213" s="316"/>
      <c r="SBJ213" s="316"/>
      <c r="SBN213" s="316"/>
      <c r="SBR213" s="316"/>
      <c r="SBV213" s="316"/>
      <c r="SBZ213" s="316"/>
      <c r="SCD213" s="316"/>
      <c r="SCH213" s="316"/>
      <c r="SCL213" s="316"/>
      <c r="SCP213" s="316"/>
      <c r="SCT213" s="316"/>
      <c r="SCX213" s="316"/>
      <c r="SDB213" s="316"/>
      <c r="SDF213" s="316"/>
      <c r="SDJ213" s="316"/>
      <c r="SDN213" s="316"/>
      <c r="SDR213" s="316"/>
      <c r="SDV213" s="316"/>
      <c r="SDZ213" s="316"/>
      <c r="SED213" s="316"/>
      <c r="SEH213" s="316"/>
      <c r="SEL213" s="316"/>
      <c r="SEP213" s="316"/>
      <c r="SET213" s="316"/>
      <c r="SEX213" s="316"/>
      <c r="SFB213" s="316"/>
      <c r="SFF213" s="316"/>
      <c r="SFJ213" s="316"/>
      <c r="SFN213" s="316"/>
      <c r="SFR213" s="316"/>
      <c r="SFV213" s="316"/>
      <c r="SFZ213" s="316"/>
      <c r="SGD213" s="316"/>
      <c r="SGH213" s="316"/>
      <c r="SGL213" s="316"/>
      <c r="SGP213" s="316"/>
      <c r="SGT213" s="316"/>
      <c r="SGX213" s="316"/>
      <c r="SHB213" s="316"/>
      <c r="SHF213" s="316"/>
      <c r="SHJ213" s="316"/>
      <c r="SHN213" s="316"/>
      <c r="SHR213" s="316"/>
      <c r="SHV213" s="316"/>
      <c r="SHZ213" s="316"/>
      <c r="SID213" s="316"/>
      <c r="SIH213" s="316"/>
      <c r="SIL213" s="316"/>
      <c r="SIP213" s="316"/>
      <c r="SIT213" s="316"/>
      <c r="SIX213" s="316"/>
      <c r="SJB213" s="316"/>
      <c r="SJF213" s="316"/>
      <c r="SJJ213" s="316"/>
      <c r="SJN213" s="316"/>
      <c r="SJR213" s="316"/>
      <c r="SJV213" s="316"/>
      <c r="SJZ213" s="316"/>
      <c r="SKD213" s="316"/>
      <c r="SKH213" s="316"/>
      <c r="SKL213" s="316"/>
      <c r="SKP213" s="316"/>
      <c r="SKT213" s="316"/>
      <c r="SKX213" s="316"/>
      <c r="SLB213" s="316"/>
      <c r="SLF213" s="316"/>
      <c r="SLJ213" s="316"/>
      <c r="SLN213" s="316"/>
      <c r="SLR213" s="316"/>
      <c r="SLV213" s="316"/>
      <c r="SLZ213" s="316"/>
      <c r="SMD213" s="316"/>
      <c r="SMH213" s="316"/>
      <c r="SML213" s="316"/>
      <c r="SMP213" s="316"/>
      <c r="SMT213" s="316"/>
      <c r="SMX213" s="316"/>
      <c r="SNB213" s="316"/>
      <c r="SNF213" s="316"/>
      <c r="SNJ213" s="316"/>
      <c r="SNN213" s="316"/>
      <c r="SNR213" s="316"/>
      <c r="SNV213" s="316"/>
      <c r="SNZ213" s="316"/>
      <c r="SOD213" s="316"/>
      <c r="SOH213" s="316"/>
      <c r="SOL213" s="316"/>
      <c r="SOP213" s="316"/>
      <c r="SOT213" s="316"/>
      <c r="SOX213" s="316"/>
      <c r="SPB213" s="316"/>
      <c r="SPF213" s="316"/>
      <c r="SPJ213" s="316"/>
      <c r="SPN213" s="316"/>
      <c r="SPR213" s="316"/>
      <c r="SPV213" s="316"/>
      <c r="SPZ213" s="316"/>
      <c r="SQD213" s="316"/>
      <c r="SQH213" s="316"/>
      <c r="SQL213" s="316"/>
      <c r="SQP213" s="316"/>
      <c r="SQT213" s="316"/>
      <c r="SQX213" s="316"/>
      <c r="SRB213" s="316"/>
      <c r="SRF213" s="316"/>
      <c r="SRJ213" s="316"/>
      <c r="SRN213" s="316"/>
      <c r="SRR213" s="316"/>
      <c r="SRV213" s="316"/>
      <c r="SRZ213" s="316"/>
      <c r="SSD213" s="316"/>
      <c r="SSH213" s="316"/>
      <c r="SSL213" s="316"/>
      <c r="SSP213" s="316"/>
      <c r="SST213" s="316"/>
      <c r="SSX213" s="316"/>
      <c r="STB213" s="316"/>
      <c r="STF213" s="316"/>
      <c r="STJ213" s="316"/>
      <c r="STN213" s="316"/>
      <c r="STR213" s="316"/>
      <c r="STV213" s="316"/>
      <c r="STZ213" s="316"/>
      <c r="SUD213" s="316"/>
      <c r="SUH213" s="316"/>
      <c r="SUL213" s="316"/>
      <c r="SUP213" s="316"/>
      <c r="SUT213" s="316"/>
      <c r="SUX213" s="316"/>
      <c r="SVB213" s="316"/>
      <c r="SVF213" s="316"/>
      <c r="SVJ213" s="316"/>
      <c r="SVN213" s="316"/>
      <c r="SVR213" s="316"/>
      <c r="SVV213" s="316"/>
      <c r="SVZ213" s="316"/>
      <c r="SWD213" s="316"/>
      <c r="SWH213" s="316"/>
      <c r="SWL213" s="316"/>
      <c r="SWP213" s="316"/>
      <c r="SWT213" s="316"/>
      <c r="SWX213" s="316"/>
      <c r="SXB213" s="316"/>
      <c r="SXF213" s="316"/>
      <c r="SXJ213" s="316"/>
      <c r="SXN213" s="316"/>
      <c r="SXR213" s="316"/>
      <c r="SXV213" s="316"/>
      <c r="SXZ213" s="316"/>
      <c r="SYD213" s="316"/>
      <c r="SYH213" s="316"/>
      <c r="SYL213" s="316"/>
      <c r="SYP213" s="316"/>
      <c r="SYT213" s="316"/>
      <c r="SYX213" s="316"/>
      <c r="SZB213" s="316"/>
      <c r="SZF213" s="316"/>
      <c r="SZJ213" s="316"/>
      <c r="SZN213" s="316"/>
      <c r="SZR213" s="316"/>
      <c r="SZV213" s="316"/>
      <c r="SZZ213" s="316"/>
      <c r="TAD213" s="316"/>
      <c r="TAH213" s="316"/>
      <c r="TAL213" s="316"/>
      <c r="TAP213" s="316"/>
      <c r="TAT213" s="316"/>
      <c r="TAX213" s="316"/>
      <c r="TBB213" s="316"/>
      <c r="TBF213" s="316"/>
      <c r="TBJ213" s="316"/>
      <c r="TBN213" s="316"/>
      <c r="TBR213" s="316"/>
      <c r="TBV213" s="316"/>
      <c r="TBZ213" s="316"/>
      <c r="TCD213" s="316"/>
      <c r="TCH213" s="316"/>
      <c r="TCL213" s="316"/>
      <c r="TCP213" s="316"/>
      <c r="TCT213" s="316"/>
      <c r="TCX213" s="316"/>
      <c r="TDB213" s="316"/>
      <c r="TDF213" s="316"/>
      <c r="TDJ213" s="316"/>
      <c r="TDN213" s="316"/>
      <c r="TDR213" s="316"/>
      <c r="TDV213" s="316"/>
      <c r="TDZ213" s="316"/>
      <c r="TED213" s="316"/>
      <c r="TEH213" s="316"/>
      <c r="TEL213" s="316"/>
      <c r="TEP213" s="316"/>
      <c r="TET213" s="316"/>
      <c r="TEX213" s="316"/>
      <c r="TFB213" s="316"/>
      <c r="TFF213" s="316"/>
      <c r="TFJ213" s="316"/>
      <c r="TFN213" s="316"/>
      <c r="TFR213" s="316"/>
      <c r="TFV213" s="316"/>
      <c r="TFZ213" s="316"/>
      <c r="TGD213" s="316"/>
      <c r="TGH213" s="316"/>
      <c r="TGL213" s="316"/>
      <c r="TGP213" s="316"/>
      <c r="TGT213" s="316"/>
      <c r="TGX213" s="316"/>
      <c r="THB213" s="316"/>
      <c r="THF213" s="316"/>
      <c r="THJ213" s="316"/>
      <c r="THN213" s="316"/>
      <c r="THR213" s="316"/>
      <c r="THV213" s="316"/>
      <c r="THZ213" s="316"/>
      <c r="TID213" s="316"/>
      <c r="TIH213" s="316"/>
      <c r="TIL213" s="316"/>
      <c r="TIP213" s="316"/>
      <c r="TIT213" s="316"/>
      <c r="TIX213" s="316"/>
      <c r="TJB213" s="316"/>
      <c r="TJF213" s="316"/>
      <c r="TJJ213" s="316"/>
      <c r="TJN213" s="316"/>
      <c r="TJR213" s="316"/>
      <c r="TJV213" s="316"/>
      <c r="TJZ213" s="316"/>
      <c r="TKD213" s="316"/>
      <c r="TKH213" s="316"/>
      <c r="TKL213" s="316"/>
      <c r="TKP213" s="316"/>
      <c r="TKT213" s="316"/>
      <c r="TKX213" s="316"/>
      <c r="TLB213" s="316"/>
      <c r="TLF213" s="316"/>
      <c r="TLJ213" s="316"/>
      <c r="TLN213" s="316"/>
      <c r="TLR213" s="316"/>
      <c r="TLV213" s="316"/>
      <c r="TLZ213" s="316"/>
      <c r="TMD213" s="316"/>
      <c r="TMH213" s="316"/>
      <c r="TML213" s="316"/>
      <c r="TMP213" s="316"/>
      <c r="TMT213" s="316"/>
      <c r="TMX213" s="316"/>
      <c r="TNB213" s="316"/>
      <c r="TNF213" s="316"/>
      <c r="TNJ213" s="316"/>
      <c r="TNN213" s="316"/>
      <c r="TNR213" s="316"/>
      <c r="TNV213" s="316"/>
      <c r="TNZ213" s="316"/>
      <c r="TOD213" s="316"/>
      <c r="TOH213" s="316"/>
      <c r="TOL213" s="316"/>
      <c r="TOP213" s="316"/>
      <c r="TOT213" s="316"/>
      <c r="TOX213" s="316"/>
      <c r="TPB213" s="316"/>
      <c r="TPF213" s="316"/>
      <c r="TPJ213" s="316"/>
      <c r="TPN213" s="316"/>
      <c r="TPR213" s="316"/>
      <c r="TPV213" s="316"/>
      <c r="TPZ213" s="316"/>
      <c r="TQD213" s="316"/>
      <c r="TQH213" s="316"/>
      <c r="TQL213" s="316"/>
      <c r="TQP213" s="316"/>
      <c r="TQT213" s="316"/>
      <c r="TQX213" s="316"/>
      <c r="TRB213" s="316"/>
      <c r="TRF213" s="316"/>
      <c r="TRJ213" s="316"/>
      <c r="TRN213" s="316"/>
      <c r="TRR213" s="316"/>
      <c r="TRV213" s="316"/>
      <c r="TRZ213" s="316"/>
      <c r="TSD213" s="316"/>
      <c r="TSH213" s="316"/>
      <c r="TSL213" s="316"/>
      <c r="TSP213" s="316"/>
      <c r="TST213" s="316"/>
      <c r="TSX213" s="316"/>
      <c r="TTB213" s="316"/>
      <c r="TTF213" s="316"/>
      <c r="TTJ213" s="316"/>
      <c r="TTN213" s="316"/>
      <c r="TTR213" s="316"/>
      <c r="TTV213" s="316"/>
      <c r="TTZ213" s="316"/>
      <c r="TUD213" s="316"/>
      <c r="TUH213" s="316"/>
      <c r="TUL213" s="316"/>
      <c r="TUP213" s="316"/>
      <c r="TUT213" s="316"/>
      <c r="TUX213" s="316"/>
      <c r="TVB213" s="316"/>
      <c r="TVF213" s="316"/>
      <c r="TVJ213" s="316"/>
      <c r="TVN213" s="316"/>
      <c r="TVR213" s="316"/>
      <c r="TVV213" s="316"/>
      <c r="TVZ213" s="316"/>
      <c r="TWD213" s="316"/>
      <c r="TWH213" s="316"/>
      <c r="TWL213" s="316"/>
      <c r="TWP213" s="316"/>
      <c r="TWT213" s="316"/>
      <c r="TWX213" s="316"/>
      <c r="TXB213" s="316"/>
      <c r="TXF213" s="316"/>
      <c r="TXJ213" s="316"/>
      <c r="TXN213" s="316"/>
      <c r="TXR213" s="316"/>
      <c r="TXV213" s="316"/>
      <c r="TXZ213" s="316"/>
      <c r="TYD213" s="316"/>
      <c r="TYH213" s="316"/>
      <c r="TYL213" s="316"/>
      <c r="TYP213" s="316"/>
      <c r="TYT213" s="316"/>
      <c r="TYX213" s="316"/>
      <c r="TZB213" s="316"/>
      <c r="TZF213" s="316"/>
      <c r="TZJ213" s="316"/>
      <c r="TZN213" s="316"/>
      <c r="TZR213" s="316"/>
      <c r="TZV213" s="316"/>
      <c r="TZZ213" s="316"/>
      <c r="UAD213" s="316"/>
      <c r="UAH213" s="316"/>
      <c r="UAL213" s="316"/>
      <c r="UAP213" s="316"/>
      <c r="UAT213" s="316"/>
      <c r="UAX213" s="316"/>
      <c r="UBB213" s="316"/>
      <c r="UBF213" s="316"/>
      <c r="UBJ213" s="316"/>
      <c r="UBN213" s="316"/>
      <c r="UBR213" s="316"/>
      <c r="UBV213" s="316"/>
      <c r="UBZ213" s="316"/>
      <c r="UCD213" s="316"/>
      <c r="UCH213" s="316"/>
      <c r="UCL213" s="316"/>
      <c r="UCP213" s="316"/>
      <c r="UCT213" s="316"/>
      <c r="UCX213" s="316"/>
      <c r="UDB213" s="316"/>
      <c r="UDF213" s="316"/>
      <c r="UDJ213" s="316"/>
      <c r="UDN213" s="316"/>
      <c r="UDR213" s="316"/>
      <c r="UDV213" s="316"/>
      <c r="UDZ213" s="316"/>
      <c r="UED213" s="316"/>
      <c r="UEH213" s="316"/>
      <c r="UEL213" s="316"/>
      <c r="UEP213" s="316"/>
      <c r="UET213" s="316"/>
      <c r="UEX213" s="316"/>
      <c r="UFB213" s="316"/>
      <c r="UFF213" s="316"/>
      <c r="UFJ213" s="316"/>
      <c r="UFN213" s="316"/>
      <c r="UFR213" s="316"/>
      <c r="UFV213" s="316"/>
      <c r="UFZ213" s="316"/>
      <c r="UGD213" s="316"/>
      <c r="UGH213" s="316"/>
      <c r="UGL213" s="316"/>
      <c r="UGP213" s="316"/>
      <c r="UGT213" s="316"/>
      <c r="UGX213" s="316"/>
      <c r="UHB213" s="316"/>
      <c r="UHF213" s="316"/>
      <c r="UHJ213" s="316"/>
      <c r="UHN213" s="316"/>
      <c r="UHR213" s="316"/>
      <c r="UHV213" s="316"/>
      <c r="UHZ213" s="316"/>
      <c r="UID213" s="316"/>
      <c r="UIH213" s="316"/>
      <c r="UIL213" s="316"/>
      <c r="UIP213" s="316"/>
      <c r="UIT213" s="316"/>
      <c r="UIX213" s="316"/>
      <c r="UJB213" s="316"/>
      <c r="UJF213" s="316"/>
      <c r="UJJ213" s="316"/>
      <c r="UJN213" s="316"/>
      <c r="UJR213" s="316"/>
      <c r="UJV213" s="316"/>
      <c r="UJZ213" s="316"/>
      <c r="UKD213" s="316"/>
      <c r="UKH213" s="316"/>
      <c r="UKL213" s="316"/>
      <c r="UKP213" s="316"/>
      <c r="UKT213" s="316"/>
      <c r="UKX213" s="316"/>
      <c r="ULB213" s="316"/>
      <c r="ULF213" s="316"/>
      <c r="ULJ213" s="316"/>
      <c r="ULN213" s="316"/>
      <c r="ULR213" s="316"/>
      <c r="ULV213" s="316"/>
      <c r="ULZ213" s="316"/>
      <c r="UMD213" s="316"/>
      <c r="UMH213" s="316"/>
      <c r="UML213" s="316"/>
      <c r="UMP213" s="316"/>
      <c r="UMT213" s="316"/>
      <c r="UMX213" s="316"/>
      <c r="UNB213" s="316"/>
      <c r="UNF213" s="316"/>
      <c r="UNJ213" s="316"/>
      <c r="UNN213" s="316"/>
      <c r="UNR213" s="316"/>
      <c r="UNV213" s="316"/>
      <c r="UNZ213" s="316"/>
      <c r="UOD213" s="316"/>
      <c r="UOH213" s="316"/>
      <c r="UOL213" s="316"/>
      <c r="UOP213" s="316"/>
      <c r="UOT213" s="316"/>
      <c r="UOX213" s="316"/>
      <c r="UPB213" s="316"/>
      <c r="UPF213" s="316"/>
      <c r="UPJ213" s="316"/>
      <c r="UPN213" s="316"/>
      <c r="UPR213" s="316"/>
      <c r="UPV213" s="316"/>
      <c r="UPZ213" s="316"/>
      <c r="UQD213" s="316"/>
      <c r="UQH213" s="316"/>
      <c r="UQL213" s="316"/>
      <c r="UQP213" s="316"/>
      <c r="UQT213" s="316"/>
      <c r="UQX213" s="316"/>
      <c r="URB213" s="316"/>
      <c r="URF213" s="316"/>
      <c r="URJ213" s="316"/>
      <c r="URN213" s="316"/>
      <c r="URR213" s="316"/>
      <c r="URV213" s="316"/>
      <c r="URZ213" s="316"/>
      <c r="USD213" s="316"/>
      <c r="USH213" s="316"/>
      <c r="USL213" s="316"/>
      <c r="USP213" s="316"/>
      <c r="UST213" s="316"/>
      <c r="USX213" s="316"/>
      <c r="UTB213" s="316"/>
      <c r="UTF213" s="316"/>
      <c r="UTJ213" s="316"/>
      <c r="UTN213" s="316"/>
      <c r="UTR213" s="316"/>
      <c r="UTV213" s="316"/>
      <c r="UTZ213" s="316"/>
      <c r="UUD213" s="316"/>
      <c r="UUH213" s="316"/>
      <c r="UUL213" s="316"/>
      <c r="UUP213" s="316"/>
      <c r="UUT213" s="316"/>
      <c r="UUX213" s="316"/>
      <c r="UVB213" s="316"/>
      <c r="UVF213" s="316"/>
      <c r="UVJ213" s="316"/>
      <c r="UVN213" s="316"/>
      <c r="UVR213" s="316"/>
      <c r="UVV213" s="316"/>
      <c r="UVZ213" s="316"/>
      <c r="UWD213" s="316"/>
      <c r="UWH213" s="316"/>
      <c r="UWL213" s="316"/>
      <c r="UWP213" s="316"/>
      <c r="UWT213" s="316"/>
      <c r="UWX213" s="316"/>
      <c r="UXB213" s="316"/>
      <c r="UXF213" s="316"/>
      <c r="UXJ213" s="316"/>
      <c r="UXN213" s="316"/>
      <c r="UXR213" s="316"/>
      <c r="UXV213" s="316"/>
      <c r="UXZ213" s="316"/>
      <c r="UYD213" s="316"/>
      <c r="UYH213" s="316"/>
      <c r="UYL213" s="316"/>
      <c r="UYP213" s="316"/>
      <c r="UYT213" s="316"/>
      <c r="UYX213" s="316"/>
      <c r="UZB213" s="316"/>
      <c r="UZF213" s="316"/>
      <c r="UZJ213" s="316"/>
      <c r="UZN213" s="316"/>
      <c r="UZR213" s="316"/>
      <c r="UZV213" s="316"/>
      <c r="UZZ213" s="316"/>
      <c r="VAD213" s="316"/>
      <c r="VAH213" s="316"/>
      <c r="VAL213" s="316"/>
      <c r="VAP213" s="316"/>
      <c r="VAT213" s="316"/>
      <c r="VAX213" s="316"/>
      <c r="VBB213" s="316"/>
      <c r="VBF213" s="316"/>
      <c r="VBJ213" s="316"/>
      <c r="VBN213" s="316"/>
      <c r="VBR213" s="316"/>
      <c r="VBV213" s="316"/>
      <c r="VBZ213" s="316"/>
      <c r="VCD213" s="316"/>
      <c r="VCH213" s="316"/>
      <c r="VCL213" s="316"/>
      <c r="VCP213" s="316"/>
      <c r="VCT213" s="316"/>
      <c r="VCX213" s="316"/>
      <c r="VDB213" s="316"/>
      <c r="VDF213" s="316"/>
      <c r="VDJ213" s="316"/>
      <c r="VDN213" s="316"/>
      <c r="VDR213" s="316"/>
      <c r="VDV213" s="316"/>
      <c r="VDZ213" s="316"/>
      <c r="VED213" s="316"/>
      <c r="VEH213" s="316"/>
      <c r="VEL213" s="316"/>
      <c r="VEP213" s="316"/>
      <c r="VET213" s="316"/>
      <c r="VEX213" s="316"/>
      <c r="VFB213" s="316"/>
      <c r="VFF213" s="316"/>
      <c r="VFJ213" s="316"/>
      <c r="VFN213" s="316"/>
      <c r="VFR213" s="316"/>
      <c r="VFV213" s="316"/>
      <c r="VFZ213" s="316"/>
      <c r="VGD213" s="316"/>
      <c r="VGH213" s="316"/>
      <c r="VGL213" s="316"/>
      <c r="VGP213" s="316"/>
      <c r="VGT213" s="316"/>
      <c r="VGX213" s="316"/>
      <c r="VHB213" s="316"/>
      <c r="VHF213" s="316"/>
      <c r="VHJ213" s="316"/>
      <c r="VHN213" s="316"/>
      <c r="VHR213" s="316"/>
      <c r="VHV213" s="316"/>
      <c r="VHZ213" s="316"/>
      <c r="VID213" s="316"/>
      <c r="VIH213" s="316"/>
      <c r="VIL213" s="316"/>
      <c r="VIP213" s="316"/>
      <c r="VIT213" s="316"/>
      <c r="VIX213" s="316"/>
      <c r="VJB213" s="316"/>
      <c r="VJF213" s="316"/>
      <c r="VJJ213" s="316"/>
      <c r="VJN213" s="316"/>
      <c r="VJR213" s="316"/>
      <c r="VJV213" s="316"/>
      <c r="VJZ213" s="316"/>
      <c r="VKD213" s="316"/>
      <c r="VKH213" s="316"/>
      <c r="VKL213" s="316"/>
      <c r="VKP213" s="316"/>
      <c r="VKT213" s="316"/>
      <c r="VKX213" s="316"/>
      <c r="VLB213" s="316"/>
      <c r="VLF213" s="316"/>
      <c r="VLJ213" s="316"/>
      <c r="VLN213" s="316"/>
      <c r="VLR213" s="316"/>
      <c r="VLV213" s="316"/>
      <c r="VLZ213" s="316"/>
      <c r="VMD213" s="316"/>
      <c r="VMH213" s="316"/>
      <c r="VML213" s="316"/>
      <c r="VMP213" s="316"/>
      <c r="VMT213" s="316"/>
      <c r="VMX213" s="316"/>
      <c r="VNB213" s="316"/>
      <c r="VNF213" s="316"/>
      <c r="VNJ213" s="316"/>
      <c r="VNN213" s="316"/>
      <c r="VNR213" s="316"/>
      <c r="VNV213" s="316"/>
      <c r="VNZ213" s="316"/>
      <c r="VOD213" s="316"/>
      <c r="VOH213" s="316"/>
      <c r="VOL213" s="316"/>
      <c r="VOP213" s="316"/>
      <c r="VOT213" s="316"/>
      <c r="VOX213" s="316"/>
      <c r="VPB213" s="316"/>
      <c r="VPF213" s="316"/>
      <c r="VPJ213" s="316"/>
      <c r="VPN213" s="316"/>
      <c r="VPR213" s="316"/>
      <c r="VPV213" s="316"/>
      <c r="VPZ213" s="316"/>
      <c r="VQD213" s="316"/>
      <c r="VQH213" s="316"/>
      <c r="VQL213" s="316"/>
      <c r="VQP213" s="316"/>
      <c r="VQT213" s="316"/>
      <c r="VQX213" s="316"/>
      <c r="VRB213" s="316"/>
      <c r="VRF213" s="316"/>
      <c r="VRJ213" s="316"/>
      <c r="VRN213" s="316"/>
      <c r="VRR213" s="316"/>
      <c r="VRV213" s="316"/>
      <c r="VRZ213" s="316"/>
      <c r="VSD213" s="316"/>
      <c r="VSH213" s="316"/>
      <c r="VSL213" s="316"/>
      <c r="VSP213" s="316"/>
      <c r="VST213" s="316"/>
      <c r="VSX213" s="316"/>
      <c r="VTB213" s="316"/>
      <c r="VTF213" s="316"/>
      <c r="VTJ213" s="316"/>
      <c r="VTN213" s="316"/>
      <c r="VTR213" s="316"/>
      <c r="VTV213" s="316"/>
      <c r="VTZ213" s="316"/>
      <c r="VUD213" s="316"/>
      <c r="VUH213" s="316"/>
      <c r="VUL213" s="316"/>
      <c r="VUP213" s="316"/>
      <c r="VUT213" s="316"/>
      <c r="VUX213" s="316"/>
      <c r="VVB213" s="316"/>
      <c r="VVF213" s="316"/>
      <c r="VVJ213" s="316"/>
      <c r="VVN213" s="316"/>
      <c r="VVR213" s="316"/>
      <c r="VVV213" s="316"/>
      <c r="VVZ213" s="316"/>
      <c r="VWD213" s="316"/>
      <c r="VWH213" s="316"/>
      <c r="VWL213" s="316"/>
      <c r="VWP213" s="316"/>
      <c r="VWT213" s="316"/>
      <c r="VWX213" s="316"/>
      <c r="VXB213" s="316"/>
      <c r="VXF213" s="316"/>
      <c r="VXJ213" s="316"/>
      <c r="VXN213" s="316"/>
      <c r="VXR213" s="316"/>
      <c r="VXV213" s="316"/>
      <c r="VXZ213" s="316"/>
      <c r="VYD213" s="316"/>
      <c r="VYH213" s="316"/>
      <c r="VYL213" s="316"/>
      <c r="VYP213" s="316"/>
      <c r="VYT213" s="316"/>
      <c r="VYX213" s="316"/>
      <c r="VZB213" s="316"/>
      <c r="VZF213" s="316"/>
      <c r="VZJ213" s="316"/>
      <c r="VZN213" s="316"/>
      <c r="VZR213" s="316"/>
      <c r="VZV213" s="316"/>
      <c r="VZZ213" s="316"/>
      <c r="WAD213" s="316"/>
      <c r="WAH213" s="316"/>
      <c r="WAL213" s="316"/>
      <c r="WAP213" s="316"/>
      <c r="WAT213" s="316"/>
      <c r="WAX213" s="316"/>
      <c r="WBB213" s="316"/>
      <c r="WBF213" s="316"/>
      <c r="WBJ213" s="316"/>
      <c r="WBN213" s="316"/>
      <c r="WBR213" s="316"/>
      <c r="WBV213" s="316"/>
      <c r="WBZ213" s="316"/>
      <c r="WCD213" s="316"/>
      <c r="WCH213" s="316"/>
      <c r="WCL213" s="316"/>
      <c r="WCP213" s="316"/>
      <c r="WCT213" s="316"/>
      <c r="WCX213" s="316"/>
      <c r="WDB213" s="316"/>
      <c r="WDF213" s="316"/>
      <c r="WDJ213" s="316"/>
      <c r="WDN213" s="316"/>
      <c r="WDR213" s="316"/>
      <c r="WDV213" s="316"/>
      <c r="WDZ213" s="316"/>
      <c r="WED213" s="316"/>
      <c r="WEH213" s="316"/>
      <c r="WEL213" s="316"/>
      <c r="WEP213" s="316"/>
      <c r="WET213" s="316"/>
      <c r="WEX213" s="316"/>
      <c r="WFB213" s="316"/>
      <c r="WFF213" s="316"/>
      <c r="WFJ213" s="316"/>
      <c r="WFN213" s="316"/>
      <c r="WFR213" s="316"/>
      <c r="WFV213" s="316"/>
      <c r="WFZ213" s="316"/>
      <c r="WGD213" s="316"/>
      <c r="WGH213" s="316"/>
      <c r="WGL213" s="316"/>
      <c r="WGP213" s="316"/>
      <c r="WGT213" s="316"/>
      <c r="WGX213" s="316"/>
      <c r="WHB213" s="316"/>
      <c r="WHF213" s="316"/>
      <c r="WHJ213" s="316"/>
      <c r="WHN213" s="316"/>
      <c r="WHR213" s="316"/>
      <c r="WHV213" s="316"/>
      <c r="WHZ213" s="316"/>
      <c r="WID213" s="316"/>
      <c r="WIH213" s="316"/>
      <c r="WIL213" s="316"/>
      <c r="WIP213" s="316"/>
      <c r="WIT213" s="316"/>
      <c r="WIX213" s="316"/>
      <c r="WJB213" s="316"/>
      <c r="WJF213" s="316"/>
      <c r="WJJ213" s="316"/>
      <c r="WJN213" s="316"/>
      <c r="WJR213" s="316"/>
      <c r="WJV213" s="316"/>
      <c r="WJZ213" s="316"/>
      <c r="WKD213" s="316"/>
      <c r="WKH213" s="316"/>
      <c r="WKL213" s="316"/>
      <c r="WKP213" s="316"/>
      <c r="WKT213" s="316"/>
      <c r="WKX213" s="316"/>
      <c r="WLB213" s="316"/>
      <c r="WLF213" s="316"/>
      <c r="WLJ213" s="316"/>
      <c r="WLN213" s="316"/>
      <c r="WLR213" s="316"/>
      <c r="WLV213" s="316"/>
      <c r="WLZ213" s="316"/>
      <c r="WMD213" s="316"/>
      <c r="WMH213" s="316"/>
      <c r="WML213" s="316"/>
      <c r="WMP213" s="316"/>
      <c r="WMT213" s="316"/>
      <c r="WMX213" s="316"/>
      <c r="WNB213" s="316"/>
      <c r="WNF213" s="316"/>
      <c r="WNJ213" s="316"/>
      <c r="WNN213" s="316"/>
      <c r="WNR213" s="316"/>
      <c r="WNV213" s="316"/>
      <c r="WNZ213" s="316"/>
      <c r="WOD213" s="316"/>
      <c r="WOH213" s="316"/>
      <c r="WOL213" s="316"/>
      <c r="WOP213" s="316"/>
      <c r="WOT213" s="316"/>
      <c r="WOX213" s="316"/>
      <c r="WPB213" s="316"/>
      <c r="WPF213" s="316"/>
      <c r="WPJ213" s="316"/>
      <c r="WPN213" s="316"/>
      <c r="WPR213" s="316"/>
      <c r="WPV213" s="316"/>
      <c r="WPZ213" s="316"/>
      <c r="WQD213" s="316"/>
      <c r="WQH213" s="316"/>
      <c r="WQL213" s="316"/>
      <c r="WQP213" s="316"/>
      <c r="WQT213" s="316"/>
      <c r="WQX213" s="316"/>
      <c r="WRB213" s="316"/>
      <c r="WRF213" s="316"/>
      <c r="WRJ213" s="316"/>
      <c r="WRN213" s="316"/>
      <c r="WRR213" s="316"/>
      <c r="WRV213" s="316"/>
      <c r="WRZ213" s="316"/>
      <c r="WSD213" s="316"/>
      <c r="WSH213" s="316"/>
      <c r="WSL213" s="316"/>
      <c r="WSP213" s="316"/>
      <c r="WST213" s="316"/>
      <c r="WSX213" s="316"/>
      <c r="WTB213" s="316"/>
      <c r="WTF213" s="316"/>
      <c r="WTJ213" s="316"/>
      <c r="WTN213" s="316"/>
      <c r="WTR213" s="316"/>
      <c r="WTV213" s="316"/>
      <c r="WTZ213" s="316"/>
      <c r="WUD213" s="316"/>
      <c r="WUH213" s="316"/>
      <c r="WUL213" s="316"/>
      <c r="WUP213" s="316"/>
      <c r="WUT213" s="316"/>
      <c r="WUX213" s="316"/>
      <c r="WVB213" s="316"/>
      <c r="WVF213" s="316"/>
      <c r="WVJ213" s="316"/>
      <c r="WVN213" s="316"/>
      <c r="WVR213" s="316"/>
      <c r="WVV213" s="316"/>
      <c r="WVZ213" s="316"/>
      <c r="WWD213" s="316"/>
      <c r="WWH213" s="316"/>
      <c r="WWL213" s="316"/>
      <c r="WWP213" s="316"/>
      <c r="WWT213" s="316"/>
      <c r="WWX213" s="316"/>
      <c r="WXB213" s="316"/>
      <c r="WXF213" s="316"/>
      <c r="WXJ213" s="316"/>
      <c r="WXN213" s="316"/>
      <c r="WXR213" s="316"/>
      <c r="WXV213" s="316"/>
      <c r="WXZ213" s="316"/>
      <c r="WYD213" s="316"/>
      <c r="WYH213" s="316"/>
      <c r="WYL213" s="316"/>
      <c r="WYP213" s="316"/>
      <c r="WYT213" s="316"/>
      <c r="WYX213" s="316"/>
      <c r="WZB213" s="316"/>
      <c r="WZF213" s="316"/>
      <c r="WZJ213" s="316"/>
      <c r="WZN213" s="316"/>
      <c r="WZR213" s="316"/>
      <c r="WZV213" s="316"/>
      <c r="WZZ213" s="316"/>
      <c r="XAD213" s="316"/>
      <c r="XAH213" s="316"/>
      <c r="XAL213" s="316"/>
      <c r="XAP213" s="316"/>
      <c r="XAT213" s="316"/>
      <c r="XAX213" s="316"/>
      <c r="XBB213" s="316"/>
      <c r="XBF213" s="316"/>
      <c r="XBJ213" s="316"/>
      <c r="XBN213" s="316"/>
      <c r="XBR213" s="316"/>
      <c r="XBV213" s="316"/>
      <c r="XBZ213" s="316"/>
      <c r="XCD213" s="316"/>
      <c r="XCH213" s="316"/>
      <c r="XCL213" s="316"/>
      <c r="XCP213" s="316"/>
      <c r="XCT213" s="316"/>
      <c r="XCX213" s="316"/>
      <c r="XDB213" s="316"/>
      <c r="XDF213" s="316"/>
      <c r="XDJ213" s="316"/>
      <c r="XDN213" s="316"/>
      <c r="XDR213" s="316"/>
      <c r="XDV213" s="316"/>
      <c r="XDZ213" s="316"/>
      <c r="XED213" s="316"/>
      <c r="XEH213" s="316"/>
      <c r="XEL213" s="316"/>
      <c r="XEP213" s="316"/>
      <c r="XET213" s="316"/>
      <c r="XEX213" s="316"/>
      <c r="XFB213" s="316"/>
    </row>
    <row r="214" ht="28.399999999999999" customHeight="1">
      <c r="E214" s="111" t="s">
        <v>822</v>
      </c>
      <c r="F214" s="111" t="s">
        <v>491</v>
      </c>
      <c r="G214" s="111" t="s">
        <v>498</v>
      </c>
      <c r="H214" s="313">
        <v>15725</v>
      </c>
      <c r="I214" s="313">
        <v>15750</v>
      </c>
      <c r="L214" s="39" t="s">
        <v>325</v>
      </c>
      <c r="M214" s="39">
        <v>1</v>
      </c>
      <c r="N214" s="39">
        <v>0</v>
      </c>
      <c r="O214" s="39">
        <v>0</v>
      </c>
      <c r="P214" s="142">
        <v>1</v>
      </c>
      <c r="Q214" s="39">
        <v>0</v>
      </c>
      <c r="R214" s="39">
        <v>0</v>
      </c>
      <c r="S214" s="39">
        <v>0</v>
      </c>
      <c r="T214" s="142">
        <v>0</v>
      </c>
      <c r="U214" s="39">
        <v>0</v>
      </c>
      <c r="V214" s="39">
        <v>1</v>
      </c>
      <c r="W214" s="39">
        <v>0</v>
      </c>
      <c r="X214" s="39">
        <v>1</v>
      </c>
      <c r="Y214" s="39">
        <v>0</v>
      </c>
      <c r="Z214" s="39">
        <v>1</v>
      </c>
      <c r="AA214" s="39">
        <v>1</v>
      </c>
      <c r="AB214" s="39">
        <v>0</v>
      </c>
      <c r="AC214" s="39">
        <v>0</v>
      </c>
      <c r="AD214" s="39">
        <v>0</v>
      </c>
      <c r="AE214" s="39">
        <v>0</v>
      </c>
      <c r="AF214" s="39">
        <v>1</v>
      </c>
      <c r="AG214" s="39">
        <v>0</v>
      </c>
      <c r="AH214" s="39">
        <v>0</v>
      </c>
      <c r="AI214" s="39">
        <v>0</v>
      </c>
      <c r="AJ214" s="39">
        <v>0</v>
      </c>
      <c r="AK214" s="39">
        <v>1</v>
      </c>
      <c r="AL214" s="39">
        <v>1</v>
      </c>
      <c r="AM214" s="39">
        <v>0</v>
      </c>
      <c r="AN214" s="39">
        <v>1</v>
      </c>
      <c r="AO214" s="39">
        <v>1</v>
      </c>
      <c r="AP214" s="39">
        <v>0</v>
      </c>
      <c r="AQ214" s="39">
        <v>0</v>
      </c>
      <c r="AR214" s="39">
        <v>0</v>
      </c>
      <c r="AS214" s="39">
        <v>0</v>
      </c>
      <c r="AT214" s="39">
        <v>0</v>
      </c>
      <c r="AU214" s="39">
        <v>0</v>
      </c>
      <c r="AV214" s="39">
        <v>0</v>
      </c>
      <c r="AW214" s="39">
        <v>0</v>
      </c>
      <c r="AX214" s="39">
        <v>0</v>
      </c>
      <c r="AY214" s="39">
        <v>0</v>
      </c>
      <c r="AZ214" s="39">
        <v>0</v>
      </c>
      <c r="BA214" s="39">
        <v>0</v>
      </c>
      <c r="BB214" s="39">
        <v>0</v>
      </c>
      <c r="BC214" s="39">
        <v>0</v>
      </c>
      <c r="BD214" s="39">
        <v>0</v>
      </c>
      <c r="BE214" s="39">
        <v>0</v>
      </c>
      <c r="BF214" s="39">
        <v>0</v>
      </c>
      <c r="BG214" s="39">
        <v>0</v>
      </c>
      <c r="BH214" s="39">
        <v>0</v>
      </c>
      <c r="BI214" s="39">
        <v>0</v>
      </c>
      <c r="BJ214" s="39">
        <v>0</v>
      </c>
    </row>
    <row r="215" ht="28.399999999999999" customHeight="1">
      <c r="E215" s="111" t="s">
        <v>823</v>
      </c>
      <c r="F215" s="111" t="s">
        <v>542</v>
      </c>
      <c r="G215" s="111" t="s">
        <v>498</v>
      </c>
      <c r="H215" s="313">
        <v>20053</v>
      </c>
      <c r="I215" s="313">
        <v>20064</v>
      </c>
      <c r="L215" s="39" t="s">
        <v>325</v>
      </c>
      <c r="M215" s="39">
        <v>1</v>
      </c>
      <c r="P215" s="142">
        <v>1</v>
      </c>
      <c r="T215" s="142"/>
      <c r="W215" s="39">
        <v>1</v>
      </c>
      <c r="Z215" s="39">
        <v>1</v>
      </c>
      <c r="AA215" s="39">
        <v>1</v>
      </c>
      <c r="AE215" s="39">
        <v>1</v>
      </c>
      <c r="AF215" s="39">
        <v>1</v>
      </c>
      <c r="AG215" s="39">
        <v>1</v>
      </c>
      <c r="AI215" s="39">
        <v>1</v>
      </c>
      <c r="AL215" s="39">
        <v>1</v>
      </c>
      <c r="AO215" s="39">
        <v>1</v>
      </c>
    </row>
    <row r="216" s="144" customFormat="1" ht="14.25" customHeight="1">
      <c r="B216" s="237"/>
      <c r="C216" s="316"/>
      <c r="D216" s="39"/>
      <c r="E216" s="145" t="s">
        <v>824</v>
      </c>
      <c r="F216" s="145" t="s">
        <v>825</v>
      </c>
      <c r="G216" s="145" t="s">
        <v>498</v>
      </c>
      <c r="H216" s="320">
        <v>20378</v>
      </c>
      <c r="I216" s="320">
        <v>20441</v>
      </c>
      <c r="J216" s="111"/>
      <c r="L216" s="144" t="s">
        <v>325</v>
      </c>
      <c r="M216" s="144">
        <v>1</v>
      </c>
      <c r="N216" s="144">
        <v>0</v>
      </c>
      <c r="O216" s="144">
        <v>0</v>
      </c>
      <c r="P216" s="142">
        <v>1</v>
      </c>
      <c r="Q216" s="144">
        <v>0</v>
      </c>
      <c r="R216" s="144">
        <v>0</v>
      </c>
      <c r="S216" s="144">
        <v>0</v>
      </c>
      <c r="T216" s="142">
        <v>0</v>
      </c>
      <c r="U216" s="144">
        <v>0</v>
      </c>
      <c r="V216" s="144">
        <v>0</v>
      </c>
      <c r="W216" s="144">
        <v>1</v>
      </c>
      <c r="X216" s="144">
        <v>1</v>
      </c>
      <c r="Y216" s="144">
        <v>0</v>
      </c>
      <c r="Z216" s="144">
        <v>1</v>
      </c>
      <c r="AA216" s="144">
        <v>1</v>
      </c>
      <c r="AB216" s="144">
        <v>0</v>
      </c>
      <c r="AC216" s="144">
        <v>0</v>
      </c>
      <c r="AD216" s="144">
        <v>0</v>
      </c>
      <c r="AE216" s="144">
        <v>1</v>
      </c>
      <c r="AF216" s="144">
        <v>1</v>
      </c>
      <c r="AG216" s="144">
        <v>0</v>
      </c>
      <c r="AH216" s="144">
        <v>0</v>
      </c>
      <c r="AI216" s="144">
        <v>0</v>
      </c>
      <c r="AJ216" s="144">
        <v>0</v>
      </c>
      <c r="AK216" s="144">
        <v>0</v>
      </c>
      <c r="AL216" s="144">
        <v>1</v>
      </c>
      <c r="AM216" s="144">
        <v>1</v>
      </c>
      <c r="AN216" s="144">
        <v>0</v>
      </c>
      <c r="AO216" s="144">
        <v>0</v>
      </c>
      <c r="AP216" s="144">
        <v>1</v>
      </c>
      <c r="AQ216" s="144">
        <v>0</v>
      </c>
      <c r="AR216" s="144">
        <v>0</v>
      </c>
      <c r="AS216" s="144">
        <v>0</v>
      </c>
      <c r="AT216" s="144">
        <v>0</v>
      </c>
      <c r="AU216" s="144">
        <v>0</v>
      </c>
      <c r="AV216" s="144">
        <v>0</v>
      </c>
      <c r="AW216" s="144">
        <v>0</v>
      </c>
      <c r="AX216" s="144">
        <v>0</v>
      </c>
      <c r="AY216" s="144">
        <v>0</v>
      </c>
      <c r="AZ216" s="144">
        <v>0</v>
      </c>
      <c r="BA216" s="144">
        <v>0</v>
      </c>
      <c r="BB216" s="144">
        <v>0</v>
      </c>
      <c r="BC216" s="144">
        <v>0</v>
      </c>
      <c r="BD216" s="144">
        <v>0</v>
      </c>
      <c r="BE216" s="144">
        <v>0</v>
      </c>
      <c r="BF216" s="144">
        <v>0</v>
      </c>
      <c r="BG216" s="144">
        <v>0</v>
      </c>
      <c r="BH216" s="144">
        <v>0</v>
      </c>
      <c r="BI216" s="144">
        <v>0</v>
      </c>
      <c r="BJ216" s="144">
        <v>0</v>
      </c>
    </row>
    <row r="217" s="144" customFormat="1" ht="14.25" customHeight="1">
      <c r="B217" s="237"/>
      <c r="C217" s="316"/>
      <c r="D217" s="39"/>
      <c r="E217" s="145" t="s">
        <v>826</v>
      </c>
      <c r="F217" s="145" t="s">
        <v>827</v>
      </c>
      <c r="G217" s="156" t="s">
        <v>498</v>
      </c>
      <c r="H217" s="321">
        <v>20555</v>
      </c>
      <c r="I217" s="321">
        <v>20594</v>
      </c>
      <c r="J217" s="111"/>
      <c r="L217" s="160" t="s">
        <v>325</v>
      </c>
      <c r="M217" s="144">
        <v>1</v>
      </c>
      <c r="N217" s="144">
        <v>0</v>
      </c>
      <c r="O217" s="144">
        <v>0</v>
      </c>
      <c r="P217" s="142">
        <v>1</v>
      </c>
      <c r="Q217" s="144">
        <v>0</v>
      </c>
      <c r="R217" s="144">
        <v>0</v>
      </c>
      <c r="S217" s="144">
        <v>0</v>
      </c>
      <c r="T217" s="142">
        <v>0</v>
      </c>
      <c r="U217" s="144">
        <v>0</v>
      </c>
      <c r="V217" s="144">
        <v>0</v>
      </c>
      <c r="W217" s="144">
        <v>1</v>
      </c>
      <c r="X217" s="144">
        <v>0</v>
      </c>
      <c r="Y217" s="144">
        <v>0</v>
      </c>
      <c r="Z217" s="144">
        <v>1</v>
      </c>
      <c r="AA217" s="144">
        <v>1</v>
      </c>
      <c r="AB217" s="144">
        <v>0</v>
      </c>
      <c r="AC217" s="144">
        <v>0</v>
      </c>
      <c r="AD217" s="144">
        <v>0</v>
      </c>
      <c r="AE217" s="144">
        <v>1</v>
      </c>
      <c r="AF217" s="144">
        <v>1</v>
      </c>
      <c r="AG217" s="144">
        <v>0</v>
      </c>
      <c r="AH217" s="144">
        <v>0</v>
      </c>
      <c r="AI217" s="144">
        <v>0</v>
      </c>
      <c r="AJ217" s="144">
        <v>0</v>
      </c>
      <c r="AK217" s="144">
        <v>0</v>
      </c>
      <c r="AL217" s="144">
        <v>0</v>
      </c>
      <c r="AM217" s="144">
        <v>1</v>
      </c>
      <c r="AN217" s="144">
        <v>1</v>
      </c>
      <c r="AO217" s="144">
        <v>0</v>
      </c>
      <c r="AP217" s="144">
        <v>1</v>
      </c>
      <c r="AQ217" s="144">
        <v>0</v>
      </c>
      <c r="AR217" s="144">
        <v>0</v>
      </c>
      <c r="AS217" s="144">
        <v>0</v>
      </c>
      <c r="AT217" s="144">
        <v>0</v>
      </c>
      <c r="AU217" s="144">
        <v>0</v>
      </c>
      <c r="AV217" s="144">
        <v>0</v>
      </c>
      <c r="AW217" s="144">
        <v>0</v>
      </c>
      <c r="AX217" s="144">
        <v>0</v>
      </c>
      <c r="AY217" s="144">
        <v>0</v>
      </c>
      <c r="AZ217" s="144">
        <v>0</v>
      </c>
      <c r="BA217" s="144">
        <v>0</v>
      </c>
      <c r="BB217" s="144">
        <v>0</v>
      </c>
      <c r="BC217" s="144">
        <v>0</v>
      </c>
      <c r="BD217" s="144">
        <v>0</v>
      </c>
      <c r="BE217" s="144">
        <v>0</v>
      </c>
      <c r="BF217" s="144">
        <v>0</v>
      </c>
      <c r="BG217" s="144">
        <v>0</v>
      </c>
      <c r="BH217" s="144">
        <v>0</v>
      </c>
      <c r="BI217" s="144">
        <v>0</v>
      </c>
      <c r="BJ217" s="144">
        <v>0</v>
      </c>
    </row>
    <row r="218" s="144" customFormat="1" ht="28.399999999999999" customHeight="1">
      <c r="B218" s="237"/>
      <c r="C218" s="316"/>
      <c r="D218" s="39"/>
      <c r="E218" s="156" t="s">
        <v>828</v>
      </c>
      <c r="F218" s="145" t="s">
        <v>829</v>
      </c>
      <c r="G218" s="156" t="s">
        <v>498</v>
      </c>
      <c r="H218" s="321">
        <v>20681</v>
      </c>
      <c r="I218" s="321">
        <v>20703</v>
      </c>
      <c r="J218" s="111"/>
      <c r="L218" s="144" t="s">
        <v>325</v>
      </c>
      <c r="M218" s="144">
        <v>1</v>
      </c>
      <c r="N218" s="144">
        <v>0</v>
      </c>
      <c r="O218" s="144">
        <v>0</v>
      </c>
      <c r="P218" s="142">
        <v>1</v>
      </c>
      <c r="Q218" s="144">
        <v>0</v>
      </c>
      <c r="R218" s="144">
        <v>0</v>
      </c>
      <c r="S218" s="144">
        <v>0</v>
      </c>
      <c r="T218" s="142">
        <v>0</v>
      </c>
      <c r="U218" s="144">
        <v>0</v>
      </c>
      <c r="V218" s="144">
        <v>0</v>
      </c>
      <c r="W218" s="144">
        <v>1</v>
      </c>
      <c r="X218" s="144">
        <v>0</v>
      </c>
      <c r="Y218" s="144">
        <v>0</v>
      </c>
      <c r="Z218" s="144">
        <v>1</v>
      </c>
      <c r="AA218" s="144">
        <v>1</v>
      </c>
      <c r="AB218" s="144">
        <v>0</v>
      </c>
      <c r="AC218" s="144">
        <v>0</v>
      </c>
      <c r="AD218" s="144">
        <v>0</v>
      </c>
      <c r="AE218" s="144">
        <v>0</v>
      </c>
      <c r="AF218" s="144">
        <v>1</v>
      </c>
      <c r="AG218" s="144">
        <v>0</v>
      </c>
      <c r="AH218" s="144">
        <v>0</v>
      </c>
      <c r="AI218" s="144">
        <v>0</v>
      </c>
      <c r="AJ218" s="144">
        <v>1</v>
      </c>
      <c r="AK218" s="144">
        <v>0</v>
      </c>
      <c r="AL218" s="144">
        <v>1</v>
      </c>
      <c r="AM218" s="144">
        <v>0</v>
      </c>
      <c r="AN218" s="144">
        <v>0</v>
      </c>
      <c r="AO218" s="144">
        <v>1</v>
      </c>
      <c r="AP218" s="144">
        <v>0</v>
      </c>
      <c r="AQ218" s="144">
        <v>1</v>
      </c>
      <c r="AR218" s="144">
        <v>0</v>
      </c>
      <c r="AS218" s="144">
        <v>0</v>
      </c>
      <c r="AT218" s="144">
        <v>0</v>
      </c>
      <c r="AU218" s="144">
        <v>1</v>
      </c>
      <c r="AV218" s="144">
        <v>0</v>
      </c>
      <c r="AW218" s="144">
        <v>0</v>
      </c>
      <c r="AX218" s="144">
        <v>1</v>
      </c>
      <c r="AY218" s="144">
        <v>0</v>
      </c>
      <c r="AZ218" s="144">
        <v>1</v>
      </c>
      <c r="BA218" s="144">
        <v>0</v>
      </c>
      <c r="BB218" s="144">
        <v>0</v>
      </c>
      <c r="BC218" s="144">
        <v>0</v>
      </c>
      <c r="BD218" s="144">
        <v>0</v>
      </c>
      <c r="BE218" s="144">
        <v>0</v>
      </c>
      <c r="BF218" s="144">
        <v>0</v>
      </c>
      <c r="BG218" s="144">
        <v>0</v>
      </c>
      <c r="BH218" s="144">
        <v>0</v>
      </c>
      <c r="BI218" s="144">
        <v>0</v>
      </c>
      <c r="BJ218" s="144">
        <v>0</v>
      </c>
    </row>
    <row r="219" s="144" customFormat="1" ht="55.25" customHeight="1">
      <c r="A219" s="247" t="s">
        <v>681</v>
      </c>
      <c r="B219" s="316"/>
      <c r="C219" s="316" t="s">
        <v>830</v>
      </c>
      <c r="D219" s="39"/>
      <c r="E219" s="111" t="s">
        <v>831</v>
      </c>
      <c r="F219" s="111" t="s">
        <v>832</v>
      </c>
      <c r="G219" s="111" t="s">
        <v>498</v>
      </c>
      <c r="H219" s="313">
        <v>20805</v>
      </c>
      <c r="I219" s="313">
        <v>20910</v>
      </c>
      <c r="J219" s="111"/>
      <c r="L219" s="144" t="s">
        <v>66</v>
      </c>
      <c r="M219" s="39">
        <v>0</v>
      </c>
      <c r="N219" s="39">
        <v>1</v>
      </c>
      <c r="O219" s="39">
        <v>0</v>
      </c>
      <c r="P219" s="39">
        <v>1</v>
      </c>
      <c r="Q219" s="39">
        <v>0</v>
      </c>
      <c r="R219" s="39">
        <v>0</v>
      </c>
      <c r="S219" s="39">
        <v>0</v>
      </c>
      <c r="T219" s="39">
        <v>0</v>
      </c>
      <c r="U219" s="39">
        <v>0</v>
      </c>
      <c r="V219" s="39">
        <v>0</v>
      </c>
      <c r="W219" s="39">
        <v>1</v>
      </c>
      <c r="X219" s="39">
        <v>0</v>
      </c>
      <c r="Y219" s="39">
        <v>1</v>
      </c>
      <c r="Z219" s="39">
        <v>0</v>
      </c>
      <c r="AA219" s="39">
        <v>1</v>
      </c>
      <c r="AB219" s="39">
        <v>0</v>
      </c>
      <c r="AC219" s="39">
        <v>0</v>
      </c>
      <c r="AD219" s="39">
        <v>0</v>
      </c>
      <c r="AE219" s="39">
        <v>1</v>
      </c>
      <c r="AF219" s="39">
        <v>1</v>
      </c>
      <c r="AG219" s="39">
        <v>1</v>
      </c>
      <c r="AH219" s="39">
        <v>0</v>
      </c>
      <c r="AI219" s="39">
        <v>1</v>
      </c>
      <c r="AJ219" s="39">
        <v>1</v>
      </c>
      <c r="AL219" s="39">
        <v>1</v>
      </c>
      <c r="AM219" s="39">
        <v>1</v>
      </c>
      <c r="AN219" s="39">
        <v>0</v>
      </c>
      <c r="AO219" s="39">
        <v>0</v>
      </c>
      <c r="AP219" s="39">
        <v>1</v>
      </c>
      <c r="AQ219" s="39">
        <v>1</v>
      </c>
      <c r="AR219" s="39">
        <v>0</v>
      </c>
      <c r="AS219" s="39">
        <v>0</v>
      </c>
      <c r="AT219" s="39">
        <v>0</v>
      </c>
      <c r="AU219" s="39">
        <v>1</v>
      </c>
      <c r="AV219" s="39">
        <v>1</v>
      </c>
      <c r="AW219" s="39">
        <v>0</v>
      </c>
      <c r="AX219" s="39">
        <v>0</v>
      </c>
      <c r="AZ219" s="39">
        <v>0</v>
      </c>
      <c r="BB219" s="39">
        <v>0</v>
      </c>
      <c r="BC219" s="39">
        <v>0</v>
      </c>
      <c r="BD219" s="39">
        <v>0</v>
      </c>
      <c r="BE219" s="39">
        <v>0</v>
      </c>
      <c r="BF219" s="39">
        <v>1</v>
      </c>
      <c r="BG219" s="39">
        <v>0</v>
      </c>
      <c r="BH219" s="39">
        <v>0</v>
      </c>
      <c r="BI219" s="39">
        <v>1</v>
      </c>
      <c r="BJ219" s="39">
        <v>0</v>
      </c>
    </row>
    <row r="220" ht="28.399999999999999" customHeight="1">
      <c r="B220" s="316"/>
      <c r="C220" s="316"/>
      <c r="D220" s="39"/>
      <c r="E220" s="111" t="s">
        <v>833</v>
      </c>
      <c r="F220" s="111" t="s">
        <v>512</v>
      </c>
      <c r="G220" s="111" t="s">
        <v>498</v>
      </c>
      <c r="H220" s="313">
        <v>20962</v>
      </c>
      <c r="I220" s="313">
        <v>20976</v>
      </c>
      <c r="L220" s="39" t="s">
        <v>325</v>
      </c>
      <c r="M220" s="39">
        <v>0</v>
      </c>
      <c r="O220" s="39">
        <v>1</v>
      </c>
      <c r="P220" s="39">
        <v>1</v>
      </c>
      <c r="V220" s="39">
        <v>0</v>
      </c>
      <c r="W220" s="39">
        <v>1</v>
      </c>
      <c r="X220" s="39">
        <v>1</v>
      </c>
      <c r="Z220" s="39">
        <v>1</v>
      </c>
      <c r="AA220" s="39">
        <v>1</v>
      </c>
      <c r="AF220" s="39">
        <v>1</v>
      </c>
      <c r="AK220" s="39">
        <v>1</v>
      </c>
      <c r="AL220" s="39">
        <v>1</v>
      </c>
      <c r="AN220" s="39">
        <v>1</v>
      </c>
      <c r="AO220" s="39">
        <v>1</v>
      </c>
    </row>
    <row r="221" ht="28.399999999999999" customHeight="1">
      <c r="B221" s="316"/>
      <c r="C221" s="316"/>
      <c r="D221" s="39"/>
      <c r="E221" s="196" t="s">
        <v>834</v>
      </c>
      <c r="F221" s="111" t="s">
        <v>689</v>
      </c>
      <c r="G221" s="196" t="s">
        <v>498</v>
      </c>
      <c r="H221" s="291">
        <v>26200</v>
      </c>
      <c r="I221" s="291">
        <v>26245</v>
      </c>
      <c r="L221" s="39" t="s">
        <v>325</v>
      </c>
      <c r="M221" s="39">
        <v>1</v>
      </c>
      <c r="N221" s="39">
        <v>0</v>
      </c>
      <c r="O221" s="39">
        <v>0</v>
      </c>
      <c r="P221" s="142">
        <v>1</v>
      </c>
      <c r="Q221" s="39">
        <v>0</v>
      </c>
      <c r="R221" s="39">
        <v>0</v>
      </c>
      <c r="S221" s="39">
        <v>0</v>
      </c>
      <c r="T221" s="142">
        <v>0</v>
      </c>
      <c r="U221" s="39">
        <v>0</v>
      </c>
      <c r="V221" s="39">
        <v>0</v>
      </c>
      <c r="W221" s="39">
        <v>1</v>
      </c>
      <c r="X221" s="39">
        <v>0</v>
      </c>
      <c r="Y221" s="39">
        <v>0</v>
      </c>
      <c r="Z221" s="39">
        <v>1</v>
      </c>
      <c r="AA221" s="39">
        <v>0</v>
      </c>
      <c r="AB221" s="39">
        <v>0</v>
      </c>
      <c r="AC221" s="39">
        <v>0</v>
      </c>
      <c r="AD221" s="39">
        <v>1</v>
      </c>
      <c r="AE221" s="39">
        <v>1</v>
      </c>
      <c r="AF221" s="39">
        <v>1</v>
      </c>
      <c r="AG221" s="39">
        <v>0</v>
      </c>
      <c r="AH221" s="39">
        <v>0</v>
      </c>
      <c r="AI221" s="39">
        <v>0</v>
      </c>
      <c r="AJ221" s="39">
        <v>0</v>
      </c>
      <c r="AL221" s="39">
        <v>1</v>
      </c>
      <c r="AM221" s="39">
        <v>1</v>
      </c>
      <c r="AN221" s="39">
        <v>0</v>
      </c>
      <c r="AO221" s="39">
        <v>0</v>
      </c>
      <c r="AP221" s="39">
        <v>1</v>
      </c>
      <c r="AQ221" s="39">
        <v>0</v>
      </c>
      <c r="AR221" s="39">
        <v>0</v>
      </c>
      <c r="AS221" s="39">
        <v>0</v>
      </c>
      <c r="AT221" s="39">
        <v>0</v>
      </c>
      <c r="AU221" s="39">
        <v>0</v>
      </c>
      <c r="AV221" s="39">
        <v>0</v>
      </c>
      <c r="AW221" s="39">
        <v>0</v>
      </c>
      <c r="AX221" s="39">
        <v>0</v>
      </c>
      <c r="AZ221" s="39">
        <v>0</v>
      </c>
      <c r="BB221" s="39">
        <v>0</v>
      </c>
      <c r="BC221" s="39">
        <v>0</v>
      </c>
      <c r="BD221" s="39">
        <v>0</v>
      </c>
      <c r="BE221" s="39">
        <v>0</v>
      </c>
      <c r="BF221" s="39">
        <v>0</v>
      </c>
      <c r="BG221" s="39">
        <v>0</v>
      </c>
      <c r="BH221" s="39">
        <v>0</v>
      </c>
      <c r="BI221" s="39">
        <v>0</v>
      </c>
      <c r="BJ221" s="39">
        <v>0</v>
      </c>
    </row>
    <row r="222" ht="135.75" customHeight="1">
      <c r="A222" s="247" t="s">
        <v>681</v>
      </c>
      <c r="B222" s="316"/>
      <c r="C222" s="316"/>
      <c r="D222" s="39"/>
      <c r="E222" s="111" t="s">
        <v>835</v>
      </c>
      <c r="F222" s="111" t="s">
        <v>836</v>
      </c>
      <c r="G222" s="111" t="s">
        <v>498</v>
      </c>
      <c r="H222" s="313">
        <v>26345</v>
      </c>
      <c r="I222" s="313">
        <v>26525</v>
      </c>
      <c r="L222" s="39" t="s">
        <v>325</v>
      </c>
      <c r="M222" s="39">
        <v>0</v>
      </c>
      <c r="N222" s="39">
        <v>0</v>
      </c>
      <c r="O222" s="39">
        <v>0</v>
      </c>
      <c r="P222" s="39">
        <v>1</v>
      </c>
      <c r="Q222" s="39">
        <v>0</v>
      </c>
      <c r="R222" s="39">
        <v>0</v>
      </c>
      <c r="S222" s="39">
        <v>0</v>
      </c>
      <c r="T222" s="39">
        <v>0</v>
      </c>
      <c r="U222" s="39">
        <v>0</v>
      </c>
      <c r="V222" s="39">
        <v>0</v>
      </c>
      <c r="W222" s="39">
        <v>1</v>
      </c>
      <c r="X222" s="39">
        <v>1</v>
      </c>
      <c r="Y222" s="39">
        <v>1</v>
      </c>
      <c r="Z222" s="39">
        <v>0</v>
      </c>
      <c r="AA222" s="39">
        <v>0</v>
      </c>
      <c r="AB222" s="39">
        <v>0</v>
      </c>
      <c r="AC222" s="39">
        <v>0</v>
      </c>
      <c r="AD222" s="39">
        <v>1</v>
      </c>
      <c r="AE222" s="39">
        <v>1</v>
      </c>
      <c r="AF222" s="39">
        <v>1</v>
      </c>
      <c r="AG222" s="39">
        <v>1</v>
      </c>
      <c r="AH222" s="39">
        <v>0</v>
      </c>
      <c r="AI222" s="39">
        <v>1</v>
      </c>
      <c r="AJ222" s="39">
        <v>0</v>
      </c>
      <c r="AK222" s="39">
        <v>0</v>
      </c>
      <c r="AL222" s="39">
        <v>1</v>
      </c>
      <c r="AM222" s="39">
        <v>1</v>
      </c>
      <c r="AN222" s="39">
        <v>0</v>
      </c>
      <c r="AO222" s="39">
        <v>0</v>
      </c>
      <c r="AP222" s="39">
        <v>1</v>
      </c>
      <c r="AQ222" s="39">
        <v>0</v>
      </c>
      <c r="AR222" s="39">
        <v>0</v>
      </c>
      <c r="AS222" s="39">
        <v>0</v>
      </c>
      <c r="AT222" s="39">
        <v>0</v>
      </c>
      <c r="AU222" s="39">
        <v>0</v>
      </c>
      <c r="AV222" s="39">
        <v>0</v>
      </c>
      <c r="AW222" s="39">
        <v>0</v>
      </c>
      <c r="AX222" s="39">
        <v>0</v>
      </c>
      <c r="AZ222" s="39">
        <v>0</v>
      </c>
      <c r="BB222" s="39">
        <v>0</v>
      </c>
      <c r="BC222" s="39">
        <v>0</v>
      </c>
      <c r="BD222" s="39">
        <v>0</v>
      </c>
      <c r="BE222" s="39">
        <v>0</v>
      </c>
      <c r="BF222" s="39">
        <v>0</v>
      </c>
      <c r="BG222" s="39">
        <v>0</v>
      </c>
      <c r="BH222" s="39">
        <v>0</v>
      </c>
      <c r="BI222" s="39">
        <v>0</v>
      </c>
      <c r="BJ222" s="39">
        <v>0</v>
      </c>
    </row>
    <row r="223" ht="28.399999999999999" customHeight="1">
      <c r="B223" s="316"/>
      <c r="C223" s="316"/>
      <c r="D223" s="39"/>
      <c r="E223" s="111" t="s">
        <v>837</v>
      </c>
      <c r="F223" s="111" t="s">
        <v>608</v>
      </c>
      <c r="G223" s="111" t="s">
        <v>498</v>
      </c>
      <c r="H223" s="313">
        <v>26607</v>
      </c>
      <c r="I223" s="313">
        <v>26619</v>
      </c>
      <c r="L223" s="39" t="s">
        <v>325</v>
      </c>
      <c r="M223" s="39">
        <v>1</v>
      </c>
      <c r="P223" s="39">
        <v>1</v>
      </c>
      <c r="V223" s="39">
        <v>1</v>
      </c>
      <c r="Z223" s="39">
        <v>1</v>
      </c>
      <c r="AA223" s="39">
        <v>1</v>
      </c>
      <c r="AE223" s="39">
        <v>1</v>
      </c>
      <c r="AF223" s="39">
        <v>1</v>
      </c>
      <c r="AJ223" s="39">
        <v>1</v>
      </c>
      <c r="AL223" s="39">
        <v>1</v>
      </c>
      <c r="AP223" s="39">
        <v>1</v>
      </c>
    </row>
    <row r="224" s="144" customFormat="1" ht="28.399999999999999" customHeight="1">
      <c r="B224" s="237"/>
      <c r="C224" s="237"/>
      <c r="E224" s="197" t="s">
        <v>838</v>
      </c>
      <c r="F224" s="145" t="s">
        <v>754</v>
      </c>
      <c r="G224" s="197" t="s">
        <v>498</v>
      </c>
      <c r="H224" s="325">
        <v>27054</v>
      </c>
      <c r="I224" s="325">
        <v>27098</v>
      </c>
      <c r="J224" s="145"/>
      <c r="L224" s="144" t="s">
        <v>325</v>
      </c>
      <c r="M224" s="144">
        <v>0</v>
      </c>
      <c r="N224" s="144">
        <v>0</v>
      </c>
      <c r="O224" s="144">
        <v>0</v>
      </c>
      <c r="P224" s="162">
        <v>0</v>
      </c>
      <c r="Q224" s="144">
        <v>0</v>
      </c>
      <c r="R224" s="144">
        <v>0</v>
      </c>
      <c r="S224" s="144">
        <v>0</v>
      </c>
      <c r="T224" s="162">
        <v>0</v>
      </c>
      <c r="U224" s="144">
        <v>1</v>
      </c>
      <c r="V224" s="144">
        <v>0</v>
      </c>
      <c r="W224" s="144">
        <v>1</v>
      </c>
      <c r="X224" s="144">
        <v>1</v>
      </c>
      <c r="Y224" s="144">
        <v>0</v>
      </c>
      <c r="Z224" s="144">
        <v>1</v>
      </c>
      <c r="AA224" s="144">
        <v>0</v>
      </c>
      <c r="AB224" s="144">
        <v>0</v>
      </c>
      <c r="AC224" s="144">
        <v>0</v>
      </c>
      <c r="AD224" s="144">
        <v>1</v>
      </c>
      <c r="AE224" s="144">
        <v>1</v>
      </c>
      <c r="AF224" s="144">
        <v>1</v>
      </c>
      <c r="AG224" s="144">
        <v>1</v>
      </c>
      <c r="AH224" s="144">
        <v>0</v>
      </c>
      <c r="AI224" s="144">
        <v>0</v>
      </c>
      <c r="AJ224" s="144">
        <v>1</v>
      </c>
      <c r="AL224" s="144">
        <v>1</v>
      </c>
      <c r="AM224" s="144">
        <v>1</v>
      </c>
      <c r="AN224" s="144">
        <v>0</v>
      </c>
      <c r="AO224" s="144">
        <v>0</v>
      </c>
      <c r="AP224" s="144">
        <v>1</v>
      </c>
      <c r="AQ224" s="144">
        <v>0</v>
      </c>
      <c r="AR224" s="144">
        <v>0</v>
      </c>
      <c r="AS224" s="144">
        <v>0</v>
      </c>
      <c r="AT224" s="144">
        <v>0</v>
      </c>
      <c r="AU224" s="144">
        <v>0</v>
      </c>
      <c r="AV224" s="144">
        <v>0</v>
      </c>
      <c r="AW224" s="144">
        <v>0</v>
      </c>
      <c r="AX224" s="144">
        <v>0</v>
      </c>
      <c r="AZ224" s="144">
        <v>0</v>
      </c>
      <c r="BB224" s="144">
        <v>0</v>
      </c>
      <c r="BC224" s="144">
        <v>0</v>
      </c>
      <c r="BD224" s="144">
        <v>0</v>
      </c>
      <c r="BE224" s="144">
        <v>0</v>
      </c>
      <c r="BF224" s="144">
        <v>0</v>
      </c>
      <c r="BG224" s="144">
        <v>0</v>
      </c>
      <c r="BH224" s="144">
        <v>0</v>
      </c>
      <c r="BI224" s="144">
        <v>0</v>
      </c>
      <c r="BJ224" s="144">
        <v>0</v>
      </c>
    </row>
    <row r="225" s="142" customFormat="1" ht="55.25" customHeight="1">
      <c r="A225" s="137" t="s">
        <v>481</v>
      </c>
      <c r="B225" s="196" t="s">
        <v>513</v>
      </c>
      <c r="C225" s="196" t="s">
        <v>211</v>
      </c>
      <c r="D225" s="142" t="s">
        <v>17</v>
      </c>
      <c r="E225" s="233" t="s">
        <v>839</v>
      </c>
      <c r="F225" s="196" t="s">
        <v>541</v>
      </c>
      <c r="G225" s="233" t="s">
        <v>486</v>
      </c>
      <c r="H225" s="277"/>
      <c r="I225" s="277"/>
      <c r="J225" s="196"/>
      <c r="K225" s="142">
        <v>4</v>
      </c>
      <c r="L225" s="142" t="s">
        <v>447</v>
      </c>
      <c r="M225" s="142">
        <v>0</v>
      </c>
      <c r="N225" s="142">
        <v>0</v>
      </c>
      <c r="O225" s="142">
        <v>0</v>
      </c>
      <c r="P225" s="142">
        <v>0</v>
      </c>
      <c r="Q225" s="142">
        <v>0</v>
      </c>
      <c r="R225" s="142">
        <v>0</v>
      </c>
      <c r="S225" s="142">
        <v>1</v>
      </c>
      <c r="T225" s="142">
        <v>1</v>
      </c>
      <c r="U225" s="142">
        <v>0</v>
      </c>
      <c r="V225" s="142">
        <v>1</v>
      </c>
      <c r="W225" s="142">
        <v>0</v>
      </c>
      <c r="X225" s="142">
        <v>0</v>
      </c>
      <c r="Y225" s="142">
        <v>1</v>
      </c>
      <c r="Z225" s="142">
        <v>0</v>
      </c>
      <c r="AA225" s="142">
        <v>0</v>
      </c>
      <c r="AB225" s="142">
        <v>0</v>
      </c>
      <c r="AC225" s="142">
        <v>1</v>
      </c>
      <c r="AD225" s="142">
        <v>0</v>
      </c>
      <c r="AE225" s="142">
        <v>1</v>
      </c>
      <c r="AF225" s="142">
        <v>1</v>
      </c>
      <c r="AG225" s="142">
        <v>1</v>
      </c>
      <c r="AH225" s="142">
        <v>1</v>
      </c>
      <c r="AI225" s="142">
        <v>1</v>
      </c>
      <c r="AJ225" s="142">
        <v>1</v>
      </c>
      <c r="AK225" s="142">
        <v>0</v>
      </c>
      <c r="AL225" s="142">
        <v>1</v>
      </c>
      <c r="AM225" s="142">
        <v>1</v>
      </c>
      <c r="AN225" s="142">
        <v>1</v>
      </c>
      <c r="AO225" s="142">
        <v>0</v>
      </c>
      <c r="AP225" s="142">
        <v>1</v>
      </c>
      <c r="AQ225" s="142">
        <v>1</v>
      </c>
      <c r="AR225" s="142">
        <v>0</v>
      </c>
      <c r="AS225" s="142">
        <v>0</v>
      </c>
      <c r="AT225" s="142">
        <v>0</v>
      </c>
      <c r="AU225" s="142">
        <v>0</v>
      </c>
      <c r="AV225" s="142">
        <v>0</v>
      </c>
      <c r="AW225" s="142">
        <v>1</v>
      </c>
      <c r="AX225" s="142">
        <v>0</v>
      </c>
      <c r="AZ225" s="142">
        <v>0</v>
      </c>
      <c r="BB225" s="142">
        <v>1</v>
      </c>
      <c r="BC225" s="142">
        <v>0</v>
      </c>
      <c r="BD225" s="142">
        <v>0</v>
      </c>
      <c r="BE225" s="142">
        <v>0</v>
      </c>
      <c r="BF225" s="142">
        <v>0</v>
      </c>
      <c r="BG225" s="142">
        <v>1</v>
      </c>
      <c r="BH225" s="142">
        <v>0</v>
      </c>
      <c r="BI225" s="142">
        <v>0</v>
      </c>
      <c r="BJ225" s="142">
        <v>0</v>
      </c>
    </row>
    <row r="226" s="142" customFormat="1" ht="28.399999999999999" customHeight="1">
      <c r="E226" s="196" t="s">
        <v>840</v>
      </c>
      <c r="F226" s="196" t="s">
        <v>562</v>
      </c>
      <c r="G226" s="196" t="s">
        <v>486</v>
      </c>
      <c r="H226" s="291"/>
      <c r="I226" s="291"/>
      <c r="J226" s="196"/>
      <c r="L226" s="142" t="s">
        <v>325</v>
      </c>
      <c r="M226" s="142">
        <v>0</v>
      </c>
      <c r="N226" s="142">
        <v>0</v>
      </c>
      <c r="O226" s="142">
        <v>0</v>
      </c>
      <c r="P226" s="142">
        <v>0</v>
      </c>
      <c r="Q226" s="142">
        <v>0</v>
      </c>
      <c r="R226" s="142">
        <v>0</v>
      </c>
      <c r="S226" s="142">
        <v>0</v>
      </c>
      <c r="T226" s="142">
        <v>0</v>
      </c>
      <c r="U226" s="142">
        <v>1</v>
      </c>
      <c r="V226" s="142">
        <v>1</v>
      </c>
      <c r="W226" s="142">
        <v>0</v>
      </c>
      <c r="X226" s="142">
        <v>1</v>
      </c>
      <c r="Y226" s="142">
        <v>1</v>
      </c>
      <c r="Z226" s="142">
        <v>0</v>
      </c>
      <c r="AA226" s="142">
        <v>0</v>
      </c>
      <c r="AB226" s="142">
        <v>0</v>
      </c>
      <c r="AC226" s="142">
        <v>0</v>
      </c>
      <c r="AD226" s="142">
        <v>1</v>
      </c>
      <c r="AE226" s="142">
        <v>1</v>
      </c>
      <c r="AF226" s="142">
        <v>1</v>
      </c>
      <c r="AG226" s="142">
        <v>1</v>
      </c>
      <c r="AH226" s="142">
        <v>1</v>
      </c>
      <c r="AI226" s="142">
        <v>0</v>
      </c>
      <c r="AJ226" s="142">
        <v>1</v>
      </c>
      <c r="AK226" s="142">
        <v>1</v>
      </c>
      <c r="AL226" s="142">
        <v>1</v>
      </c>
      <c r="AM226" s="142">
        <v>1</v>
      </c>
      <c r="AN226" s="142">
        <v>1</v>
      </c>
      <c r="AO226" s="142">
        <v>0</v>
      </c>
      <c r="AP226" s="142">
        <v>1</v>
      </c>
      <c r="AQ226" s="142">
        <v>0</v>
      </c>
      <c r="AR226" s="142">
        <v>0</v>
      </c>
      <c r="AS226" s="142">
        <v>0</v>
      </c>
      <c r="AT226" s="142">
        <v>0</v>
      </c>
      <c r="AU226" s="142">
        <v>0</v>
      </c>
      <c r="AV226" s="142">
        <v>0</v>
      </c>
      <c r="AW226" s="142">
        <v>0</v>
      </c>
      <c r="AX226" s="142">
        <v>0</v>
      </c>
      <c r="AZ226" s="142">
        <v>0</v>
      </c>
      <c r="BB226" s="142">
        <v>0</v>
      </c>
      <c r="BC226" s="142">
        <v>0</v>
      </c>
      <c r="BD226" s="142">
        <v>0</v>
      </c>
      <c r="BE226" s="142">
        <v>0</v>
      </c>
      <c r="BF226" s="142">
        <v>0</v>
      </c>
      <c r="BG226" s="142">
        <v>0</v>
      </c>
      <c r="BH226" s="142">
        <v>0</v>
      </c>
      <c r="BI226" s="142">
        <v>0</v>
      </c>
      <c r="BJ226" s="142">
        <v>0</v>
      </c>
    </row>
    <row r="227" ht="55.25" customHeight="1">
      <c r="B227" s="111"/>
      <c r="C227" s="111"/>
      <c r="D227" s="39"/>
      <c r="E227" s="170" t="s">
        <v>841</v>
      </c>
      <c r="F227" s="39" t="s">
        <v>491</v>
      </c>
      <c r="G227" s="170" t="s">
        <v>486</v>
      </c>
      <c r="H227" s="326"/>
      <c r="I227" s="326"/>
      <c r="J227" s="128" t="s">
        <v>842</v>
      </c>
      <c r="L227" s="39" t="s">
        <v>492</v>
      </c>
      <c r="M227" s="39">
        <v>1</v>
      </c>
      <c r="N227" s="39">
        <v>0</v>
      </c>
      <c r="O227" s="39">
        <v>0</v>
      </c>
      <c r="P227" s="142">
        <v>1</v>
      </c>
      <c r="Q227" s="39">
        <v>0</v>
      </c>
      <c r="R227" s="39">
        <v>0</v>
      </c>
      <c r="S227" s="39">
        <v>0</v>
      </c>
      <c r="T227" s="142">
        <v>0</v>
      </c>
      <c r="U227" s="39">
        <v>0</v>
      </c>
      <c r="V227" s="39">
        <v>1</v>
      </c>
      <c r="W227" s="39">
        <v>0</v>
      </c>
      <c r="X227" s="39">
        <v>0</v>
      </c>
      <c r="Y227" s="39">
        <v>0</v>
      </c>
      <c r="Z227" s="39">
        <v>1</v>
      </c>
      <c r="AA227" s="39">
        <v>1</v>
      </c>
      <c r="AB227" s="39">
        <v>0</v>
      </c>
      <c r="AC227" s="39">
        <v>0</v>
      </c>
      <c r="AD227" s="39">
        <v>0</v>
      </c>
      <c r="AE227" s="39">
        <v>1</v>
      </c>
      <c r="AF227" s="39">
        <v>1</v>
      </c>
      <c r="AG227" s="39">
        <v>1</v>
      </c>
      <c r="AH227" s="39">
        <v>0</v>
      </c>
      <c r="AI227" s="39">
        <v>0</v>
      </c>
      <c r="AJ227" s="39">
        <v>1</v>
      </c>
      <c r="AK227" s="39">
        <v>1</v>
      </c>
      <c r="AL227" s="39">
        <v>0</v>
      </c>
      <c r="AM227" s="39">
        <v>1</v>
      </c>
      <c r="AN227" s="39">
        <v>1</v>
      </c>
      <c r="AO227" s="39">
        <v>1</v>
      </c>
      <c r="AP227" s="39">
        <v>0</v>
      </c>
      <c r="AQ227" s="39">
        <v>1</v>
      </c>
      <c r="AR227" s="39">
        <v>0</v>
      </c>
      <c r="AS227" s="39">
        <v>0</v>
      </c>
      <c r="AT227" s="39">
        <v>0</v>
      </c>
      <c r="AU227" s="39">
        <v>0</v>
      </c>
      <c r="AV227" s="39">
        <v>0</v>
      </c>
      <c r="AW227" s="39">
        <v>1</v>
      </c>
      <c r="AX227" s="39">
        <v>0</v>
      </c>
      <c r="AY227" s="39">
        <v>0</v>
      </c>
      <c r="AZ227" s="39">
        <v>0</v>
      </c>
      <c r="BA227" s="39">
        <v>1</v>
      </c>
      <c r="BB227" s="39">
        <v>0</v>
      </c>
      <c r="BC227" s="39">
        <v>0</v>
      </c>
      <c r="BD227" s="39">
        <v>0</v>
      </c>
      <c r="BE227" s="39">
        <v>0</v>
      </c>
      <c r="BF227" s="39">
        <v>0</v>
      </c>
      <c r="BG227" s="39">
        <v>1</v>
      </c>
      <c r="BH227" s="39">
        <v>0</v>
      </c>
      <c r="BI227" s="39">
        <v>0</v>
      </c>
      <c r="BJ227" s="39">
        <v>0</v>
      </c>
    </row>
    <row r="228" s="144" customFormat="1" ht="41.75" customHeight="1">
      <c r="B228" s="145"/>
      <c r="C228" s="145"/>
      <c r="E228" s="145" t="s">
        <v>843</v>
      </c>
      <c r="F228" s="144" t="s">
        <v>644</v>
      </c>
      <c r="G228" s="145" t="s">
        <v>486</v>
      </c>
      <c r="H228" s="320"/>
      <c r="I228" s="320"/>
      <c r="J228" s="145"/>
      <c r="L228" s="144" t="s">
        <v>447</v>
      </c>
      <c r="M228" s="144">
        <v>0</v>
      </c>
      <c r="N228" s="144">
        <v>0</v>
      </c>
      <c r="O228" s="144">
        <v>0</v>
      </c>
      <c r="P228" s="162">
        <v>0</v>
      </c>
      <c r="Q228" s="144">
        <v>0</v>
      </c>
      <c r="R228" s="144">
        <v>0</v>
      </c>
      <c r="S228" s="144">
        <v>0</v>
      </c>
      <c r="T228" s="162">
        <v>0</v>
      </c>
      <c r="U228" s="144">
        <v>1</v>
      </c>
      <c r="V228" s="144">
        <v>1</v>
      </c>
      <c r="W228" s="144">
        <v>0</v>
      </c>
      <c r="X228" s="144">
        <v>0</v>
      </c>
      <c r="Y228" s="144">
        <v>1</v>
      </c>
      <c r="Z228" s="144">
        <v>0</v>
      </c>
      <c r="AA228" s="144">
        <v>0</v>
      </c>
      <c r="AB228" s="144">
        <v>0</v>
      </c>
      <c r="AC228" s="144">
        <v>0</v>
      </c>
      <c r="AD228" s="144">
        <v>1</v>
      </c>
      <c r="AE228" s="144">
        <v>1</v>
      </c>
      <c r="AF228" s="144">
        <v>1</v>
      </c>
      <c r="AG228" s="144">
        <v>1</v>
      </c>
      <c r="AH228" s="144">
        <v>1</v>
      </c>
      <c r="AI228" s="144">
        <v>1</v>
      </c>
      <c r="AJ228" s="144">
        <v>1</v>
      </c>
      <c r="AK228" s="144">
        <v>0</v>
      </c>
      <c r="AL228" s="144">
        <v>1</v>
      </c>
      <c r="AM228" s="144">
        <v>1</v>
      </c>
      <c r="AN228" s="144">
        <v>1</v>
      </c>
      <c r="AO228" s="144">
        <v>0</v>
      </c>
      <c r="AP228" s="144">
        <v>1</v>
      </c>
      <c r="AQ228" s="144">
        <v>1</v>
      </c>
      <c r="AR228" s="144">
        <v>0</v>
      </c>
      <c r="AS228" s="144">
        <v>0</v>
      </c>
      <c r="AT228" s="144">
        <v>1</v>
      </c>
      <c r="AU228" s="144">
        <v>0</v>
      </c>
      <c r="AV228" s="144">
        <v>0</v>
      </c>
      <c r="AW228" s="144">
        <v>1</v>
      </c>
      <c r="AX228" s="144">
        <v>0</v>
      </c>
      <c r="AY228" s="144">
        <v>0</v>
      </c>
      <c r="AZ228" s="144">
        <v>0</v>
      </c>
      <c r="BA228" s="144">
        <v>0</v>
      </c>
      <c r="BB228" s="144">
        <v>0</v>
      </c>
      <c r="BC228" s="144">
        <v>0</v>
      </c>
      <c r="BD228" s="144">
        <v>0</v>
      </c>
      <c r="BE228" s="144">
        <v>0</v>
      </c>
      <c r="BF228" s="144">
        <v>0</v>
      </c>
      <c r="BG228" s="144">
        <v>1</v>
      </c>
      <c r="BH228" s="144">
        <v>0</v>
      </c>
      <c r="BI228" s="144">
        <v>0</v>
      </c>
      <c r="BJ228" s="144">
        <v>0</v>
      </c>
    </row>
    <row r="229" s="160" customFormat="1" ht="55.25" customHeight="1">
      <c r="A229" s="137" t="s">
        <v>481</v>
      </c>
      <c r="B229" s="156" t="s">
        <v>513</v>
      </c>
      <c r="C229" s="156" t="s">
        <v>212</v>
      </c>
      <c r="D229" s="160" t="s">
        <v>17</v>
      </c>
      <c r="E229" s="156" t="s">
        <v>844</v>
      </c>
      <c r="F229" s="156" t="s">
        <v>550</v>
      </c>
      <c r="G229" s="156" t="s">
        <v>498</v>
      </c>
      <c r="H229" s="321">
        <v>18751</v>
      </c>
      <c r="I229" s="321">
        <v>18781</v>
      </c>
      <c r="J229" s="327" t="s">
        <v>845</v>
      </c>
      <c r="L229" s="160" t="s">
        <v>447</v>
      </c>
      <c r="M229" s="160">
        <v>0</v>
      </c>
      <c r="N229" s="160">
        <v>0</v>
      </c>
      <c r="O229" s="160">
        <v>0</v>
      </c>
      <c r="P229" s="275">
        <v>0</v>
      </c>
      <c r="Q229" s="160">
        <v>1</v>
      </c>
      <c r="R229" s="160">
        <v>0</v>
      </c>
      <c r="S229" s="160">
        <v>0</v>
      </c>
      <c r="T229" s="275">
        <v>1</v>
      </c>
      <c r="U229" s="160">
        <v>0</v>
      </c>
      <c r="V229" s="160">
        <v>1</v>
      </c>
      <c r="W229" s="160">
        <v>0</v>
      </c>
      <c r="X229" s="160">
        <v>0</v>
      </c>
      <c r="Y229" s="160">
        <v>1</v>
      </c>
      <c r="Z229" s="160">
        <v>0</v>
      </c>
      <c r="AA229" s="160">
        <v>0</v>
      </c>
      <c r="AB229" s="160">
        <v>1</v>
      </c>
      <c r="AC229" s="160">
        <v>0</v>
      </c>
      <c r="AD229" s="160">
        <v>0</v>
      </c>
      <c r="AE229" s="160">
        <v>1</v>
      </c>
      <c r="AF229" s="160">
        <v>1</v>
      </c>
      <c r="AG229" s="160">
        <v>1</v>
      </c>
      <c r="AH229" s="160">
        <v>1</v>
      </c>
      <c r="AI229" s="160">
        <v>1</v>
      </c>
      <c r="AJ229" s="160">
        <v>1</v>
      </c>
      <c r="AK229" s="160">
        <v>0</v>
      </c>
      <c r="AL229" s="160">
        <v>1</v>
      </c>
      <c r="AM229" s="160">
        <v>1</v>
      </c>
      <c r="AN229" s="160">
        <v>0</v>
      </c>
      <c r="AO229" s="160">
        <v>0</v>
      </c>
      <c r="AP229" s="160">
        <v>1</v>
      </c>
      <c r="AQ229" s="160">
        <v>0</v>
      </c>
      <c r="AR229" s="160">
        <v>0</v>
      </c>
      <c r="AS229" s="160">
        <v>0</v>
      </c>
      <c r="AT229" s="160">
        <v>0</v>
      </c>
      <c r="AU229" s="160">
        <v>0</v>
      </c>
      <c r="AV229" s="160">
        <v>0</v>
      </c>
      <c r="AW229" s="160">
        <v>0</v>
      </c>
      <c r="AX229" s="160">
        <v>0</v>
      </c>
      <c r="AY229" s="160">
        <v>0</v>
      </c>
      <c r="AZ229" s="160">
        <v>0</v>
      </c>
      <c r="BB229" s="160">
        <v>0</v>
      </c>
      <c r="BC229" s="160">
        <v>0</v>
      </c>
      <c r="BD229" s="160">
        <v>0</v>
      </c>
      <c r="BE229" s="160">
        <v>0</v>
      </c>
      <c r="BF229" s="160">
        <v>0</v>
      </c>
      <c r="BG229" s="160">
        <v>0</v>
      </c>
      <c r="BH229" s="160">
        <v>0</v>
      </c>
      <c r="BI229" s="160">
        <v>0</v>
      </c>
      <c r="BJ229" s="160">
        <v>0</v>
      </c>
    </row>
    <row r="230" s="305" customFormat="1" ht="55.25" customHeight="1">
      <c r="C230" s="305" t="s">
        <v>846</v>
      </c>
      <c r="E230" s="328" t="s">
        <v>847</v>
      </c>
      <c r="F230" s="328" t="s">
        <v>544</v>
      </c>
      <c r="G230" s="328" t="s">
        <v>498</v>
      </c>
      <c r="H230" s="318">
        <v>8810</v>
      </c>
      <c r="I230" s="318">
        <v>8825</v>
      </c>
      <c r="J230" s="328"/>
      <c r="K230" s="305">
        <v>3</v>
      </c>
      <c r="L230" s="305" t="s">
        <v>325</v>
      </c>
      <c r="M230" s="305">
        <v>0</v>
      </c>
      <c r="N230" s="305">
        <v>0</v>
      </c>
      <c r="O230" s="305">
        <v>0</v>
      </c>
      <c r="P230" s="305">
        <v>0</v>
      </c>
      <c r="Q230" s="305">
        <v>0</v>
      </c>
      <c r="R230" s="305">
        <v>0</v>
      </c>
      <c r="S230" s="305">
        <v>0</v>
      </c>
      <c r="T230" s="305">
        <v>0</v>
      </c>
      <c r="U230" s="305">
        <v>1</v>
      </c>
      <c r="V230" s="305">
        <v>0</v>
      </c>
      <c r="W230" s="305">
        <v>1</v>
      </c>
      <c r="X230" s="305">
        <v>0</v>
      </c>
      <c r="Y230" s="305">
        <v>1</v>
      </c>
      <c r="Z230" s="305">
        <v>0</v>
      </c>
      <c r="AA230" s="305">
        <v>1</v>
      </c>
      <c r="AB230" s="305">
        <v>0</v>
      </c>
      <c r="AC230" s="305">
        <v>0</v>
      </c>
      <c r="AD230" s="305">
        <v>0</v>
      </c>
      <c r="AE230" s="305">
        <v>1</v>
      </c>
      <c r="AF230" s="305">
        <v>1</v>
      </c>
      <c r="AG230" s="305">
        <v>1</v>
      </c>
      <c r="AH230" s="305">
        <v>0</v>
      </c>
      <c r="AI230" s="305">
        <v>0</v>
      </c>
      <c r="AL230" s="305">
        <v>1</v>
      </c>
      <c r="AM230" s="305">
        <v>0</v>
      </c>
      <c r="AN230" s="305">
        <v>0</v>
      </c>
      <c r="AO230" s="305">
        <v>0</v>
      </c>
      <c r="AP230" s="305">
        <v>1</v>
      </c>
      <c r="AQ230" s="305">
        <v>1</v>
      </c>
      <c r="AR230" s="305">
        <v>0</v>
      </c>
      <c r="AS230" s="305">
        <v>0</v>
      </c>
      <c r="AT230" s="305">
        <v>0</v>
      </c>
      <c r="AU230" s="305">
        <v>0</v>
      </c>
      <c r="AV230" s="305">
        <v>0</v>
      </c>
      <c r="AW230" s="305">
        <v>0</v>
      </c>
      <c r="AX230" s="305">
        <v>1</v>
      </c>
      <c r="AZ230" s="305">
        <v>0</v>
      </c>
      <c r="BB230" s="305">
        <v>0</v>
      </c>
      <c r="BC230" s="305">
        <v>0</v>
      </c>
      <c r="BD230" s="305">
        <v>0</v>
      </c>
      <c r="BE230" s="305">
        <v>1</v>
      </c>
      <c r="BF230" s="305">
        <v>0</v>
      </c>
      <c r="BG230" s="305">
        <v>0</v>
      </c>
      <c r="BH230" s="305">
        <v>0</v>
      </c>
      <c r="BI230" s="305">
        <v>0</v>
      </c>
      <c r="BJ230" s="305">
        <v>0</v>
      </c>
    </row>
    <row r="231" ht="28.399999999999999" customHeight="1">
      <c r="A231" s="137" t="s">
        <v>481</v>
      </c>
      <c r="B231" s="39" t="s">
        <v>513</v>
      </c>
      <c r="C231" s="39" t="s">
        <v>216</v>
      </c>
      <c r="D231" s="39" t="s">
        <v>366</v>
      </c>
      <c r="E231" s="329" t="s">
        <v>848</v>
      </c>
      <c r="F231" s="111" t="s">
        <v>644</v>
      </c>
      <c r="G231" s="329" t="s">
        <v>498</v>
      </c>
      <c r="H231" s="320">
        <v>7212</v>
      </c>
      <c r="I231" s="320">
        <v>7239</v>
      </c>
      <c r="J231" s="128"/>
      <c r="K231" s="39">
        <v>18</v>
      </c>
      <c r="L231" s="39" t="s">
        <v>325</v>
      </c>
      <c r="M231" s="39">
        <v>1</v>
      </c>
      <c r="P231" s="142">
        <v>1</v>
      </c>
      <c r="T231" s="142"/>
      <c r="V231" s="39">
        <v>1</v>
      </c>
      <c r="X231" s="39">
        <v>1</v>
      </c>
      <c r="Z231" s="39">
        <v>1</v>
      </c>
      <c r="AA231" s="39">
        <v>1</v>
      </c>
      <c r="AE231" s="39">
        <v>1</v>
      </c>
      <c r="AF231" s="39">
        <v>1</v>
      </c>
      <c r="AJ231" s="39">
        <v>1</v>
      </c>
      <c r="AK231" s="39">
        <v>1</v>
      </c>
      <c r="AL231" s="39">
        <v>1</v>
      </c>
      <c r="AM231" s="39">
        <v>1</v>
      </c>
      <c r="AP231" s="39">
        <v>1</v>
      </c>
      <c r="AQ231" s="39">
        <v>0</v>
      </c>
    </row>
    <row r="232" s="142" customFormat="1" ht="149.25" customHeight="1">
      <c r="E232" s="197" t="s">
        <v>849</v>
      </c>
      <c r="F232" s="142" t="s">
        <v>850</v>
      </c>
      <c r="G232" s="233" t="s">
        <v>498</v>
      </c>
      <c r="H232" s="277">
        <v>7332</v>
      </c>
      <c r="I232" s="277">
        <v>7574</v>
      </c>
      <c r="J232" s="330" t="s">
        <v>700</v>
      </c>
      <c r="L232" s="142" t="s">
        <v>447</v>
      </c>
      <c r="M232" s="142">
        <v>0</v>
      </c>
      <c r="N232" s="142">
        <v>1</v>
      </c>
      <c r="P232" s="142">
        <v>1</v>
      </c>
      <c r="R232" s="142">
        <v>1</v>
      </c>
      <c r="T232" s="142">
        <v>1</v>
      </c>
      <c r="U232" s="142">
        <v>1</v>
      </c>
      <c r="V232" s="142">
        <v>1</v>
      </c>
      <c r="X232" s="142">
        <v>1</v>
      </c>
      <c r="Y232" s="142">
        <v>1</v>
      </c>
      <c r="Z232" s="142">
        <v>0</v>
      </c>
      <c r="AA232" s="142">
        <v>0</v>
      </c>
      <c r="AD232" s="142">
        <v>1</v>
      </c>
      <c r="AE232" s="142">
        <v>1</v>
      </c>
      <c r="AF232" s="142">
        <v>1</v>
      </c>
      <c r="AG232" s="142">
        <v>1</v>
      </c>
      <c r="AH232" s="142">
        <v>1</v>
      </c>
      <c r="AI232" s="142">
        <v>1</v>
      </c>
      <c r="AJ232" s="142">
        <v>1</v>
      </c>
      <c r="AK232" s="142">
        <v>1</v>
      </c>
      <c r="AL232" s="142">
        <v>1</v>
      </c>
      <c r="AM232" s="142">
        <v>1</v>
      </c>
      <c r="AN232" s="142">
        <v>1</v>
      </c>
      <c r="AO232" s="142">
        <v>0</v>
      </c>
      <c r="AP232" s="142">
        <v>1</v>
      </c>
      <c r="AQ232" s="142">
        <v>1</v>
      </c>
      <c r="AU232" s="142">
        <v>1</v>
      </c>
      <c r="AW232" s="142">
        <v>1</v>
      </c>
      <c r="BA232" s="142">
        <v>1</v>
      </c>
      <c r="BB232" s="142">
        <v>1</v>
      </c>
      <c r="BE232" s="142">
        <v>1</v>
      </c>
      <c r="BG232" s="142">
        <v>1</v>
      </c>
      <c r="BJ232" s="142">
        <v>1</v>
      </c>
    </row>
    <row r="233" s="142" customFormat="1" ht="68.650000000000006" customHeight="1">
      <c r="E233" s="233" t="s">
        <v>851</v>
      </c>
      <c r="F233" s="196" t="s">
        <v>512</v>
      </c>
      <c r="G233" s="233" t="s">
        <v>498</v>
      </c>
      <c r="H233" s="277">
        <v>7620</v>
      </c>
      <c r="I233" s="277">
        <v>7634</v>
      </c>
      <c r="J233" s="330" t="s">
        <v>700</v>
      </c>
      <c r="L233" s="142" t="s">
        <v>447</v>
      </c>
      <c r="M233" s="142">
        <v>0</v>
      </c>
      <c r="N233" s="142">
        <v>0</v>
      </c>
      <c r="O233" s="142">
        <v>0</v>
      </c>
      <c r="P233" s="142">
        <v>0</v>
      </c>
      <c r="Q233" s="142">
        <v>0</v>
      </c>
      <c r="R233" s="142">
        <v>1</v>
      </c>
      <c r="S233" s="142">
        <v>0</v>
      </c>
      <c r="T233" s="142">
        <v>0</v>
      </c>
      <c r="U233" s="142">
        <v>1</v>
      </c>
      <c r="V233" s="142">
        <v>1</v>
      </c>
      <c r="W233" s="142">
        <v>0</v>
      </c>
      <c r="X233" s="142">
        <v>0</v>
      </c>
      <c r="Y233" s="142">
        <v>1</v>
      </c>
      <c r="Z233" s="142">
        <v>0</v>
      </c>
      <c r="AA233" s="142">
        <v>1</v>
      </c>
      <c r="AB233" s="142">
        <v>0</v>
      </c>
      <c r="AC233" s="142">
        <v>0</v>
      </c>
      <c r="AD233" s="142">
        <v>0</v>
      </c>
      <c r="AE233" s="142">
        <v>1</v>
      </c>
      <c r="AF233" s="142">
        <v>1</v>
      </c>
      <c r="AG233" s="142">
        <v>1</v>
      </c>
      <c r="AH233" s="142">
        <v>0</v>
      </c>
      <c r="AI233" s="142">
        <v>1</v>
      </c>
      <c r="AJ233" s="142">
        <v>1</v>
      </c>
      <c r="AK233" s="142">
        <v>0</v>
      </c>
      <c r="AL233" s="142">
        <v>1</v>
      </c>
      <c r="AM233" s="142">
        <v>1</v>
      </c>
      <c r="AN233" s="142">
        <v>1</v>
      </c>
      <c r="AO233" s="142">
        <v>0</v>
      </c>
      <c r="AP233" s="142">
        <v>1</v>
      </c>
      <c r="AQ233" s="142">
        <v>1</v>
      </c>
      <c r="AR233" s="142">
        <v>0</v>
      </c>
      <c r="AS233" s="142">
        <v>0</v>
      </c>
      <c r="AT233" s="142">
        <v>1</v>
      </c>
      <c r="AU233" s="142">
        <v>0</v>
      </c>
      <c r="AV233" s="142">
        <v>0</v>
      </c>
      <c r="AW233" s="142">
        <v>0</v>
      </c>
      <c r="AX233" s="142">
        <v>1</v>
      </c>
      <c r="AY233" s="142">
        <v>0</v>
      </c>
      <c r="AZ233" s="142">
        <v>1</v>
      </c>
      <c r="BA233" s="142">
        <v>0</v>
      </c>
      <c r="BB233" s="142">
        <v>0</v>
      </c>
      <c r="BC233" s="142">
        <v>0</v>
      </c>
      <c r="BD233" s="142">
        <v>1</v>
      </c>
      <c r="BE233" s="142">
        <v>0</v>
      </c>
      <c r="BF233" s="142">
        <v>0</v>
      </c>
      <c r="BG233" s="142">
        <v>0</v>
      </c>
      <c r="BH233" s="142">
        <v>0</v>
      </c>
      <c r="BI233" s="142">
        <v>0</v>
      </c>
      <c r="BJ233" s="142">
        <v>0</v>
      </c>
    </row>
    <row r="234" s="331" customFormat="1" ht="28.399999999999999" customHeight="1">
      <c r="E234" s="332" t="s">
        <v>852</v>
      </c>
      <c r="F234" s="332" t="s">
        <v>637</v>
      </c>
      <c r="G234" s="333" t="s">
        <v>498</v>
      </c>
      <c r="H234" s="334">
        <v>7695</v>
      </c>
      <c r="I234" s="334">
        <v>7752</v>
      </c>
      <c r="J234" s="335"/>
      <c r="L234" s="331" t="s">
        <v>325</v>
      </c>
      <c r="M234" s="331">
        <v>1</v>
      </c>
      <c r="P234" s="331">
        <v>1</v>
      </c>
      <c r="V234" s="331">
        <v>1</v>
      </c>
      <c r="X234" s="331">
        <v>1</v>
      </c>
      <c r="Z234" s="331">
        <v>1</v>
      </c>
      <c r="AA234" s="331">
        <v>1</v>
      </c>
      <c r="AE234" s="331">
        <v>1</v>
      </c>
      <c r="AF234" s="331">
        <v>1</v>
      </c>
      <c r="AI234" s="331">
        <v>1</v>
      </c>
      <c r="AJ234" s="331">
        <v>1</v>
      </c>
      <c r="AK234" s="331">
        <v>1</v>
      </c>
      <c r="AL234" s="331">
        <v>1</v>
      </c>
      <c r="AM234" s="331">
        <v>1</v>
      </c>
      <c r="AP234" s="331">
        <v>1</v>
      </c>
    </row>
    <row r="235" ht="68.650000000000006" customHeight="1">
      <c r="D235" s="39"/>
      <c r="E235" s="111" t="s">
        <v>853</v>
      </c>
      <c r="F235" s="111" t="s">
        <v>497</v>
      </c>
      <c r="G235" s="111" t="s">
        <v>498</v>
      </c>
      <c r="H235" s="313">
        <v>7827</v>
      </c>
      <c r="I235" s="313">
        <v>7860</v>
      </c>
      <c r="J235" s="128" t="s">
        <v>700</v>
      </c>
      <c r="L235" s="39" t="s">
        <v>447</v>
      </c>
      <c r="M235" s="39">
        <v>1</v>
      </c>
      <c r="N235" s="39">
        <v>0</v>
      </c>
      <c r="O235" s="39">
        <v>0</v>
      </c>
      <c r="P235" s="315">
        <v>1</v>
      </c>
      <c r="Q235" s="39">
        <v>0</v>
      </c>
      <c r="R235" s="39">
        <v>0</v>
      </c>
      <c r="S235" s="39">
        <v>0</v>
      </c>
      <c r="T235" s="315"/>
      <c r="U235" s="39">
        <v>0</v>
      </c>
      <c r="V235" s="39">
        <v>0</v>
      </c>
      <c r="W235" s="39">
        <v>1</v>
      </c>
      <c r="X235" s="39">
        <v>0</v>
      </c>
      <c r="Y235" s="39">
        <v>0</v>
      </c>
      <c r="Z235" s="39">
        <v>1</v>
      </c>
      <c r="AA235" s="39">
        <v>1</v>
      </c>
      <c r="AB235" s="39">
        <v>0</v>
      </c>
      <c r="AC235" s="39">
        <v>0</v>
      </c>
      <c r="AD235" s="39">
        <v>0</v>
      </c>
      <c r="AE235" s="39">
        <v>1</v>
      </c>
      <c r="AF235" s="39">
        <v>1</v>
      </c>
      <c r="AG235" s="39">
        <v>0</v>
      </c>
      <c r="AH235" s="39">
        <v>0</v>
      </c>
      <c r="AI235" s="39">
        <v>0</v>
      </c>
      <c r="AJ235" s="39">
        <v>0</v>
      </c>
      <c r="AK235" s="39">
        <v>1</v>
      </c>
      <c r="AL235" s="39">
        <v>1</v>
      </c>
      <c r="AM235" s="39">
        <v>1</v>
      </c>
      <c r="AN235" s="39">
        <v>0</v>
      </c>
      <c r="AO235" s="39">
        <v>0</v>
      </c>
      <c r="AP235" s="39">
        <v>1</v>
      </c>
      <c r="AQ235" s="39">
        <v>1</v>
      </c>
      <c r="AR235" s="39">
        <v>0</v>
      </c>
      <c r="AS235" s="39">
        <v>0</v>
      </c>
      <c r="AT235" s="39">
        <v>0</v>
      </c>
      <c r="AU235" s="39">
        <v>1</v>
      </c>
      <c r="AV235" s="39">
        <v>0</v>
      </c>
      <c r="AW235" s="39">
        <v>0</v>
      </c>
      <c r="AX235" s="39">
        <v>1</v>
      </c>
      <c r="AY235" s="39">
        <v>0</v>
      </c>
      <c r="AZ235" s="39">
        <v>1</v>
      </c>
      <c r="BA235" s="39">
        <v>0</v>
      </c>
      <c r="BB235" s="39">
        <v>0</v>
      </c>
      <c r="BC235" s="39">
        <v>0</v>
      </c>
      <c r="BD235" s="39">
        <v>0</v>
      </c>
      <c r="BE235" s="39">
        <v>0</v>
      </c>
      <c r="BF235" s="39">
        <v>0</v>
      </c>
      <c r="BG235" s="39">
        <v>1</v>
      </c>
      <c r="BH235" s="39">
        <v>0</v>
      </c>
      <c r="BI235" s="39">
        <v>0</v>
      </c>
      <c r="BJ235" s="39">
        <v>0</v>
      </c>
    </row>
    <row r="236" ht="55.25" customHeight="1">
      <c r="D236" s="39"/>
      <c r="E236" s="239" t="s">
        <v>854</v>
      </c>
      <c r="F236" s="170" t="s">
        <v>544</v>
      </c>
      <c r="G236" s="239" t="s">
        <v>498</v>
      </c>
      <c r="H236" s="336">
        <v>7892</v>
      </c>
      <c r="I236" s="336">
        <v>7907</v>
      </c>
      <c r="J236" s="170"/>
      <c r="L236" s="316" t="s">
        <v>325</v>
      </c>
      <c r="M236" s="316">
        <v>1</v>
      </c>
      <c r="N236" s="316">
        <v>0</v>
      </c>
      <c r="O236" s="316">
        <v>0</v>
      </c>
      <c r="P236" s="142">
        <v>1</v>
      </c>
      <c r="Q236" s="316">
        <v>0</v>
      </c>
      <c r="R236" s="316">
        <v>0</v>
      </c>
      <c r="S236" s="316">
        <v>0</v>
      </c>
      <c r="T236" s="142"/>
      <c r="U236" s="316">
        <v>0</v>
      </c>
      <c r="V236" s="316">
        <v>0</v>
      </c>
      <c r="W236" s="316">
        <v>1</v>
      </c>
      <c r="X236" s="316">
        <v>0</v>
      </c>
      <c r="Y236" s="316">
        <v>0</v>
      </c>
      <c r="Z236" s="316">
        <v>1</v>
      </c>
      <c r="AA236" s="316">
        <v>1</v>
      </c>
      <c r="AB236" s="316">
        <v>0</v>
      </c>
      <c r="AC236" s="316">
        <v>0</v>
      </c>
      <c r="AD236" s="316">
        <v>0</v>
      </c>
      <c r="AE236" s="316">
        <v>1</v>
      </c>
      <c r="AF236" s="316">
        <v>1</v>
      </c>
      <c r="AG236" s="316">
        <v>1</v>
      </c>
      <c r="AH236" s="316">
        <v>0</v>
      </c>
      <c r="AI236" s="316">
        <v>0</v>
      </c>
      <c r="AJ236" s="316">
        <v>1</v>
      </c>
      <c r="AK236" s="316"/>
      <c r="AL236" s="316">
        <v>1</v>
      </c>
      <c r="AM236" s="316">
        <v>1</v>
      </c>
      <c r="AN236" s="316">
        <v>1</v>
      </c>
      <c r="AO236" s="316">
        <v>0</v>
      </c>
      <c r="AP236" s="316">
        <v>1</v>
      </c>
      <c r="AQ236" s="316">
        <v>1</v>
      </c>
      <c r="AR236" s="316">
        <v>0</v>
      </c>
      <c r="AS236" s="316">
        <v>0</v>
      </c>
      <c r="AT236" s="316">
        <v>0</v>
      </c>
      <c r="AU236" s="316">
        <v>1</v>
      </c>
      <c r="AV236" s="316">
        <v>0</v>
      </c>
      <c r="AW236" s="316">
        <v>0</v>
      </c>
      <c r="AX236" s="316">
        <v>1</v>
      </c>
      <c r="AY236" s="316">
        <v>0</v>
      </c>
      <c r="AZ236" s="316">
        <v>0</v>
      </c>
      <c r="BA236" s="316">
        <v>0</v>
      </c>
      <c r="BB236" s="316">
        <v>0</v>
      </c>
      <c r="BC236" s="316">
        <v>0</v>
      </c>
      <c r="BD236" s="316">
        <v>0</v>
      </c>
      <c r="BE236" s="316">
        <v>0</v>
      </c>
      <c r="BF236" s="316">
        <v>0</v>
      </c>
      <c r="BG236" s="316">
        <v>0</v>
      </c>
      <c r="BH236" s="316">
        <v>0</v>
      </c>
      <c r="BI236" s="316">
        <v>0</v>
      </c>
      <c r="BJ236" s="316">
        <v>0</v>
      </c>
    </row>
    <row r="237" ht="28.399999999999999" customHeight="1">
      <c r="A237" s="39"/>
      <c r="B237" s="39"/>
      <c r="C237" s="39"/>
      <c r="D237" s="39"/>
      <c r="E237" s="337" t="s">
        <v>855</v>
      </c>
      <c r="F237" s="111" t="s">
        <v>546</v>
      </c>
      <c r="G237" s="337" t="s">
        <v>498</v>
      </c>
      <c r="H237" s="338">
        <v>25051</v>
      </c>
      <c r="I237" s="338">
        <v>25061</v>
      </c>
      <c r="J237" s="111"/>
      <c r="L237" s="39" t="s">
        <v>447</v>
      </c>
      <c r="M237" s="39">
        <v>1</v>
      </c>
      <c r="N237" s="39">
        <v>0</v>
      </c>
      <c r="O237" s="39">
        <v>0</v>
      </c>
      <c r="P237" s="142">
        <v>1</v>
      </c>
      <c r="Q237" s="39">
        <v>0</v>
      </c>
      <c r="R237" s="39">
        <v>0</v>
      </c>
      <c r="S237" s="39">
        <v>0</v>
      </c>
      <c r="T237" s="142"/>
      <c r="U237" s="39">
        <v>0</v>
      </c>
      <c r="V237" s="39">
        <v>0</v>
      </c>
      <c r="W237" s="39">
        <v>1</v>
      </c>
      <c r="X237" s="39">
        <v>0</v>
      </c>
      <c r="Y237" s="39">
        <v>0</v>
      </c>
      <c r="Z237" s="39">
        <v>1</v>
      </c>
      <c r="AA237" s="39">
        <v>1</v>
      </c>
      <c r="AB237" s="39">
        <v>0</v>
      </c>
      <c r="AC237" s="39">
        <v>0</v>
      </c>
      <c r="AD237" s="39">
        <v>0</v>
      </c>
      <c r="AE237" s="39">
        <v>1</v>
      </c>
      <c r="AF237" s="39">
        <v>1</v>
      </c>
      <c r="AG237" s="39">
        <v>0</v>
      </c>
      <c r="AH237" s="39">
        <v>0</v>
      </c>
      <c r="AI237" s="39">
        <v>0</v>
      </c>
      <c r="AJ237" s="39">
        <v>1</v>
      </c>
      <c r="AK237" s="39">
        <v>0</v>
      </c>
      <c r="AL237" s="39">
        <v>1</v>
      </c>
      <c r="AM237" s="39">
        <v>0</v>
      </c>
      <c r="AN237" s="39">
        <v>0</v>
      </c>
      <c r="AO237" s="39">
        <v>0</v>
      </c>
      <c r="AP237" s="39">
        <v>1</v>
      </c>
      <c r="AQ237" s="39">
        <v>0</v>
      </c>
      <c r="AR237" s="39">
        <v>0</v>
      </c>
      <c r="AS237" s="39">
        <v>0</v>
      </c>
      <c r="AT237" s="39">
        <v>0</v>
      </c>
      <c r="AU237" s="39">
        <v>0</v>
      </c>
      <c r="AV237" s="39">
        <v>0</v>
      </c>
      <c r="AW237" s="39">
        <v>0</v>
      </c>
      <c r="AX237" s="39">
        <v>0</v>
      </c>
      <c r="AY237" s="39"/>
      <c r="AZ237" s="39">
        <v>0</v>
      </c>
      <c r="BA237" s="39"/>
      <c r="BB237" s="39">
        <v>0</v>
      </c>
      <c r="BC237" s="39">
        <v>0</v>
      </c>
      <c r="BD237" s="39">
        <v>0</v>
      </c>
      <c r="BE237" s="39">
        <v>0</v>
      </c>
      <c r="BF237" s="39">
        <v>0</v>
      </c>
      <c r="BG237" s="39">
        <v>1</v>
      </c>
      <c r="BH237" s="39">
        <v>0</v>
      </c>
      <c r="BI237" s="39">
        <v>0</v>
      </c>
      <c r="BJ237" s="39">
        <v>0</v>
      </c>
    </row>
    <row r="238" ht="28.399999999999999" customHeight="1">
      <c r="A238" s="39"/>
      <c r="B238" s="39"/>
      <c r="C238" s="39"/>
      <c r="D238" s="39"/>
      <c r="E238" s="145" t="s">
        <v>856</v>
      </c>
      <c r="F238" s="111" t="s">
        <v>676</v>
      </c>
      <c r="G238" s="156" t="s">
        <v>498</v>
      </c>
      <c r="H238" s="321">
        <v>25103</v>
      </c>
      <c r="I238" s="321">
        <v>25149</v>
      </c>
      <c r="J238" s="111"/>
      <c r="K238" s="39"/>
      <c r="L238" s="39" t="s">
        <v>447</v>
      </c>
      <c r="M238" s="39">
        <v>0</v>
      </c>
      <c r="N238" s="39">
        <v>0</v>
      </c>
      <c r="O238" s="39">
        <v>0</v>
      </c>
      <c r="P238" s="142">
        <v>1</v>
      </c>
      <c r="Q238" s="39">
        <v>0</v>
      </c>
      <c r="R238" s="39">
        <v>0</v>
      </c>
      <c r="S238" s="39">
        <v>1</v>
      </c>
      <c r="T238" s="142">
        <v>1</v>
      </c>
      <c r="U238" s="39">
        <v>0</v>
      </c>
      <c r="V238" s="39">
        <v>1</v>
      </c>
      <c r="W238" s="39">
        <v>0</v>
      </c>
      <c r="X238" s="39">
        <v>0</v>
      </c>
      <c r="Y238" s="39">
        <v>1</v>
      </c>
      <c r="Z238" s="39">
        <v>0</v>
      </c>
      <c r="AA238" s="39">
        <v>0</v>
      </c>
      <c r="AB238" s="39">
        <v>0</v>
      </c>
      <c r="AC238" s="39">
        <v>1</v>
      </c>
      <c r="AD238" s="39">
        <v>0</v>
      </c>
      <c r="AE238" s="39">
        <v>1</v>
      </c>
      <c r="AF238" s="39">
        <v>1</v>
      </c>
      <c r="AG238" s="39">
        <v>0</v>
      </c>
      <c r="AH238" s="39">
        <v>0</v>
      </c>
      <c r="AI238" s="39">
        <v>0</v>
      </c>
      <c r="AJ238" s="39">
        <v>1</v>
      </c>
      <c r="AK238" s="39">
        <v>1</v>
      </c>
      <c r="AL238" s="39">
        <v>1</v>
      </c>
      <c r="AM238" s="39">
        <v>1</v>
      </c>
      <c r="AN238" s="39">
        <v>0</v>
      </c>
      <c r="AO238" s="39">
        <v>0</v>
      </c>
      <c r="AP238" s="39">
        <v>1</v>
      </c>
      <c r="AQ238" s="39">
        <v>1</v>
      </c>
      <c r="AR238" s="39">
        <v>0</v>
      </c>
      <c r="AS238" s="39">
        <v>1</v>
      </c>
      <c r="AT238" s="39">
        <v>0</v>
      </c>
      <c r="AU238" s="39">
        <v>0</v>
      </c>
      <c r="AV238" s="39">
        <v>0</v>
      </c>
      <c r="AW238" s="39">
        <v>1</v>
      </c>
      <c r="AX238" s="39">
        <v>0</v>
      </c>
      <c r="AY238" s="39">
        <v>0</v>
      </c>
      <c r="AZ238" s="39">
        <v>0</v>
      </c>
      <c r="BA238" s="39">
        <v>1</v>
      </c>
      <c r="BB238" s="39">
        <v>0</v>
      </c>
      <c r="BC238" s="39">
        <v>0</v>
      </c>
      <c r="BD238" s="39">
        <v>0</v>
      </c>
      <c r="BE238" s="39">
        <v>0</v>
      </c>
      <c r="BF238" s="39">
        <v>0</v>
      </c>
      <c r="BG238" s="39">
        <v>0</v>
      </c>
      <c r="BH238" s="39">
        <v>0</v>
      </c>
      <c r="BI238" s="39">
        <v>0</v>
      </c>
      <c r="BJ238" s="39">
        <v>0</v>
      </c>
    </row>
    <row r="239" ht="68.650000000000006" customHeight="1">
      <c r="D239" s="39"/>
      <c r="E239" s="145" t="s">
        <v>857</v>
      </c>
      <c r="F239" s="111" t="s">
        <v>858</v>
      </c>
      <c r="G239" s="156" t="s">
        <v>498</v>
      </c>
      <c r="H239" s="321">
        <v>25223</v>
      </c>
      <c r="I239" s="321">
        <v>25348</v>
      </c>
      <c r="J239" s="128" t="s">
        <v>859</v>
      </c>
      <c r="L239" s="39" t="s">
        <v>447</v>
      </c>
      <c r="M239" s="39">
        <v>0</v>
      </c>
      <c r="N239" s="39">
        <v>1</v>
      </c>
      <c r="O239" s="39">
        <v>0</v>
      </c>
      <c r="P239" s="142">
        <v>1</v>
      </c>
      <c r="Q239" s="39">
        <v>1</v>
      </c>
      <c r="R239" s="39">
        <v>0</v>
      </c>
      <c r="S239" s="39">
        <v>1</v>
      </c>
      <c r="T239" s="142">
        <v>1</v>
      </c>
      <c r="U239" s="39">
        <v>0</v>
      </c>
      <c r="V239" s="39">
        <v>1</v>
      </c>
      <c r="W239" s="39">
        <v>0</v>
      </c>
      <c r="X239" s="39">
        <v>0</v>
      </c>
      <c r="Y239" s="39">
        <v>1</v>
      </c>
      <c r="Z239" s="39">
        <v>0</v>
      </c>
      <c r="AA239" s="39">
        <v>0</v>
      </c>
      <c r="AB239" s="39">
        <v>1</v>
      </c>
      <c r="AC239" s="39">
        <v>1</v>
      </c>
      <c r="AD239" s="39">
        <v>0</v>
      </c>
      <c r="AE239" s="39">
        <v>1</v>
      </c>
      <c r="AF239" s="39">
        <v>1</v>
      </c>
      <c r="AG239" s="39">
        <v>1</v>
      </c>
      <c r="AH239" s="39">
        <v>0</v>
      </c>
      <c r="AI239" s="39">
        <v>1</v>
      </c>
      <c r="AJ239" s="39">
        <v>1</v>
      </c>
      <c r="AK239" s="39">
        <v>1</v>
      </c>
      <c r="AL239" s="39">
        <v>1</v>
      </c>
      <c r="AM239" s="39">
        <v>1</v>
      </c>
      <c r="AN239" s="39">
        <v>0</v>
      </c>
      <c r="AO239" s="39">
        <v>0</v>
      </c>
      <c r="AP239" s="39">
        <v>1</v>
      </c>
      <c r="AQ239" s="39">
        <v>1</v>
      </c>
      <c r="AR239" s="39">
        <v>0</v>
      </c>
      <c r="AS239" s="39">
        <v>0</v>
      </c>
      <c r="AT239" s="39">
        <v>0</v>
      </c>
      <c r="AU239" s="39">
        <v>1</v>
      </c>
      <c r="AV239" s="39">
        <v>0</v>
      </c>
      <c r="AW239" s="39">
        <v>1</v>
      </c>
      <c r="AX239" s="39">
        <v>0</v>
      </c>
      <c r="AY239" s="39">
        <v>1</v>
      </c>
      <c r="AZ239" s="39">
        <v>1</v>
      </c>
      <c r="BA239" s="39">
        <v>1</v>
      </c>
      <c r="BB239" s="39">
        <v>1</v>
      </c>
      <c r="BC239" s="39">
        <v>0</v>
      </c>
      <c r="BD239" s="39">
        <v>0</v>
      </c>
      <c r="BE239" s="39">
        <v>1</v>
      </c>
      <c r="BF239" s="39">
        <v>0</v>
      </c>
      <c r="BG239" s="39">
        <v>1</v>
      </c>
      <c r="BH239" s="39">
        <v>0</v>
      </c>
      <c r="BI239" s="39">
        <v>0</v>
      </c>
      <c r="BJ239" s="39">
        <v>0</v>
      </c>
    </row>
    <row r="240" ht="28.399999999999999" customHeight="1">
      <c r="D240" s="39"/>
      <c r="E240" s="111" t="s">
        <v>860</v>
      </c>
      <c r="F240" s="111" t="s">
        <v>525</v>
      </c>
      <c r="G240" s="111" t="s">
        <v>498</v>
      </c>
      <c r="H240" s="313">
        <v>25363</v>
      </c>
      <c r="I240" s="313">
        <v>25386</v>
      </c>
      <c r="J240" s="128" t="s">
        <v>819</v>
      </c>
      <c r="L240" s="39" t="s">
        <v>447</v>
      </c>
      <c r="M240" s="39">
        <v>1</v>
      </c>
      <c r="P240" s="142">
        <v>1</v>
      </c>
      <c r="T240" s="142"/>
      <c r="W240" s="39">
        <v>1</v>
      </c>
      <c r="Z240" s="39">
        <v>1</v>
      </c>
      <c r="AA240" s="39">
        <v>1</v>
      </c>
      <c r="AF240" s="39">
        <v>1</v>
      </c>
      <c r="AJ240" s="39">
        <v>1</v>
      </c>
      <c r="AL240" s="39">
        <v>1</v>
      </c>
      <c r="AO240" s="39">
        <v>1</v>
      </c>
      <c r="AQ240" s="39">
        <v>1</v>
      </c>
      <c r="AS240" s="39">
        <v>1</v>
      </c>
      <c r="AX240" s="39">
        <v>1</v>
      </c>
      <c r="BA240" s="39">
        <v>1</v>
      </c>
      <c r="BG240" s="39">
        <v>1</v>
      </c>
    </row>
    <row r="241" ht="41.75" customHeight="1">
      <c r="A241" s="339" t="s">
        <v>720</v>
      </c>
      <c r="D241" s="39"/>
      <c r="E241" s="145" t="s">
        <v>861</v>
      </c>
      <c r="F241" s="111" t="s">
        <v>550</v>
      </c>
      <c r="G241" s="145" t="s">
        <v>498</v>
      </c>
      <c r="H241" s="320">
        <v>25471</v>
      </c>
      <c r="I241" s="320">
        <v>25501</v>
      </c>
      <c r="J241" s="128" t="s">
        <v>862</v>
      </c>
      <c r="L241" s="39" t="s">
        <v>447</v>
      </c>
      <c r="N241" s="39">
        <v>1</v>
      </c>
      <c r="O241" s="39">
        <v>1</v>
      </c>
      <c r="P241" s="142">
        <v>1</v>
      </c>
      <c r="T241" s="142"/>
      <c r="U241" s="39">
        <v>1</v>
      </c>
      <c r="V241" s="39">
        <v>1</v>
      </c>
      <c r="X241" s="39">
        <v>1</v>
      </c>
      <c r="Y241" s="39">
        <v>1</v>
      </c>
      <c r="AA241" s="39">
        <v>0</v>
      </c>
      <c r="AD241" s="39">
        <v>1</v>
      </c>
      <c r="AE241" s="39">
        <v>1</v>
      </c>
      <c r="AF241" s="39">
        <v>1</v>
      </c>
      <c r="AG241" s="39">
        <v>1</v>
      </c>
      <c r="AH241" s="39">
        <v>1</v>
      </c>
      <c r="AI241" s="39">
        <v>1</v>
      </c>
      <c r="AJ241" s="39">
        <v>1</v>
      </c>
      <c r="AK241" s="39">
        <v>1</v>
      </c>
      <c r="AL241" s="39">
        <v>1</v>
      </c>
      <c r="AM241" s="39">
        <v>1</v>
      </c>
      <c r="AP241" s="39">
        <v>1</v>
      </c>
      <c r="AQ241" s="39">
        <v>0</v>
      </c>
      <c r="BG241" s="39">
        <v>1</v>
      </c>
    </row>
    <row r="242" ht="28.399999999999999" customHeight="1">
      <c r="D242" s="39"/>
      <c r="E242" s="111" t="s">
        <v>863</v>
      </c>
      <c r="F242" s="111" t="s">
        <v>659</v>
      </c>
      <c r="G242" s="111" t="s">
        <v>498</v>
      </c>
      <c r="H242" s="313">
        <v>25621</v>
      </c>
      <c r="I242" s="313">
        <v>25679</v>
      </c>
      <c r="J242" s="128"/>
      <c r="L242" s="331" t="s">
        <v>325</v>
      </c>
      <c r="M242" s="39">
        <v>1</v>
      </c>
      <c r="O242" s="39">
        <v>1</v>
      </c>
      <c r="P242" s="142">
        <v>1</v>
      </c>
      <c r="T242" s="142"/>
      <c r="W242" s="39">
        <v>1</v>
      </c>
      <c r="X242" s="39">
        <v>1</v>
      </c>
      <c r="Z242" s="39">
        <v>1</v>
      </c>
      <c r="AA242" s="39">
        <v>1</v>
      </c>
      <c r="AE242" s="39">
        <v>1</v>
      </c>
      <c r="AF242" s="39">
        <v>1</v>
      </c>
      <c r="AG242" s="39">
        <v>1</v>
      </c>
      <c r="AH242" s="39">
        <v>1</v>
      </c>
      <c r="AI242" s="39">
        <v>0</v>
      </c>
      <c r="AJ242" s="39">
        <v>1</v>
      </c>
      <c r="AK242" s="39">
        <v>1</v>
      </c>
      <c r="AL242" s="39">
        <v>1</v>
      </c>
      <c r="AM242" s="39">
        <v>1</v>
      </c>
      <c r="AP242" s="39">
        <v>1</v>
      </c>
      <c r="BG242" s="39">
        <v>1</v>
      </c>
    </row>
    <row r="243" s="142" customFormat="1" ht="28.399999999999999" customHeight="1">
      <c r="E243" s="196" t="s">
        <v>864</v>
      </c>
      <c r="F243" s="196" t="s">
        <v>733</v>
      </c>
      <c r="G243" s="196" t="s">
        <v>498</v>
      </c>
      <c r="H243" s="291">
        <v>25746</v>
      </c>
      <c r="I243" s="291">
        <v>25784</v>
      </c>
      <c r="J243" s="330"/>
      <c r="L243" s="142" t="s">
        <v>325</v>
      </c>
      <c r="O243" s="142">
        <v>1</v>
      </c>
      <c r="P243" s="142">
        <v>1</v>
      </c>
      <c r="Q243" s="142">
        <v>0</v>
      </c>
      <c r="U243" s="142">
        <v>1</v>
      </c>
      <c r="W243" s="142">
        <v>1</v>
      </c>
      <c r="X243" s="142">
        <v>1</v>
      </c>
      <c r="Z243" s="142">
        <v>1</v>
      </c>
      <c r="AD243" s="142">
        <v>1</v>
      </c>
      <c r="AE243" s="142">
        <v>1</v>
      </c>
      <c r="AF243" s="142">
        <v>1</v>
      </c>
      <c r="AJ243" s="142">
        <v>1</v>
      </c>
      <c r="AK243" s="142">
        <v>1</v>
      </c>
      <c r="AL243" s="142">
        <v>1</v>
      </c>
      <c r="AM243" s="142">
        <v>1</v>
      </c>
      <c r="AP243" s="142">
        <v>1</v>
      </c>
      <c r="AQ243" s="142">
        <v>1</v>
      </c>
      <c r="AU243" s="142">
        <v>1</v>
      </c>
      <c r="AW243" s="142">
        <v>1</v>
      </c>
      <c r="BG243" s="142">
        <v>1</v>
      </c>
    </row>
    <row r="244" s="331" customFormat="1" ht="41.75" customHeight="1">
      <c r="E244" s="340" t="s">
        <v>865</v>
      </c>
      <c r="F244" s="340" t="s">
        <v>629</v>
      </c>
      <c r="G244" s="340" t="s">
        <v>498</v>
      </c>
      <c r="H244" s="341">
        <v>25908</v>
      </c>
      <c r="I244" s="341">
        <v>25951</v>
      </c>
      <c r="J244" s="335" t="s">
        <v>819</v>
      </c>
      <c r="L244" s="331" t="s">
        <v>325</v>
      </c>
      <c r="M244" s="331">
        <v>1</v>
      </c>
      <c r="O244" s="331">
        <v>1</v>
      </c>
      <c r="P244" s="331">
        <v>1</v>
      </c>
      <c r="W244" s="331">
        <v>1</v>
      </c>
      <c r="X244" s="331">
        <v>1</v>
      </c>
      <c r="Z244" s="331">
        <v>1</v>
      </c>
      <c r="AA244" s="331">
        <v>1</v>
      </c>
      <c r="AE244" s="331">
        <v>1</v>
      </c>
      <c r="AF244" s="331">
        <v>1</v>
      </c>
      <c r="AJ244" s="331">
        <v>1</v>
      </c>
      <c r="AL244" s="331">
        <v>1</v>
      </c>
      <c r="AP244" s="331">
        <v>1</v>
      </c>
      <c r="AQ244" s="331">
        <v>1</v>
      </c>
      <c r="AS244" s="331">
        <v>1</v>
      </c>
      <c r="AX244" s="331">
        <v>1</v>
      </c>
      <c r="BA244" s="331">
        <v>1</v>
      </c>
    </row>
    <row r="245" s="144" customFormat="1" ht="41.75" customHeight="1">
      <c r="A245" s="342" t="s">
        <v>866</v>
      </c>
      <c r="B245" s="343"/>
      <c r="C245" s="343" t="s">
        <v>867</v>
      </c>
      <c r="E245" s="192" t="s">
        <v>868</v>
      </c>
      <c r="F245" s="144" t="s">
        <v>546</v>
      </c>
      <c r="G245" s="192" t="s">
        <v>498</v>
      </c>
      <c r="H245" s="344">
        <v>36374</v>
      </c>
      <c r="I245" s="344">
        <v>36384</v>
      </c>
      <c r="J245" s="192" t="s">
        <v>869</v>
      </c>
      <c r="L245" s="144" t="s">
        <v>325</v>
      </c>
      <c r="M245" s="144">
        <v>1</v>
      </c>
      <c r="N245" s="144">
        <v>0</v>
      </c>
      <c r="O245" s="144">
        <v>0</v>
      </c>
      <c r="P245" s="144">
        <v>1</v>
      </c>
      <c r="U245" s="144">
        <v>0</v>
      </c>
      <c r="V245" s="144">
        <v>1</v>
      </c>
      <c r="X245" s="144">
        <v>1</v>
      </c>
      <c r="Y245" s="144">
        <v>1</v>
      </c>
      <c r="AA245" s="144">
        <v>1</v>
      </c>
      <c r="AD245" s="144"/>
      <c r="AE245" s="144">
        <v>1</v>
      </c>
      <c r="AF245" s="144">
        <v>1</v>
      </c>
      <c r="AJ245" s="144">
        <v>1</v>
      </c>
      <c r="AK245" s="144"/>
      <c r="AL245" s="144">
        <v>1</v>
      </c>
      <c r="AM245" s="144">
        <v>1</v>
      </c>
      <c r="AN245" s="144"/>
      <c r="AP245" s="144">
        <v>1</v>
      </c>
      <c r="AQ245" s="144"/>
      <c r="AU245" s="144"/>
      <c r="AX245" s="144"/>
      <c r="AZ245" s="144"/>
      <c r="BH245" s="144"/>
    </row>
    <row r="246" s="144" customFormat="1" ht="68.650000000000006" customHeight="1">
      <c r="B246" s="39" t="s">
        <v>513</v>
      </c>
      <c r="C246" s="39" t="s">
        <v>217</v>
      </c>
      <c r="D246" s="39" t="s">
        <v>368</v>
      </c>
      <c r="E246" s="111" t="s">
        <v>870</v>
      </c>
      <c r="F246" s="111" t="s">
        <v>871</v>
      </c>
      <c r="G246" s="111" t="s">
        <v>498</v>
      </c>
      <c r="H246" s="313">
        <v>15811</v>
      </c>
      <c r="I246" s="313">
        <v>15970</v>
      </c>
      <c r="J246" s="170"/>
      <c r="K246" s="111">
        <v>25</v>
      </c>
      <c r="L246" s="39" t="s">
        <v>447</v>
      </c>
      <c r="M246" s="39">
        <v>0</v>
      </c>
      <c r="N246" s="39">
        <v>1</v>
      </c>
      <c r="O246" s="39">
        <v>1</v>
      </c>
      <c r="P246" s="142"/>
      <c r="Q246" s="39">
        <v>0</v>
      </c>
      <c r="R246" s="39">
        <v>0</v>
      </c>
      <c r="S246" s="39">
        <v>0</v>
      </c>
      <c r="T246" s="142"/>
      <c r="U246" s="39">
        <v>0</v>
      </c>
      <c r="V246" s="39">
        <v>1</v>
      </c>
      <c r="W246" s="39">
        <v>0</v>
      </c>
      <c r="X246" s="39">
        <v>1</v>
      </c>
      <c r="Y246" s="39">
        <v>0</v>
      </c>
      <c r="Z246" s="39">
        <v>1</v>
      </c>
      <c r="AA246" s="39">
        <v>1</v>
      </c>
      <c r="AB246" s="39">
        <v>0</v>
      </c>
      <c r="AC246" s="39">
        <v>0</v>
      </c>
      <c r="AD246" s="39">
        <v>0</v>
      </c>
      <c r="AE246" s="39">
        <v>1</v>
      </c>
      <c r="AF246" s="39">
        <v>1</v>
      </c>
      <c r="AG246" s="39">
        <v>1</v>
      </c>
      <c r="AH246" s="39">
        <v>1</v>
      </c>
      <c r="AI246" s="39">
        <v>0</v>
      </c>
      <c r="AJ246" s="39">
        <v>1</v>
      </c>
      <c r="AK246" s="39">
        <v>0</v>
      </c>
      <c r="AL246" s="39">
        <v>1</v>
      </c>
      <c r="AM246" s="39">
        <v>0</v>
      </c>
      <c r="AN246" s="39">
        <v>0</v>
      </c>
      <c r="AO246" s="39">
        <v>0</v>
      </c>
      <c r="AP246" s="39">
        <v>1</v>
      </c>
      <c r="AQ246" s="39">
        <v>1</v>
      </c>
      <c r="AR246" s="39">
        <v>0</v>
      </c>
      <c r="AS246" s="39">
        <v>1</v>
      </c>
      <c r="AT246" s="39">
        <v>0</v>
      </c>
      <c r="AU246" s="39">
        <v>0</v>
      </c>
      <c r="AV246" s="39">
        <v>0</v>
      </c>
      <c r="AW246" s="39">
        <v>1</v>
      </c>
      <c r="AX246" s="39">
        <v>0</v>
      </c>
      <c r="AY246" s="39">
        <v>0</v>
      </c>
      <c r="AZ246" s="39">
        <v>0</v>
      </c>
      <c r="BA246" s="39">
        <v>1</v>
      </c>
      <c r="BB246" s="39">
        <v>0</v>
      </c>
      <c r="BC246" s="39">
        <v>0</v>
      </c>
      <c r="BD246" s="39">
        <v>0</v>
      </c>
      <c r="BE246" s="39">
        <v>0</v>
      </c>
      <c r="BF246" s="39">
        <v>0</v>
      </c>
      <c r="BG246" s="39">
        <v>1</v>
      </c>
      <c r="BH246" s="39">
        <v>0</v>
      </c>
      <c r="BI246" s="39">
        <v>0</v>
      </c>
      <c r="BJ246" s="39">
        <v>1</v>
      </c>
    </row>
    <row r="247" ht="14.25" customHeight="1">
      <c r="E247" s="111" t="s">
        <v>872</v>
      </c>
      <c r="F247" s="111" t="s">
        <v>516</v>
      </c>
      <c r="G247" s="111" t="s">
        <v>498</v>
      </c>
      <c r="H247" s="313">
        <v>16020</v>
      </c>
      <c r="I247" s="313">
        <v>16023</v>
      </c>
      <c r="J247" s="170"/>
      <c r="K247" s="111"/>
      <c r="L247" s="39" t="s">
        <v>447</v>
      </c>
      <c r="M247" s="39">
        <v>0</v>
      </c>
      <c r="N247" s="39">
        <v>1</v>
      </c>
      <c r="O247" s="39">
        <v>0</v>
      </c>
      <c r="P247" s="142"/>
      <c r="Q247" s="39">
        <v>0</v>
      </c>
      <c r="R247" s="39">
        <v>0</v>
      </c>
      <c r="S247" s="39">
        <v>0</v>
      </c>
      <c r="T247" s="142"/>
      <c r="U247" s="39">
        <v>0</v>
      </c>
      <c r="V247" s="39">
        <v>1</v>
      </c>
      <c r="W247" s="39">
        <v>0</v>
      </c>
      <c r="X247" s="39">
        <v>0</v>
      </c>
      <c r="Y247" s="39">
        <v>0</v>
      </c>
      <c r="Z247" s="39">
        <v>1</v>
      </c>
      <c r="AA247" s="39">
        <v>0</v>
      </c>
      <c r="AB247" s="39">
        <v>1</v>
      </c>
      <c r="AC247" s="39">
        <v>0</v>
      </c>
      <c r="AD247" s="39">
        <v>0</v>
      </c>
      <c r="AE247" s="39">
        <v>1</v>
      </c>
      <c r="AF247" s="39">
        <v>1</v>
      </c>
      <c r="AG247" s="39">
        <v>1</v>
      </c>
      <c r="AH247" s="39">
        <v>1</v>
      </c>
      <c r="AI247" s="39">
        <v>1</v>
      </c>
      <c r="AJ247" s="39">
        <v>1</v>
      </c>
      <c r="AK247" s="39">
        <v>0</v>
      </c>
      <c r="AL247" s="39">
        <v>1</v>
      </c>
      <c r="AM247" s="39">
        <v>0</v>
      </c>
      <c r="AN247" s="39">
        <v>0</v>
      </c>
      <c r="AO247" s="39">
        <v>0</v>
      </c>
      <c r="AP247" s="39">
        <v>1</v>
      </c>
      <c r="AQ247" s="39">
        <v>0</v>
      </c>
      <c r="AR247" s="39">
        <v>0</v>
      </c>
      <c r="AS247" s="39">
        <v>0</v>
      </c>
      <c r="AT247" s="39">
        <v>0</v>
      </c>
      <c r="AU247" s="39">
        <v>0</v>
      </c>
      <c r="AV247" s="39">
        <v>0</v>
      </c>
      <c r="AW247" s="39">
        <v>0</v>
      </c>
      <c r="AX247" s="39">
        <v>0</v>
      </c>
      <c r="AY247" s="39">
        <v>0</v>
      </c>
      <c r="AZ247" s="39">
        <v>0</v>
      </c>
      <c r="BB247" s="39">
        <v>0</v>
      </c>
      <c r="BC247" s="39">
        <v>0</v>
      </c>
      <c r="BD247" s="39">
        <v>0</v>
      </c>
      <c r="BE247" s="39">
        <v>0</v>
      </c>
      <c r="BF247" s="39">
        <v>0</v>
      </c>
      <c r="BG247" s="39">
        <v>0</v>
      </c>
      <c r="BH247" s="39">
        <v>0</v>
      </c>
      <c r="BI247" s="39">
        <v>0</v>
      </c>
      <c r="BJ247" s="39">
        <v>0</v>
      </c>
    </row>
    <row r="248" ht="55.25" customHeight="1">
      <c r="E248" s="111" t="s">
        <v>873</v>
      </c>
      <c r="F248" s="111" t="s">
        <v>874</v>
      </c>
      <c r="G248" s="111" t="s">
        <v>498</v>
      </c>
      <c r="H248" s="313">
        <v>16397</v>
      </c>
      <c r="I248" s="313">
        <v>16469</v>
      </c>
      <c r="J248" s="170" t="s">
        <v>875</v>
      </c>
      <c r="K248" s="111"/>
      <c r="L248" s="39" t="s">
        <v>66</v>
      </c>
      <c r="M248" s="39">
        <v>0</v>
      </c>
      <c r="N248" s="39">
        <v>0</v>
      </c>
      <c r="O248" s="39">
        <v>1</v>
      </c>
      <c r="P248" s="142"/>
      <c r="Q248" s="39">
        <v>0</v>
      </c>
      <c r="R248" s="39">
        <v>0</v>
      </c>
      <c r="S248" s="39">
        <v>0</v>
      </c>
      <c r="T248" s="142"/>
      <c r="U248" s="39">
        <v>0</v>
      </c>
      <c r="V248" s="39">
        <v>1</v>
      </c>
      <c r="W248" s="39">
        <v>0</v>
      </c>
      <c r="X248" s="39">
        <v>1</v>
      </c>
      <c r="Y248" s="39">
        <v>0</v>
      </c>
      <c r="Z248" s="39">
        <v>1</v>
      </c>
      <c r="AA248" s="39">
        <v>1</v>
      </c>
      <c r="AB248" s="39">
        <v>0</v>
      </c>
      <c r="AC248" s="39">
        <v>0</v>
      </c>
      <c r="AD248" s="39">
        <v>0</v>
      </c>
      <c r="AE248" s="39">
        <v>1</v>
      </c>
      <c r="AF248" s="39">
        <v>1</v>
      </c>
      <c r="AG248" s="39">
        <v>1</v>
      </c>
      <c r="AH248" s="39">
        <v>0</v>
      </c>
      <c r="AI248" s="39">
        <v>0</v>
      </c>
      <c r="AJ248" s="39">
        <v>0</v>
      </c>
      <c r="AK248" s="39">
        <v>1</v>
      </c>
      <c r="AL248" s="39">
        <v>1</v>
      </c>
      <c r="AM248" s="39">
        <v>1</v>
      </c>
      <c r="AN248" s="39">
        <v>0</v>
      </c>
      <c r="AO248" s="39">
        <v>0</v>
      </c>
      <c r="AP248" s="39">
        <v>1</v>
      </c>
      <c r="AQ248" s="39">
        <v>1</v>
      </c>
      <c r="AR248" s="39">
        <v>0</v>
      </c>
      <c r="AS248" s="39">
        <v>0</v>
      </c>
      <c r="AT248" s="39">
        <v>0</v>
      </c>
      <c r="AU248" s="39">
        <v>1</v>
      </c>
      <c r="AV248" s="39">
        <v>1</v>
      </c>
      <c r="AW248" s="39">
        <v>0</v>
      </c>
      <c r="AX248" s="39">
        <v>0</v>
      </c>
      <c r="AY248" s="39">
        <v>0</v>
      </c>
      <c r="AZ248" s="39">
        <v>1</v>
      </c>
      <c r="BB248" s="39">
        <v>0</v>
      </c>
      <c r="BC248" s="39">
        <v>0</v>
      </c>
      <c r="BD248" s="39">
        <v>0</v>
      </c>
      <c r="BE248" s="39">
        <v>0</v>
      </c>
      <c r="BF248" s="39">
        <v>1</v>
      </c>
      <c r="BG248" s="39">
        <v>0</v>
      </c>
      <c r="BH248" s="39">
        <v>0</v>
      </c>
      <c r="BI248" s="39">
        <v>1</v>
      </c>
      <c r="BJ248" s="39">
        <v>0</v>
      </c>
    </row>
    <row r="249" ht="28.399999999999999" customHeight="1">
      <c r="E249" s="111" t="s">
        <v>876</v>
      </c>
      <c r="F249" s="39" t="s">
        <v>877</v>
      </c>
      <c r="G249" s="111" t="s">
        <v>498</v>
      </c>
      <c r="H249" s="313">
        <v>16544</v>
      </c>
      <c r="I249" s="313">
        <v>16592</v>
      </c>
      <c r="J249" s="170"/>
      <c r="K249" s="111"/>
      <c r="L249" s="39" t="s">
        <v>447</v>
      </c>
      <c r="M249" s="39">
        <v>0</v>
      </c>
      <c r="N249" s="39">
        <v>1</v>
      </c>
      <c r="O249" s="39">
        <v>1</v>
      </c>
      <c r="P249" s="142"/>
      <c r="Q249" s="39">
        <v>0</v>
      </c>
      <c r="R249" s="39">
        <v>0</v>
      </c>
      <c r="S249" s="39">
        <v>0</v>
      </c>
      <c r="T249" s="142"/>
      <c r="U249" s="39">
        <v>0</v>
      </c>
      <c r="V249" s="39">
        <v>1</v>
      </c>
      <c r="W249" s="39">
        <v>0</v>
      </c>
      <c r="X249" s="39">
        <v>1</v>
      </c>
      <c r="Y249" s="39">
        <v>0</v>
      </c>
      <c r="Z249" s="39">
        <v>1</v>
      </c>
      <c r="AA249" s="39">
        <v>1</v>
      </c>
      <c r="AB249" s="39">
        <v>0</v>
      </c>
      <c r="AC249" s="39">
        <v>0</v>
      </c>
      <c r="AD249" s="39">
        <v>0</v>
      </c>
      <c r="AE249" s="39">
        <v>1</v>
      </c>
      <c r="AF249" s="39">
        <v>1</v>
      </c>
      <c r="AG249" s="39">
        <v>1</v>
      </c>
      <c r="AH249" s="39">
        <v>1</v>
      </c>
      <c r="AI249" s="39">
        <v>0</v>
      </c>
      <c r="AJ249" s="39">
        <v>1</v>
      </c>
      <c r="AK249" s="39">
        <v>0</v>
      </c>
      <c r="AL249" s="39">
        <v>1</v>
      </c>
      <c r="AM249" s="39">
        <v>0</v>
      </c>
      <c r="AN249" s="39">
        <v>0</v>
      </c>
      <c r="AO249" s="39">
        <v>0</v>
      </c>
      <c r="AP249" s="39">
        <v>1</v>
      </c>
      <c r="AQ249" s="39">
        <v>1</v>
      </c>
      <c r="AR249" s="39">
        <v>0</v>
      </c>
      <c r="AS249" s="39">
        <v>0</v>
      </c>
      <c r="AT249" s="39">
        <v>0</v>
      </c>
      <c r="AU249" s="39">
        <v>0</v>
      </c>
      <c r="AV249" s="39">
        <v>0</v>
      </c>
      <c r="AW249" s="39">
        <v>1</v>
      </c>
      <c r="AX249" s="39">
        <v>0</v>
      </c>
      <c r="AY249" s="39">
        <v>0</v>
      </c>
      <c r="AZ249" s="39">
        <v>1</v>
      </c>
      <c r="BA249" s="39">
        <v>1</v>
      </c>
      <c r="BB249" s="39">
        <v>0</v>
      </c>
      <c r="BC249" s="39">
        <v>0</v>
      </c>
      <c r="BD249" s="39">
        <v>0</v>
      </c>
      <c r="BE249" s="39">
        <v>0</v>
      </c>
      <c r="BF249" s="39">
        <v>0</v>
      </c>
      <c r="BG249" s="39">
        <v>0</v>
      </c>
      <c r="BH249" s="39">
        <v>0</v>
      </c>
      <c r="BI249" s="39">
        <v>0</v>
      </c>
      <c r="BJ249" s="39">
        <v>0</v>
      </c>
    </row>
    <row r="250" ht="14.25" customHeight="1">
      <c r="E250" s="128" t="s">
        <v>878</v>
      </c>
      <c r="F250" s="39" t="s">
        <v>550</v>
      </c>
      <c r="G250" s="128" t="s">
        <v>498</v>
      </c>
      <c r="H250" s="345">
        <v>16625</v>
      </c>
      <c r="I250" s="345">
        <v>16655</v>
      </c>
      <c r="J250" s="170" t="s">
        <v>879</v>
      </c>
      <c r="K250" s="111"/>
      <c r="L250" s="39" t="s">
        <v>492</v>
      </c>
      <c r="M250" s="39">
        <v>0</v>
      </c>
      <c r="N250" s="39">
        <v>0</v>
      </c>
      <c r="O250" s="39">
        <v>0</v>
      </c>
      <c r="P250" s="142"/>
      <c r="Q250" s="39">
        <v>0</v>
      </c>
      <c r="R250" s="39">
        <v>0</v>
      </c>
      <c r="S250" s="39">
        <v>0</v>
      </c>
      <c r="T250" s="142"/>
      <c r="U250" s="39">
        <v>0</v>
      </c>
      <c r="V250" s="39">
        <v>0</v>
      </c>
      <c r="W250" s="39">
        <v>0</v>
      </c>
      <c r="X250" s="39">
        <v>0</v>
      </c>
      <c r="Y250" s="39">
        <v>0</v>
      </c>
      <c r="Z250" s="39">
        <v>0</v>
      </c>
      <c r="AA250" s="39">
        <v>0</v>
      </c>
      <c r="AB250" s="39">
        <v>0</v>
      </c>
      <c r="AC250" s="39">
        <v>0</v>
      </c>
      <c r="AD250" s="39">
        <v>0</v>
      </c>
      <c r="AE250" s="39">
        <v>0</v>
      </c>
      <c r="AF250" s="39">
        <v>0</v>
      </c>
      <c r="AG250" s="39">
        <v>0</v>
      </c>
      <c r="AH250" s="39">
        <v>0</v>
      </c>
      <c r="AI250" s="39">
        <v>0</v>
      </c>
      <c r="AJ250" s="39">
        <v>0</v>
      </c>
      <c r="AK250" s="39">
        <v>0</v>
      </c>
      <c r="AL250" s="39">
        <v>0</v>
      </c>
      <c r="AM250" s="39">
        <v>0</v>
      </c>
      <c r="AN250" s="39">
        <v>0</v>
      </c>
      <c r="AO250" s="39">
        <v>0</v>
      </c>
      <c r="AP250" s="39">
        <v>0</v>
      </c>
      <c r="AQ250" s="39">
        <v>1</v>
      </c>
      <c r="AR250" s="39">
        <v>0</v>
      </c>
      <c r="AS250" s="39">
        <v>0</v>
      </c>
      <c r="AT250" s="39">
        <v>0</v>
      </c>
      <c r="AU250" s="39">
        <v>0</v>
      </c>
      <c r="AV250" s="39">
        <v>0</v>
      </c>
      <c r="AW250" s="39">
        <v>1</v>
      </c>
      <c r="AX250" s="39">
        <v>0</v>
      </c>
      <c r="AY250" s="39">
        <v>0</v>
      </c>
      <c r="AZ250" s="39">
        <v>0</v>
      </c>
      <c r="BB250" s="39">
        <v>1</v>
      </c>
      <c r="BC250" s="39">
        <v>0</v>
      </c>
      <c r="BD250" s="39">
        <v>0</v>
      </c>
      <c r="BE250" s="39">
        <v>0</v>
      </c>
      <c r="BF250" s="39">
        <v>0</v>
      </c>
      <c r="BG250" s="39">
        <v>1</v>
      </c>
      <c r="BH250" s="39">
        <v>0</v>
      </c>
      <c r="BI250" s="39">
        <v>0</v>
      </c>
      <c r="BJ250" s="39">
        <v>0</v>
      </c>
    </row>
    <row r="251" ht="14.25" customHeight="1">
      <c r="E251" s="111" t="s">
        <v>880</v>
      </c>
      <c r="F251" s="111" t="s">
        <v>508</v>
      </c>
      <c r="G251" s="111" t="s">
        <v>498</v>
      </c>
      <c r="H251" s="313">
        <v>16758</v>
      </c>
      <c r="I251" s="313">
        <v>16776</v>
      </c>
      <c r="J251" s="170"/>
      <c r="K251" s="111"/>
      <c r="L251" s="39" t="s">
        <v>447</v>
      </c>
      <c r="M251" s="39">
        <v>0</v>
      </c>
      <c r="N251" s="39">
        <v>0</v>
      </c>
      <c r="O251" s="39">
        <v>0</v>
      </c>
      <c r="P251" s="142"/>
      <c r="Q251" s="39">
        <v>0</v>
      </c>
      <c r="R251" s="39">
        <v>0</v>
      </c>
      <c r="S251" s="39">
        <v>0</v>
      </c>
      <c r="T251" s="142"/>
      <c r="U251" s="39">
        <v>0</v>
      </c>
      <c r="V251" s="39">
        <v>0</v>
      </c>
      <c r="W251" s="39">
        <v>0</v>
      </c>
      <c r="X251" s="39">
        <v>0</v>
      </c>
      <c r="Y251" s="39">
        <v>0</v>
      </c>
      <c r="Z251" s="39">
        <v>0</v>
      </c>
      <c r="AA251" s="39">
        <v>0</v>
      </c>
      <c r="AB251" s="39">
        <v>0</v>
      </c>
      <c r="AC251" s="39">
        <v>0</v>
      </c>
      <c r="AD251" s="39">
        <v>0</v>
      </c>
      <c r="AE251" s="39">
        <v>0</v>
      </c>
      <c r="AF251" s="39">
        <v>0</v>
      </c>
      <c r="AG251" s="39">
        <v>0</v>
      </c>
      <c r="AH251" s="39">
        <v>0</v>
      </c>
      <c r="AI251" s="39">
        <v>0</v>
      </c>
      <c r="AJ251" s="39">
        <v>0</v>
      </c>
      <c r="AK251" s="39">
        <v>0</v>
      </c>
      <c r="AL251" s="39">
        <v>0</v>
      </c>
      <c r="AM251" s="39">
        <v>0</v>
      </c>
      <c r="AN251" s="39">
        <v>0</v>
      </c>
      <c r="AO251" s="39">
        <v>0</v>
      </c>
      <c r="AP251" s="39">
        <v>0</v>
      </c>
      <c r="AQ251" s="39">
        <v>1</v>
      </c>
      <c r="AR251" s="39">
        <v>0</v>
      </c>
      <c r="AS251" s="39">
        <v>0</v>
      </c>
      <c r="AT251" s="39">
        <v>0</v>
      </c>
      <c r="AU251" s="39">
        <v>1</v>
      </c>
      <c r="AV251" s="39">
        <v>0</v>
      </c>
      <c r="AW251" s="39">
        <v>1</v>
      </c>
      <c r="AX251" s="39">
        <v>0</v>
      </c>
      <c r="AY251" s="39">
        <v>0</v>
      </c>
      <c r="AZ251" s="39">
        <v>1</v>
      </c>
      <c r="BB251" s="39">
        <v>0</v>
      </c>
      <c r="BC251" s="39">
        <v>0</v>
      </c>
      <c r="BD251" s="39">
        <v>0</v>
      </c>
      <c r="BE251" s="39">
        <v>0</v>
      </c>
      <c r="BF251" s="39">
        <v>0</v>
      </c>
      <c r="BG251" s="39">
        <v>1</v>
      </c>
      <c r="BH251" s="39">
        <v>0</v>
      </c>
      <c r="BI251" s="39">
        <v>0</v>
      </c>
      <c r="BJ251" s="39">
        <v>1</v>
      </c>
    </row>
    <row r="252" ht="55.25" customHeight="1">
      <c r="E252" s="128" t="s">
        <v>881</v>
      </c>
      <c r="F252" s="111" t="s">
        <v>882</v>
      </c>
      <c r="G252" s="128" t="s">
        <v>498</v>
      </c>
      <c r="H252" s="345">
        <v>16831</v>
      </c>
      <c r="I252" s="345">
        <v>16981</v>
      </c>
      <c r="J252" s="170" t="s">
        <v>700</v>
      </c>
      <c r="K252" s="111"/>
      <c r="L252" s="39" t="s">
        <v>447</v>
      </c>
      <c r="M252" s="39">
        <v>0</v>
      </c>
      <c r="N252" s="39">
        <v>1</v>
      </c>
      <c r="O252" s="39">
        <v>0</v>
      </c>
      <c r="P252" s="142"/>
      <c r="Q252" s="39">
        <v>1</v>
      </c>
      <c r="R252" s="39">
        <v>0</v>
      </c>
      <c r="S252" s="39">
        <v>0</v>
      </c>
      <c r="T252" s="142"/>
      <c r="U252" s="39">
        <v>0</v>
      </c>
      <c r="V252" s="39">
        <v>1</v>
      </c>
      <c r="W252" s="39">
        <v>0</v>
      </c>
      <c r="X252" s="39">
        <v>0</v>
      </c>
      <c r="Y252" s="39">
        <v>0</v>
      </c>
      <c r="Z252" s="39">
        <v>1</v>
      </c>
      <c r="AA252" s="39">
        <v>1</v>
      </c>
      <c r="AB252" s="39">
        <v>1</v>
      </c>
      <c r="AC252" s="39">
        <v>0</v>
      </c>
      <c r="AD252" s="39">
        <v>0</v>
      </c>
      <c r="AE252" s="39">
        <v>0</v>
      </c>
      <c r="AF252" s="39">
        <v>1</v>
      </c>
      <c r="AG252" s="39">
        <v>1</v>
      </c>
      <c r="AH252" s="39">
        <v>0</v>
      </c>
      <c r="AI252" s="39">
        <v>0</v>
      </c>
      <c r="AJ252" s="39">
        <v>1</v>
      </c>
      <c r="AK252" s="39">
        <v>1</v>
      </c>
      <c r="AL252" s="39">
        <v>1</v>
      </c>
      <c r="AM252" s="39">
        <v>1</v>
      </c>
      <c r="AN252" s="39">
        <v>0</v>
      </c>
      <c r="AO252" s="39">
        <v>0</v>
      </c>
      <c r="AP252" s="39">
        <v>1</v>
      </c>
      <c r="AQ252" s="39">
        <v>1</v>
      </c>
      <c r="AR252" s="39">
        <v>0</v>
      </c>
      <c r="AS252" s="39">
        <v>1</v>
      </c>
      <c r="AT252" s="39">
        <v>0</v>
      </c>
      <c r="AU252" s="39">
        <v>1</v>
      </c>
      <c r="AV252" s="39">
        <v>0</v>
      </c>
      <c r="AW252" s="39">
        <v>1</v>
      </c>
      <c r="AX252" s="39">
        <v>0</v>
      </c>
      <c r="AY252" s="39">
        <v>0</v>
      </c>
      <c r="AZ252" s="39">
        <v>0</v>
      </c>
      <c r="BB252" s="39">
        <v>1</v>
      </c>
      <c r="BC252" s="39">
        <v>0</v>
      </c>
      <c r="BD252" s="39">
        <v>0</v>
      </c>
      <c r="BE252" s="39">
        <v>0</v>
      </c>
      <c r="BF252" s="39">
        <v>0</v>
      </c>
      <c r="BG252" s="39">
        <v>1</v>
      </c>
      <c r="BH252" s="39">
        <v>0</v>
      </c>
      <c r="BI252" s="39">
        <v>0</v>
      </c>
      <c r="BJ252" s="39">
        <v>0</v>
      </c>
    </row>
    <row r="253" ht="55.25" customHeight="1">
      <c r="E253" s="330" t="s">
        <v>883</v>
      </c>
      <c r="F253" s="111" t="s">
        <v>884</v>
      </c>
      <c r="G253" s="330" t="s">
        <v>498</v>
      </c>
      <c r="H253" s="346">
        <v>17002</v>
      </c>
      <c r="I253" s="346">
        <v>17070</v>
      </c>
      <c r="J253" s="170" t="s">
        <v>885</v>
      </c>
      <c r="K253" s="111"/>
      <c r="L253" s="39" t="s">
        <v>447</v>
      </c>
      <c r="M253" s="39">
        <v>0</v>
      </c>
      <c r="N253" s="39">
        <v>1</v>
      </c>
      <c r="O253" s="39">
        <v>1</v>
      </c>
      <c r="P253" s="142"/>
      <c r="Q253" s="39">
        <v>1</v>
      </c>
      <c r="R253" s="39">
        <v>0</v>
      </c>
      <c r="S253" s="39">
        <v>0</v>
      </c>
      <c r="T253" s="142"/>
      <c r="U253" s="39">
        <v>0</v>
      </c>
      <c r="V253" s="39">
        <v>1</v>
      </c>
      <c r="W253" s="39">
        <v>0</v>
      </c>
      <c r="X253" s="39">
        <v>1</v>
      </c>
      <c r="Y253" s="39">
        <v>0</v>
      </c>
      <c r="Z253" s="39">
        <v>1</v>
      </c>
      <c r="AA253" s="39">
        <v>0</v>
      </c>
      <c r="AB253" s="39">
        <v>1</v>
      </c>
      <c r="AC253" s="39">
        <v>0</v>
      </c>
      <c r="AD253" s="39">
        <v>0</v>
      </c>
      <c r="AE253" s="39">
        <v>1</v>
      </c>
      <c r="AF253" s="39">
        <v>1</v>
      </c>
      <c r="AG253" s="39">
        <v>1</v>
      </c>
      <c r="AH253" s="39">
        <v>1</v>
      </c>
      <c r="AI253" s="39">
        <v>0</v>
      </c>
      <c r="AJ253" s="39">
        <v>1</v>
      </c>
      <c r="AK253" s="39">
        <v>1</v>
      </c>
      <c r="AL253" s="39">
        <v>1</v>
      </c>
      <c r="AM253" s="39">
        <v>1</v>
      </c>
      <c r="AN253" s="39">
        <v>0</v>
      </c>
      <c r="AO253" s="39">
        <v>0</v>
      </c>
      <c r="AP253" s="39">
        <v>1</v>
      </c>
      <c r="AQ253" s="39">
        <v>1</v>
      </c>
      <c r="AR253" s="39">
        <v>0</v>
      </c>
      <c r="AS253" s="39">
        <v>0</v>
      </c>
      <c r="AT253" s="39">
        <v>0</v>
      </c>
      <c r="AU253" s="39">
        <v>0</v>
      </c>
      <c r="AV253" s="39">
        <v>0</v>
      </c>
      <c r="AW253" s="39">
        <v>1</v>
      </c>
      <c r="AX253" s="39">
        <v>0</v>
      </c>
      <c r="AY253" s="39">
        <v>0</v>
      </c>
      <c r="AZ253" s="39">
        <v>1</v>
      </c>
      <c r="BB253" s="39">
        <v>0</v>
      </c>
      <c r="BC253" s="39">
        <v>0</v>
      </c>
      <c r="BD253" s="39">
        <v>0</v>
      </c>
      <c r="BE253" s="39">
        <v>0</v>
      </c>
      <c r="BF253" s="39">
        <v>0</v>
      </c>
      <c r="BG253" s="39">
        <v>1</v>
      </c>
      <c r="BH253" s="39">
        <v>0</v>
      </c>
      <c r="BI253" s="39">
        <v>0</v>
      </c>
      <c r="BJ253" s="39">
        <v>0</v>
      </c>
    </row>
    <row r="254" ht="14.25" customHeight="1">
      <c r="E254" s="128" t="s">
        <v>886</v>
      </c>
      <c r="F254" s="111" t="s">
        <v>516</v>
      </c>
      <c r="G254" s="128" t="s">
        <v>498</v>
      </c>
      <c r="H254" s="345">
        <v>17135</v>
      </c>
      <c r="I254" s="345">
        <v>17138</v>
      </c>
      <c r="J254" s="170" t="s">
        <v>845</v>
      </c>
      <c r="K254" s="111"/>
      <c r="L254" s="39" t="s">
        <v>325</v>
      </c>
      <c r="M254" s="39">
        <v>1</v>
      </c>
      <c r="N254" s="39">
        <v>0</v>
      </c>
      <c r="O254" s="39">
        <v>0</v>
      </c>
      <c r="P254" s="142">
        <v>1</v>
      </c>
      <c r="Q254" s="39">
        <v>0</v>
      </c>
      <c r="R254" s="39">
        <v>0</v>
      </c>
      <c r="S254" s="39">
        <v>0</v>
      </c>
      <c r="T254" s="142">
        <v>0</v>
      </c>
      <c r="U254" s="39">
        <v>0</v>
      </c>
      <c r="V254" s="39">
        <v>1</v>
      </c>
      <c r="W254" s="39">
        <v>0</v>
      </c>
      <c r="X254" s="39">
        <v>0</v>
      </c>
      <c r="Y254" s="39">
        <v>1</v>
      </c>
      <c r="Z254" s="39">
        <v>0</v>
      </c>
      <c r="AA254" s="39">
        <v>1</v>
      </c>
      <c r="AB254" s="39">
        <v>0</v>
      </c>
      <c r="AC254" s="39">
        <v>0</v>
      </c>
      <c r="AD254" s="39">
        <v>0</v>
      </c>
      <c r="AE254" s="39">
        <v>0</v>
      </c>
      <c r="AF254" s="39">
        <v>0</v>
      </c>
      <c r="AG254" s="39">
        <v>1</v>
      </c>
      <c r="AH254" s="39">
        <v>1</v>
      </c>
      <c r="AI254" s="39">
        <v>0</v>
      </c>
      <c r="AJ254" s="39">
        <v>0</v>
      </c>
      <c r="AK254" s="39">
        <v>0</v>
      </c>
      <c r="AL254" s="39">
        <v>0</v>
      </c>
      <c r="AM254" s="39">
        <v>0</v>
      </c>
      <c r="AN254" s="39">
        <v>1</v>
      </c>
      <c r="AO254" s="39">
        <v>1</v>
      </c>
      <c r="AP254" s="39">
        <v>0</v>
      </c>
      <c r="AQ254" s="39">
        <v>0</v>
      </c>
      <c r="AR254" s="39">
        <v>0</v>
      </c>
      <c r="AS254" s="39">
        <v>0</v>
      </c>
      <c r="AT254" s="39">
        <v>0</v>
      </c>
      <c r="AU254" s="39">
        <v>0</v>
      </c>
      <c r="AV254" s="39">
        <v>0</v>
      </c>
      <c r="AW254" s="39">
        <v>0</v>
      </c>
      <c r="AX254" s="39">
        <v>0</v>
      </c>
      <c r="AY254" s="39">
        <v>0</v>
      </c>
      <c r="AZ254" s="39">
        <v>0</v>
      </c>
      <c r="BA254" s="39">
        <v>0</v>
      </c>
      <c r="BB254" s="39">
        <v>0</v>
      </c>
      <c r="BC254" s="39">
        <v>0</v>
      </c>
      <c r="BD254" s="39">
        <v>0</v>
      </c>
      <c r="BE254" s="39">
        <v>0</v>
      </c>
      <c r="BF254" s="39">
        <v>0</v>
      </c>
      <c r="BG254" s="39">
        <v>0</v>
      </c>
      <c r="BH254" s="39">
        <v>0</v>
      </c>
      <c r="BI254" s="39">
        <v>0</v>
      </c>
      <c r="BJ254" s="39">
        <v>0</v>
      </c>
    </row>
    <row r="255" ht="41.75" customHeight="1">
      <c r="E255" s="330" t="s">
        <v>887</v>
      </c>
      <c r="F255" s="111" t="s">
        <v>608</v>
      </c>
      <c r="G255" s="330" t="s">
        <v>498</v>
      </c>
      <c r="H255" s="346">
        <v>17328</v>
      </c>
      <c r="I255" s="346">
        <v>17340</v>
      </c>
      <c r="J255" s="170" t="s">
        <v>888</v>
      </c>
      <c r="K255" s="111"/>
      <c r="L255" s="39" t="s">
        <v>447</v>
      </c>
      <c r="M255" s="39">
        <v>0</v>
      </c>
      <c r="N255" s="39">
        <v>0</v>
      </c>
      <c r="O255" s="39">
        <v>0</v>
      </c>
      <c r="P255" s="142"/>
      <c r="Q255" s="39">
        <v>1</v>
      </c>
      <c r="R255" s="39">
        <v>0</v>
      </c>
      <c r="S255" s="39">
        <v>1</v>
      </c>
      <c r="T255" s="142"/>
      <c r="U255" s="39">
        <v>0</v>
      </c>
      <c r="V255" s="39">
        <v>1</v>
      </c>
      <c r="W255" s="39">
        <v>0</v>
      </c>
      <c r="X255" s="39">
        <v>0</v>
      </c>
      <c r="Y255" s="39">
        <v>1</v>
      </c>
      <c r="Z255" s="39">
        <v>0</v>
      </c>
      <c r="AA255" s="39">
        <v>0</v>
      </c>
      <c r="AB255" s="39">
        <v>0</v>
      </c>
      <c r="AC255" s="39">
        <v>1</v>
      </c>
      <c r="AD255" s="39">
        <v>0</v>
      </c>
      <c r="AE255" s="39">
        <v>1</v>
      </c>
      <c r="AF255" s="39">
        <v>1</v>
      </c>
      <c r="AG255" s="39">
        <v>1</v>
      </c>
      <c r="AH255" s="39">
        <v>1</v>
      </c>
      <c r="AI255" s="39">
        <v>0</v>
      </c>
      <c r="AJ255" s="39">
        <v>1</v>
      </c>
      <c r="AK255" s="39">
        <v>0</v>
      </c>
      <c r="AL255" s="39">
        <v>0</v>
      </c>
      <c r="AM255" s="39">
        <v>1</v>
      </c>
      <c r="AN255" s="39">
        <v>0</v>
      </c>
      <c r="AO255" s="39">
        <v>0</v>
      </c>
      <c r="AP255" s="39">
        <v>1</v>
      </c>
      <c r="AQ255" s="39">
        <v>1</v>
      </c>
      <c r="AR255" s="39">
        <v>0</v>
      </c>
      <c r="AS255" s="39">
        <v>1</v>
      </c>
      <c r="AT255" s="39">
        <v>0</v>
      </c>
      <c r="AU255" s="39">
        <v>0</v>
      </c>
      <c r="AV255" s="39">
        <v>0</v>
      </c>
      <c r="AW255" s="39">
        <v>1</v>
      </c>
      <c r="AX255" s="39">
        <v>0</v>
      </c>
      <c r="AY255" s="39">
        <v>0</v>
      </c>
      <c r="AZ255" s="39">
        <v>0</v>
      </c>
      <c r="BB255" s="39">
        <v>0</v>
      </c>
      <c r="BC255" s="39">
        <v>0</v>
      </c>
      <c r="BD255" s="39">
        <v>0</v>
      </c>
      <c r="BE255" s="39">
        <v>0</v>
      </c>
      <c r="BF255" s="39">
        <v>0</v>
      </c>
      <c r="BG255" s="39">
        <v>0</v>
      </c>
      <c r="BH255" s="39">
        <v>0</v>
      </c>
      <c r="BI255" s="39">
        <v>0</v>
      </c>
      <c r="BJ255" s="39">
        <v>0</v>
      </c>
    </row>
    <row r="256" ht="82" customHeight="1">
      <c r="E256" s="330" t="s">
        <v>889</v>
      </c>
      <c r="F256" s="111" t="s">
        <v>761</v>
      </c>
      <c r="G256" s="330" t="s">
        <v>498</v>
      </c>
      <c r="H256" s="346">
        <v>17416</v>
      </c>
      <c r="I256" s="346">
        <v>17536</v>
      </c>
      <c r="J256" s="170" t="s">
        <v>700</v>
      </c>
      <c r="K256" s="111"/>
      <c r="L256" s="39" t="s">
        <v>447</v>
      </c>
      <c r="M256" s="39">
        <v>0</v>
      </c>
      <c r="N256" s="39">
        <v>0</v>
      </c>
      <c r="O256" s="39">
        <v>0</v>
      </c>
      <c r="P256" s="142"/>
      <c r="Q256" s="39">
        <v>1</v>
      </c>
      <c r="R256" s="39">
        <v>0</v>
      </c>
      <c r="S256" s="39">
        <v>1</v>
      </c>
      <c r="T256" s="142"/>
      <c r="U256" s="39">
        <v>0</v>
      </c>
      <c r="V256" s="39">
        <v>1</v>
      </c>
      <c r="W256" s="39">
        <v>0</v>
      </c>
      <c r="X256" s="39">
        <v>1</v>
      </c>
      <c r="Y256" s="39">
        <v>1</v>
      </c>
      <c r="Z256" s="39">
        <v>0</v>
      </c>
      <c r="AA256" s="39">
        <v>0</v>
      </c>
      <c r="AB256" s="39">
        <v>0</v>
      </c>
      <c r="AC256" s="39">
        <v>1</v>
      </c>
      <c r="AD256" s="39">
        <v>0</v>
      </c>
      <c r="AE256" s="39">
        <v>1</v>
      </c>
      <c r="AF256" s="39">
        <v>1</v>
      </c>
      <c r="AG256" s="39">
        <v>1</v>
      </c>
      <c r="AH256" s="39">
        <v>0</v>
      </c>
      <c r="AI256" s="39">
        <v>0</v>
      </c>
      <c r="AJ256" s="39">
        <v>0</v>
      </c>
      <c r="AK256" s="39">
        <v>0</v>
      </c>
      <c r="AL256" s="39">
        <v>1</v>
      </c>
      <c r="AM256" s="39">
        <v>1</v>
      </c>
      <c r="AN256" s="39">
        <v>0</v>
      </c>
      <c r="AO256" s="39">
        <v>0</v>
      </c>
      <c r="AP256" s="39">
        <v>1</v>
      </c>
      <c r="AQ256" s="39">
        <v>1</v>
      </c>
      <c r="AR256" s="39">
        <v>0</v>
      </c>
      <c r="AS256" s="39">
        <v>1</v>
      </c>
      <c r="AT256" s="39">
        <v>0</v>
      </c>
      <c r="AU256" s="39">
        <v>0</v>
      </c>
      <c r="AV256" s="39">
        <v>0</v>
      </c>
      <c r="AW256" s="39">
        <v>1</v>
      </c>
      <c r="AX256" s="39">
        <v>0</v>
      </c>
      <c r="AY256" s="39">
        <v>0</v>
      </c>
      <c r="AZ256" s="39">
        <v>0</v>
      </c>
      <c r="BB256" s="39">
        <v>1</v>
      </c>
      <c r="BC256" s="39">
        <v>0</v>
      </c>
      <c r="BD256" s="39">
        <v>0</v>
      </c>
      <c r="BE256" s="39">
        <v>0</v>
      </c>
      <c r="BF256" s="39">
        <v>0</v>
      </c>
      <c r="BG256" s="39">
        <v>1</v>
      </c>
      <c r="BH256" s="39">
        <v>0</v>
      </c>
      <c r="BI256" s="39">
        <v>0</v>
      </c>
      <c r="BJ256" s="39">
        <v>0</v>
      </c>
    </row>
    <row r="257" ht="28.399999999999999" customHeight="1">
      <c r="E257" s="128" t="s">
        <v>890</v>
      </c>
      <c r="F257" s="111" t="s">
        <v>891</v>
      </c>
      <c r="G257" s="128" t="s">
        <v>498</v>
      </c>
      <c r="H257" s="345">
        <v>17805</v>
      </c>
      <c r="I257" s="345">
        <v>17839</v>
      </c>
      <c r="J257" s="170" t="s">
        <v>892</v>
      </c>
      <c r="K257" s="111"/>
      <c r="L257" s="39" t="s">
        <v>447</v>
      </c>
      <c r="M257" s="39">
        <v>1</v>
      </c>
      <c r="N257" s="39">
        <v>0</v>
      </c>
      <c r="O257" s="39">
        <v>0</v>
      </c>
      <c r="P257" s="142"/>
      <c r="Q257" s="39">
        <v>0</v>
      </c>
      <c r="R257" s="39">
        <v>0</v>
      </c>
      <c r="S257" s="39">
        <v>0</v>
      </c>
      <c r="T257" s="142"/>
      <c r="U257" s="39">
        <v>0</v>
      </c>
      <c r="V257" s="39">
        <v>1</v>
      </c>
      <c r="W257" s="39">
        <v>0</v>
      </c>
      <c r="X257" s="39">
        <v>0</v>
      </c>
      <c r="Y257" s="39">
        <v>0</v>
      </c>
      <c r="Z257" s="39">
        <v>1</v>
      </c>
      <c r="AA257" s="39">
        <v>1</v>
      </c>
      <c r="AB257" s="39">
        <v>0</v>
      </c>
      <c r="AC257" s="39">
        <v>0</v>
      </c>
      <c r="AD257" s="39">
        <v>0</v>
      </c>
      <c r="AE257" s="39">
        <v>0</v>
      </c>
      <c r="AF257" s="39">
        <v>0</v>
      </c>
      <c r="AG257" s="39">
        <v>1</v>
      </c>
      <c r="AH257" s="39">
        <v>0</v>
      </c>
      <c r="AI257" s="39">
        <v>0</v>
      </c>
      <c r="AJ257" s="39">
        <v>0</v>
      </c>
      <c r="AK257" s="39">
        <v>0</v>
      </c>
      <c r="AL257" s="39">
        <v>1</v>
      </c>
      <c r="AM257" s="39">
        <v>0</v>
      </c>
      <c r="AN257" s="39">
        <v>0</v>
      </c>
      <c r="AO257" s="39">
        <v>0</v>
      </c>
      <c r="AP257" s="39">
        <v>1</v>
      </c>
      <c r="AQ257" s="39">
        <v>1</v>
      </c>
      <c r="AR257" s="39">
        <v>0</v>
      </c>
      <c r="AS257" s="39">
        <v>0</v>
      </c>
      <c r="AT257" s="39">
        <v>0</v>
      </c>
      <c r="AU257" s="39">
        <v>0</v>
      </c>
      <c r="AV257" s="39">
        <v>0</v>
      </c>
      <c r="AW257" s="39">
        <v>1</v>
      </c>
      <c r="AX257" s="39">
        <v>0</v>
      </c>
      <c r="AY257" s="39">
        <v>0</v>
      </c>
      <c r="AZ257" s="39">
        <v>0</v>
      </c>
      <c r="BB257" s="39">
        <v>1</v>
      </c>
      <c r="BC257" s="39">
        <v>0</v>
      </c>
      <c r="BD257" s="39">
        <v>0</v>
      </c>
      <c r="BE257" s="39">
        <v>0</v>
      </c>
      <c r="BF257" s="39">
        <v>0</v>
      </c>
      <c r="BG257" s="39">
        <v>1</v>
      </c>
      <c r="BH257" s="39">
        <v>0</v>
      </c>
      <c r="BI257" s="39">
        <v>0</v>
      </c>
      <c r="BJ257" s="39">
        <v>1</v>
      </c>
    </row>
    <row r="258" ht="28.399999999999999" customHeight="1">
      <c r="E258" s="111" t="s">
        <v>893</v>
      </c>
      <c r="F258" s="111" t="s">
        <v>544</v>
      </c>
      <c r="G258" s="111" t="s">
        <v>498</v>
      </c>
      <c r="H258" s="313">
        <v>17896</v>
      </c>
      <c r="I258" s="313">
        <v>17911</v>
      </c>
      <c r="J258" s="170"/>
      <c r="K258" s="111"/>
      <c r="L258" s="39" t="s">
        <v>447</v>
      </c>
      <c r="M258" s="39">
        <v>1</v>
      </c>
      <c r="N258" s="39">
        <v>0</v>
      </c>
      <c r="O258" s="39">
        <v>0</v>
      </c>
      <c r="P258" s="142"/>
      <c r="Q258" s="39">
        <v>0</v>
      </c>
      <c r="R258" s="39">
        <v>0</v>
      </c>
      <c r="S258" s="39">
        <v>0</v>
      </c>
      <c r="T258" s="142"/>
      <c r="U258" s="39">
        <v>0</v>
      </c>
      <c r="V258" s="39">
        <v>0</v>
      </c>
      <c r="W258" s="39">
        <v>1</v>
      </c>
      <c r="X258" s="39">
        <v>0</v>
      </c>
      <c r="Y258" s="39">
        <v>0</v>
      </c>
      <c r="Z258" s="39">
        <v>1</v>
      </c>
      <c r="AA258" s="39">
        <v>1</v>
      </c>
      <c r="AB258" s="39">
        <v>0</v>
      </c>
      <c r="AC258" s="39">
        <v>0</v>
      </c>
      <c r="AD258" s="39">
        <v>0</v>
      </c>
      <c r="AE258" s="39">
        <v>0</v>
      </c>
      <c r="AF258" s="39">
        <v>0</v>
      </c>
      <c r="AG258" s="39">
        <v>0</v>
      </c>
      <c r="AH258" s="39">
        <v>0</v>
      </c>
      <c r="AI258" s="39">
        <v>0</v>
      </c>
      <c r="AJ258" s="39">
        <v>1</v>
      </c>
      <c r="AK258" s="39">
        <v>0</v>
      </c>
      <c r="AL258" s="39">
        <v>1</v>
      </c>
      <c r="AM258" s="39">
        <v>0</v>
      </c>
      <c r="AN258" s="39">
        <v>0</v>
      </c>
      <c r="AO258" s="39">
        <v>0</v>
      </c>
      <c r="AP258" s="39">
        <v>1</v>
      </c>
      <c r="AQ258" s="39">
        <v>1</v>
      </c>
      <c r="AR258" s="39">
        <v>0</v>
      </c>
      <c r="AS258" s="39">
        <v>1</v>
      </c>
      <c r="AT258" s="39">
        <v>0</v>
      </c>
      <c r="AU258" s="39">
        <v>1</v>
      </c>
      <c r="AV258" s="39">
        <v>0</v>
      </c>
      <c r="AW258" s="39">
        <v>1</v>
      </c>
      <c r="AX258" s="39">
        <v>0</v>
      </c>
      <c r="AY258" s="39">
        <v>0</v>
      </c>
      <c r="AZ258" s="39">
        <v>0</v>
      </c>
      <c r="BB258" s="39">
        <v>0</v>
      </c>
      <c r="BC258" s="39">
        <v>0</v>
      </c>
      <c r="BD258" s="39">
        <v>0</v>
      </c>
      <c r="BE258" s="39">
        <v>0</v>
      </c>
      <c r="BF258" s="39">
        <v>0</v>
      </c>
      <c r="BG258" s="39">
        <v>0</v>
      </c>
      <c r="BH258" s="39">
        <v>0</v>
      </c>
      <c r="BI258" s="39">
        <v>0</v>
      </c>
      <c r="BJ258" s="39">
        <v>0</v>
      </c>
    </row>
    <row r="259" ht="41.75" customHeight="1">
      <c r="E259" s="111" t="s">
        <v>894</v>
      </c>
      <c r="F259" s="39" t="s">
        <v>525</v>
      </c>
      <c r="G259" s="111" t="s">
        <v>498</v>
      </c>
      <c r="H259" s="313">
        <v>18116</v>
      </c>
      <c r="I259" s="313">
        <v>18139</v>
      </c>
      <c r="J259" s="170"/>
      <c r="K259" s="111"/>
      <c r="L259" s="39" t="s">
        <v>447</v>
      </c>
      <c r="M259" s="39">
        <v>0</v>
      </c>
      <c r="N259" s="39">
        <v>1</v>
      </c>
      <c r="O259" s="39">
        <v>0</v>
      </c>
      <c r="P259" s="142"/>
      <c r="Q259" s="39">
        <v>0</v>
      </c>
      <c r="R259" s="39">
        <v>0</v>
      </c>
      <c r="S259" s="39">
        <v>0</v>
      </c>
      <c r="T259" s="142"/>
      <c r="U259" s="39">
        <v>0</v>
      </c>
      <c r="V259" s="39">
        <v>1</v>
      </c>
      <c r="W259" s="39">
        <v>0</v>
      </c>
      <c r="X259" s="39">
        <v>0</v>
      </c>
      <c r="Y259" s="39">
        <v>0</v>
      </c>
      <c r="Z259" s="39">
        <v>1</v>
      </c>
      <c r="AA259" s="39">
        <v>1</v>
      </c>
      <c r="AB259" s="39">
        <v>0</v>
      </c>
      <c r="AC259" s="39">
        <v>0</v>
      </c>
      <c r="AD259" s="39">
        <v>0</v>
      </c>
      <c r="AE259" s="39">
        <v>1</v>
      </c>
      <c r="AF259" s="39">
        <v>1</v>
      </c>
      <c r="AG259" s="39">
        <v>1</v>
      </c>
      <c r="AH259" s="39">
        <v>1</v>
      </c>
      <c r="AI259" s="39">
        <v>0</v>
      </c>
      <c r="AJ259" s="39">
        <v>1</v>
      </c>
      <c r="AK259" s="39">
        <v>0</v>
      </c>
      <c r="AL259" s="39">
        <v>1</v>
      </c>
      <c r="AM259" s="39">
        <v>0</v>
      </c>
      <c r="AN259" s="39">
        <v>0</v>
      </c>
      <c r="AO259" s="39">
        <v>0</v>
      </c>
      <c r="AP259" s="39">
        <v>1</v>
      </c>
      <c r="AQ259" s="39">
        <v>1</v>
      </c>
      <c r="AR259" s="39">
        <v>0</v>
      </c>
      <c r="AS259" s="39">
        <v>1</v>
      </c>
      <c r="AT259" s="39">
        <v>0</v>
      </c>
      <c r="AU259" s="39">
        <v>0</v>
      </c>
      <c r="AV259" s="39">
        <v>0</v>
      </c>
      <c r="AW259" s="39">
        <v>1</v>
      </c>
      <c r="AX259" s="39">
        <v>0</v>
      </c>
      <c r="AY259" s="39">
        <v>0</v>
      </c>
      <c r="AZ259" s="39">
        <v>0</v>
      </c>
      <c r="BB259" s="39">
        <v>0</v>
      </c>
      <c r="BC259" s="39">
        <v>0</v>
      </c>
      <c r="BD259" s="39">
        <v>0</v>
      </c>
      <c r="BE259" s="39">
        <v>0</v>
      </c>
      <c r="BF259" s="39">
        <v>0</v>
      </c>
      <c r="BG259" s="39">
        <v>1</v>
      </c>
      <c r="BH259" s="39">
        <v>0</v>
      </c>
      <c r="BI259" s="39">
        <v>0</v>
      </c>
      <c r="BJ259" s="39">
        <v>0</v>
      </c>
    </row>
    <row r="260" ht="41.75" customHeight="1">
      <c r="E260" s="128" t="s">
        <v>895</v>
      </c>
      <c r="F260" s="111" t="s">
        <v>533</v>
      </c>
      <c r="G260" s="128" t="s">
        <v>498</v>
      </c>
      <c r="H260" s="345">
        <v>18200</v>
      </c>
      <c r="I260" s="345">
        <v>18221</v>
      </c>
      <c r="J260" s="170" t="s">
        <v>700</v>
      </c>
      <c r="K260" s="111"/>
      <c r="L260" s="39" t="s">
        <v>447</v>
      </c>
      <c r="M260" s="39">
        <v>0</v>
      </c>
      <c r="N260" s="39">
        <v>0</v>
      </c>
      <c r="O260" s="39">
        <v>0</v>
      </c>
      <c r="P260" s="142"/>
      <c r="Q260" s="39">
        <v>0</v>
      </c>
      <c r="R260" s="39">
        <v>0</v>
      </c>
      <c r="S260" s="39">
        <v>1</v>
      </c>
      <c r="T260" s="142"/>
      <c r="U260" s="39">
        <v>0</v>
      </c>
      <c r="V260" s="39">
        <v>1</v>
      </c>
      <c r="W260" s="39">
        <v>0</v>
      </c>
      <c r="X260" s="39">
        <v>0</v>
      </c>
      <c r="Y260" s="39">
        <v>0</v>
      </c>
      <c r="Z260" s="39">
        <v>1</v>
      </c>
      <c r="AA260" s="39">
        <v>0</v>
      </c>
      <c r="AB260" s="39">
        <v>0</v>
      </c>
      <c r="AC260" s="39">
        <v>1</v>
      </c>
      <c r="AD260" s="39">
        <v>0</v>
      </c>
      <c r="AE260" s="39">
        <v>1</v>
      </c>
      <c r="AF260" s="39">
        <v>1</v>
      </c>
      <c r="AG260" s="39">
        <v>1</v>
      </c>
      <c r="AH260" s="39">
        <v>1</v>
      </c>
      <c r="AI260" s="39">
        <v>0</v>
      </c>
      <c r="AJ260" s="39">
        <v>1</v>
      </c>
      <c r="AK260" s="39">
        <v>0</v>
      </c>
      <c r="AL260" s="39">
        <v>0</v>
      </c>
      <c r="AM260" s="39">
        <v>0</v>
      </c>
      <c r="AN260" s="39">
        <v>1</v>
      </c>
      <c r="AO260" s="39">
        <v>0</v>
      </c>
      <c r="AP260" s="39">
        <v>1</v>
      </c>
      <c r="AQ260" s="39">
        <v>1</v>
      </c>
      <c r="AR260" s="39">
        <v>0</v>
      </c>
      <c r="AS260" s="39">
        <v>1</v>
      </c>
      <c r="AT260" s="39">
        <v>0</v>
      </c>
      <c r="AU260" s="39">
        <v>0</v>
      </c>
      <c r="AV260" s="39">
        <v>0</v>
      </c>
      <c r="AW260" s="39">
        <v>1</v>
      </c>
      <c r="AX260" s="39">
        <v>0</v>
      </c>
      <c r="AY260" s="39">
        <v>0</v>
      </c>
      <c r="AZ260" s="39">
        <v>0</v>
      </c>
      <c r="BB260" s="39">
        <v>1</v>
      </c>
      <c r="BC260" s="39">
        <v>0</v>
      </c>
      <c r="BD260" s="39">
        <v>0</v>
      </c>
      <c r="BE260" s="39">
        <v>0</v>
      </c>
      <c r="BF260" s="39">
        <v>0</v>
      </c>
      <c r="BG260" s="39">
        <v>1</v>
      </c>
      <c r="BH260" s="39">
        <v>0</v>
      </c>
      <c r="BI260" s="39">
        <v>0</v>
      </c>
      <c r="BJ260" s="39">
        <v>0</v>
      </c>
    </row>
    <row r="261" ht="41.75" customHeight="1">
      <c r="E261" s="111" t="s">
        <v>896</v>
      </c>
      <c r="F261" s="111" t="s">
        <v>533</v>
      </c>
      <c r="G261" s="111" t="s">
        <v>498</v>
      </c>
      <c r="H261" s="313">
        <v>18963</v>
      </c>
      <c r="I261" s="313">
        <v>18984</v>
      </c>
      <c r="J261" s="170"/>
      <c r="K261" s="111"/>
      <c r="L261" s="39" t="s">
        <v>325</v>
      </c>
      <c r="M261" s="39">
        <v>1</v>
      </c>
      <c r="N261" s="39">
        <v>0</v>
      </c>
      <c r="O261" s="39">
        <v>0</v>
      </c>
      <c r="P261" s="142"/>
      <c r="Q261" s="39">
        <v>0</v>
      </c>
      <c r="R261" s="39">
        <v>0</v>
      </c>
      <c r="S261" s="39">
        <v>0</v>
      </c>
      <c r="T261" s="142"/>
      <c r="U261" s="39">
        <v>0</v>
      </c>
      <c r="V261" s="39">
        <v>0</v>
      </c>
      <c r="W261" s="39">
        <v>1</v>
      </c>
      <c r="X261" s="39">
        <v>0</v>
      </c>
      <c r="Y261" s="39">
        <v>0</v>
      </c>
      <c r="Z261" s="39">
        <v>1</v>
      </c>
      <c r="AA261" s="39">
        <v>1</v>
      </c>
      <c r="AB261" s="39">
        <v>0</v>
      </c>
      <c r="AC261" s="39">
        <v>0</v>
      </c>
      <c r="AD261" s="39">
        <v>0</v>
      </c>
      <c r="AE261" s="39">
        <v>0</v>
      </c>
      <c r="AF261" s="39">
        <v>1</v>
      </c>
      <c r="AG261" s="39">
        <v>1</v>
      </c>
      <c r="AH261" s="39">
        <v>0</v>
      </c>
      <c r="AI261" s="39">
        <v>0</v>
      </c>
      <c r="AJ261" s="39">
        <v>0</v>
      </c>
      <c r="AK261" s="39">
        <v>1</v>
      </c>
      <c r="AL261" s="39">
        <v>1</v>
      </c>
      <c r="AM261" s="39">
        <v>0</v>
      </c>
      <c r="AN261" s="39">
        <v>0</v>
      </c>
      <c r="AO261" s="39">
        <v>0</v>
      </c>
      <c r="AP261" s="39">
        <v>1</v>
      </c>
      <c r="AQ261" s="39">
        <v>1</v>
      </c>
      <c r="AR261" s="39">
        <v>0</v>
      </c>
      <c r="AS261" s="39">
        <v>0</v>
      </c>
      <c r="AT261" s="39">
        <v>0</v>
      </c>
      <c r="AU261" s="39">
        <v>0</v>
      </c>
      <c r="AV261" s="39">
        <v>0</v>
      </c>
      <c r="AW261" s="39">
        <v>0</v>
      </c>
      <c r="AX261" s="39">
        <v>1</v>
      </c>
      <c r="AY261" s="39">
        <v>0</v>
      </c>
      <c r="AZ261" s="39">
        <v>1</v>
      </c>
      <c r="BB261" s="39">
        <v>0</v>
      </c>
      <c r="BC261" s="39">
        <v>0</v>
      </c>
      <c r="BD261" s="39">
        <v>0</v>
      </c>
      <c r="BE261" s="39">
        <v>0</v>
      </c>
      <c r="BF261" s="39">
        <v>0</v>
      </c>
      <c r="BG261" s="39">
        <v>0</v>
      </c>
      <c r="BH261" s="39">
        <v>0</v>
      </c>
      <c r="BI261" s="39">
        <v>0</v>
      </c>
      <c r="BJ261" s="39">
        <v>0</v>
      </c>
    </row>
    <row r="262" ht="28.399999999999999" customHeight="1">
      <c r="E262" s="128" t="s">
        <v>897</v>
      </c>
      <c r="F262" s="111" t="s">
        <v>898</v>
      </c>
      <c r="G262" s="128" t="s">
        <v>498</v>
      </c>
      <c r="H262" s="345">
        <v>27459</v>
      </c>
      <c r="I262" s="345">
        <v>27478</v>
      </c>
      <c r="J262" s="170" t="s">
        <v>845</v>
      </c>
      <c r="K262" s="111"/>
      <c r="L262" s="39" t="s">
        <v>325</v>
      </c>
      <c r="M262" s="39">
        <v>0</v>
      </c>
      <c r="N262" s="39">
        <v>1</v>
      </c>
      <c r="O262" s="39">
        <v>0</v>
      </c>
      <c r="P262" s="142"/>
      <c r="Q262" s="39">
        <v>0</v>
      </c>
      <c r="R262" s="39">
        <v>0</v>
      </c>
      <c r="S262" s="39">
        <v>0</v>
      </c>
      <c r="T262" s="142"/>
      <c r="U262" s="39">
        <v>0</v>
      </c>
      <c r="V262" s="39">
        <v>1</v>
      </c>
      <c r="W262" s="39">
        <v>0</v>
      </c>
      <c r="X262" s="39">
        <v>0</v>
      </c>
      <c r="Y262" s="39">
        <v>0</v>
      </c>
      <c r="Z262" s="39">
        <v>1</v>
      </c>
      <c r="AA262" s="39">
        <v>1</v>
      </c>
      <c r="AB262" s="39">
        <v>0</v>
      </c>
      <c r="AC262" s="39">
        <v>0</v>
      </c>
      <c r="AD262" s="39">
        <v>0</v>
      </c>
      <c r="AE262" s="39">
        <v>1</v>
      </c>
      <c r="AF262" s="39">
        <v>1</v>
      </c>
      <c r="AG262" s="39">
        <v>1</v>
      </c>
      <c r="AH262" s="39">
        <v>1</v>
      </c>
      <c r="AI262" s="39">
        <v>1</v>
      </c>
      <c r="AJ262" s="39">
        <v>1</v>
      </c>
      <c r="AK262" s="39">
        <v>0</v>
      </c>
      <c r="AL262" s="39">
        <v>1</v>
      </c>
      <c r="AM262" s="39">
        <v>0</v>
      </c>
      <c r="AN262" s="39">
        <v>0</v>
      </c>
      <c r="AO262" s="39">
        <v>0</v>
      </c>
      <c r="AP262" s="39">
        <v>1</v>
      </c>
      <c r="AQ262" s="39">
        <v>0</v>
      </c>
      <c r="AR262" s="39">
        <v>0</v>
      </c>
      <c r="AS262" s="39">
        <v>0</v>
      </c>
      <c r="AT262" s="39">
        <v>0</v>
      </c>
      <c r="AU262" s="39">
        <v>0</v>
      </c>
      <c r="AV262" s="39">
        <v>0</v>
      </c>
      <c r="AW262" s="39">
        <v>0</v>
      </c>
      <c r="AX262" s="39">
        <v>0</v>
      </c>
      <c r="AY262" s="39">
        <v>0</v>
      </c>
      <c r="AZ262" s="39">
        <v>0</v>
      </c>
      <c r="BB262" s="39">
        <v>0</v>
      </c>
      <c r="BC262" s="39">
        <v>0</v>
      </c>
      <c r="BD262" s="39">
        <v>0</v>
      </c>
      <c r="BE262" s="39">
        <v>0</v>
      </c>
      <c r="BF262" s="39">
        <v>0</v>
      </c>
      <c r="BG262" s="39">
        <v>0</v>
      </c>
      <c r="BH262" s="39">
        <v>0</v>
      </c>
      <c r="BI262" s="39">
        <v>0</v>
      </c>
      <c r="BJ262" s="39">
        <v>0</v>
      </c>
    </row>
    <row r="263" ht="41.75" customHeight="1">
      <c r="E263" s="111" t="s">
        <v>899</v>
      </c>
      <c r="F263" s="111" t="s">
        <v>527</v>
      </c>
      <c r="G263" s="111" t="s">
        <v>498</v>
      </c>
      <c r="H263" s="313">
        <v>27655</v>
      </c>
      <c r="I263" s="313">
        <v>27692</v>
      </c>
      <c r="J263" s="170"/>
      <c r="K263" s="111"/>
      <c r="L263" s="39" t="s">
        <v>447</v>
      </c>
      <c r="M263" s="39">
        <v>0</v>
      </c>
      <c r="N263" s="39">
        <v>1</v>
      </c>
      <c r="O263" s="39">
        <v>0</v>
      </c>
      <c r="P263" s="142"/>
      <c r="Q263" s="39">
        <v>0</v>
      </c>
      <c r="R263" s="39">
        <v>0</v>
      </c>
      <c r="S263" s="39">
        <v>0</v>
      </c>
      <c r="T263" s="142"/>
      <c r="U263" s="39">
        <v>0</v>
      </c>
      <c r="V263" s="39">
        <v>1</v>
      </c>
      <c r="W263" s="39">
        <v>0</v>
      </c>
      <c r="X263" s="39">
        <v>0</v>
      </c>
      <c r="Y263" s="39">
        <v>0</v>
      </c>
      <c r="Z263" s="39">
        <v>1</v>
      </c>
      <c r="AA263" s="39">
        <v>0</v>
      </c>
      <c r="AB263" s="39">
        <v>0</v>
      </c>
      <c r="AC263" s="39">
        <v>0</v>
      </c>
      <c r="AD263" s="39">
        <v>0</v>
      </c>
      <c r="AE263" s="39">
        <v>1</v>
      </c>
      <c r="AF263" s="39">
        <v>1</v>
      </c>
      <c r="AG263" s="39">
        <v>1</v>
      </c>
      <c r="AH263" s="39">
        <v>1</v>
      </c>
      <c r="AI263" s="39">
        <v>1</v>
      </c>
      <c r="AJ263" s="39">
        <v>1</v>
      </c>
      <c r="AK263" s="39">
        <v>0</v>
      </c>
      <c r="AL263" s="39">
        <v>1</v>
      </c>
      <c r="AM263" s="39">
        <v>1</v>
      </c>
      <c r="AN263" s="39">
        <v>0</v>
      </c>
      <c r="AO263" s="39">
        <v>0</v>
      </c>
      <c r="AP263" s="39">
        <v>1</v>
      </c>
      <c r="AQ263" s="39">
        <v>0</v>
      </c>
      <c r="AR263" s="39">
        <v>0</v>
      </c>
      <c r="AS263" s="39">
        <v>0</v>
      </c>
      <c r="AT263" s="39">
        <v>0</v>
      </c>
      <c r="AU263" s="39">
        <v>0</v>
      </c>
      <c r="AV263" s="39">
        <v>0</v>
      </c>
      <c r="AW263" s="39">
        <v>0</v>
      </c>
      <c r="AX263" s="39">
        <v>0</v>
      </c>
      <c r="AY263" s="39">
        <v>0</v>
      </c>
      <c r="AZ263" s="39">
        <v>0</v>
      </c>
      <c r="BB263" s="39">
        <v>0</v>
      </c>
      <c r="BC263" s="39">
        <v>0</v>
      </c>
      <c r="BD263" s="39">
        <v>0</v>
      </c>
      <c r="BE263" s="39">
        <v>0</v>
      </c>
      <c r="BF263" s="39">
        <v>0</v>
      </c>
      <c r="BG263" s="39">
        <v>1</v>
      </c>
      <c r="BH263" s="39">
        <v>0</v>
      </c>
      <c r="BI263" s="39">
        <v>0</v>
      </c>
      <c r="BJ263" s="39">
        <v>0</v>
      </c>
    </row>
    <row r="264" ht="68.650000000000006" customHeight="1">
      <c r="E264" s="128" t="s">
        <v>900</v>
      </c>
      <c r="F264" s="111" t="s">
        <v>827</v>
      </c>
      <c r="G264" s="128" t="s">
        <v>498</v>
      </c>
      <c r="H264" s="345">
        <v>27757</v>
      </c>
      <c r="I264" s="345">
        <v>27796</v>
      </c>
      <c r="J264" s="170" t="s">
        <v>657</v>
      </c>
      <c r="K264" s="111"/>
      <c r="L264" s="39" t="s">
        <v>325</v>
      </c>
      <c r="M264" s="39">
        <v>0</v>
      </c>
      <c r="N264" s="39">
        <v>1</v>
      </c>
      <c r="O264" s="39">
        <v>0</v>
      </c>
      <c r="P264" s="142"/>
      <c r="Q264" s="39">
        <v>0</v>
      </c>
      <c r="R264" s="39">
        <v>0</v>
      </c>
      <c r="S264" s="39">
        <v>0</v>
      </c>
      <c r="T264" s="142"/>
      <c r="U264" s="39">
        <v>0</v>
      </c>
      <c r="V264" s="39">
        <v>1</v>
      </c>
      <c r="W264" s="39">
        <v>0</v>
      </c>
      <c r="X264" s="39">
        <v>0</v>
      </c>
      <c r="Y264" s="39">
        <v>0</v>
      </c>
      <c r="Z264" s="39">
        <v>1</v>
      </c>
      <c r="AA264" s="39">
        <v>0</v>
      </c>
      <c r="AB264" s="39">
        <v>0</v>
      </c>
      <c r="AC264" s="39">
        <v>0</v>
      </c>
      <c r="AD264" s="39">
        <v>0</v>
      </c>
      <c r="AE264" s="39">
        <v>1</v>
      </c>
      <c r="AF264" s="39">
        <v>1</v>
      </c>
      <c r="AG264" s="39">
        <v>1</v>
      </c>
      <c r="AH264" s="39">
        <v>1</v>
      </c>
      <c r="AI264" s="39">
        <v>0</v>
      </c>
      <c r="AJ264" s="39">
        <v>0</v>
      </c>
      <c r="AK264" s="39">
        <v>0</v>
      </c>
      <c r="AL264" s="39">
        <v>1</v>
      </c>
      <c r="AM264" s="39">
        <v>0</v>
      </c>
      <c r="AN264" s="39">
        <v>1</v>
      </c>
      <c r="AO264" s="39">
        <v>0</v>
      </c>
      <c r="AP264" s="39">
        <v>1</v>
      </c>
      <c r="AQ264" s="39">
        <v>0</v>
      </c>
      <c r="AR264" s="39">
        <v>0</v>
      </c>
      <c r="AS264" s="39">
        <v>0</v>
      </c>
      <c r="AT264" s="39">
        <v>0</v>
      </c>
      <c r="AU264" s="39">
        <v>0</v>
      </c>
      <c r="AV264" s="39">
        <v>0</v>
      </c>
      <c r="AW264" s="39">
        <v>0</v>
      </c>
      <c r="AX264" s="39">
        <v>0</v>
      </c>
      <c r="AY264" s="39">
        <v>0</v>
      </c>
      <c r="AZ264" s="39">
        <v>0</v>
      </c>
      <c r="BB264" s="39">
        <v>0</v>
      </c>
      <c r="BC264" s="39">
        <v>0</v>
      </c>
      <c r="BD264" s="39">
        <v>0</v>
      </c>
      <c r="BE264" s="39">
        <v>0</v>
      </c>
      <c r="BF264" s="39">
        <v>0</v>
      </c>
      <c r="BG264" s="39">
        <v>0</v>
      </c>
      <c r="BH264" s="39">
        <v>0</v>
      </c>
      <c r="BI264" s="39">
        <v>0</v>
      </c>
      <c r="BJ264" s="39">
        <v>0</v>
      </c>
      <c r="BM264" s="39">
        <v>1</v>
      </c>
    </row>
    <row r="265" ht="82" customHeight="1">
      <c r="E265" s="330" t="s">
        <v>901</v>
      </c>
      <c r="F265" s="111" t="s">
        <v>902</v>
      </c>
      <c r="G265" s="330" t="s">
        <v>498</v>
      </c>
      <c r="H265" s="346">
        <v>27932</v>
      </c>
      <c r="I265" s="346">
        <v>28052</v>
      </c>
      <c r="J265" s="170" t="s">
        <v>903</v>
      </c>
      <c r="K265" s="111"/>
      <c r="L265" s="39" t="s">
        <v>447</v>
      </c>
      <c r="M265" s="39">
        <v>0</v>
      </c>
      <c r="N265" s="39">
        <v>1</v>
      </c>
      <c r="O265" s="39">
        <v>0</v>
      </c>
      <c r="P265" s="142"/>
      <c r="Q265" s="39">
        <v>0</v>
      </c>
      <c r="R265" s="39">
        <v>0</v>
      </c>
      <c r="S265" s="39">
        <v>1</v>
      </c>
      <c r="T265" s="142"/>
      <c r="U265" s="39">
        <v>0</v>
      </c>
      <c r="V265" s="39">
        <v>1</v>
      </c>
      <c r="W265" s="39">
        <v>0</v>
      </c>
      <c r="X265" s="39">
        <v>1</v>
      </c>
      <c r="Y265" s="39">
        <v>1</v>
      </c>
      <c r="Z265" s="39">
        <v>0</v>
      </c>
      <c r="AA265" s="39">
        <v>0</v>
      </c>
      <c r="AB265" s="39">
        <v>1</v>
      </c>
      <c r="AC265" s="39">
        <v>0</v>
      </c>
      <c r="AD265" s="39">
        <v>0</v>
      </c>
      <c r="AE265" s="39">
        <v>1</v>
      </c>
      <c r="AF265" s="39">
        <v>1</v>
      </c>
      <c r="AG265" s="39">
        <v>1</v>
      </c>
      <c r="AH265" s="39">
        <v>1</v>
      </c>
      <c r="AI265" s="39">
        <v>1</v>
      </c>
      <c r="AJ265" s="39">
        <v>1</v>
      </c>
      <c r="AK265" s="39">
        <v>1</v>
      </c>
      <c r="AL265" s="39">
        <v>1</v>
      </c>
      <c r="AM265" s="39">
        <v>1</v>
      </c>
      <c r="AN265" s="39">
        <v>0</v>
      </c>
      <c r="AO265" s="39">
        <v>0</v>
      </c>
      <c r="AP265" s="39">
        <v>1</v>
      </c>
      <c r="AQ265" s="39">
        <v>1</v>
      </c>
      <c r="AR265" s="39">
        <v>0</v>
      </c>
      <c r="AS265" s="39">
        <v>0</v>
      </c>
      <c r="AT265" s="39">
        <v>0</v>
      </c>
      <c r="AU265" s="39">
        <v>0</v>
      </c>
      <c r="AV265" s="39">
        <v>0</v>
      </c>
      <c r="AW265" s="39">
        <v>1</v>
      </c>
      <c r="AX265" s="39">
        <v>0</v>
      </c>
      <c r="AY265" s="39">
        <v>0</v>
      </c>
      <c r="AZ265" s="39">
        <v>1</v>
      </c>
      <c r="BB265" s="39">
        <v>0</v>
      </c>
      <c r="BC265" s="39">
        <v>0</v>
      </c>
      <c r="BD265" s="39">
        <v>0</v>
      </c>
      <c r="BE265" s="39">
        <v>0</v>
      </c>
      <c r="BF265" s="39">
        <v>0</v>
      </c>
      <c r="BG265" s="39">
        <v>1</v>
      </c>
      <c r="BH265" s="39">
        <v>0</v>
      </c>
      <c r="BI265" s="39">
        <v>0</v>
      </c>
      <c r="BJ265" s="39">
        <v>1</v>
      </c>
    </row>
    <row r="266" ht="28.399999999999999" customHeight="1">
      <c r="E266" s="111" t="s">
        <v>904</v>
      </c>
      <c r="F266" s="111" t="s">
        <v>754</v>
      </c>
      <c r="G266" s="111" t="s">
        <v>498</v>
      </c>
      <c r="H266" s="313">
        <v>28177</v>
      </c>
      <c r="I266" s="313">
        <v>28221</v>
      </c>
      <c r="J266" s="170" t="s">
        <v>499</v>
      </c>
      <c r="K266" s="111"/>
      <c r="L266" s="39" t="s">
        <v>447</v>
      </c>
      <c r="M266" s="39">
        <v>0</v>
      </c>
      <c r="N266" s="39">
        <v>1</v>
      </c>
      <c r="O266" s="39">
        <v>0</v>
      </c>
      <c r="P266" s="142"/>
      <c r="Q266" s="39">
        <v>0</v>
      </c>
      <c r="R266" s="39">
        <v>0</v>
      </c>
      <c r="S266" s="39">
        <v>0</v>
      </c>
      <c r="T266" s="142"/>
      <c r="U266" s="39">
        <v>0</v>
      </c>
      <c r="V266" s="39">
        <v>1</v>
      </c>
      <c r="W266" s="39">
        <v>0</v>
      </c>
      <c r="X266" s="39">
        <v>0</v>
      </c>
      <c r="Y266" s="39">
        <v>1</v>
      </c>
      <c r="Z266" s="39">
        <v>0</v>
      </c>
      <c r="AA266" s="39">
        <v>1</v>
      </c>
      <c r="AB266" s="39">
        <v>0</v>
      </c>
      <c r="AC266" s="39">
        <v>0</v>
      </c>
      <c r="AD266" s="39">
        <v>0</v>
      </c>
      <c r="AE266" s="39">
        <v>1</v>
      </c>
      <c r="AF266" s="39">
        <v>1</v>
      </c>
      <c r="AG266" s="39">
        <v>1</v>
      </c>
      <c r="AH266" s="39">
        <v>1</v>
      </c>
      <c r="AI266" s="39">
        <v>0</v>
      </c>
      <c r="AJ266" s="39">
        <v>0</v>
      </c>
      <c r="AK266" s="39">
        <v>0</v>
      </c>
      <c r="AL266" s="39">
        <v>1</v>
      </c>
      <c r="AM266" s="39">
        <v>0</v>
      </c>
      <c r="AN266" s="39">
        <v>1</v>
      </c>
      <c r="AO266" s="39">
        <v>0</v>
      </c>
      <c r="AP266" s="39">
        <v>1</v>
      </c>
      <c r="AQ266" s="39">
        <v>0</v>
      </c>
      <c r="AR266" s="39">
        <v>0</v>
      </c>
      <c r="AS266" s="39">
        <v>0</v>
      </c>
      <c r="AT266" s="39">
        <v>0</v>
      </c>
      <c r="AU266" s="39">
        <v>0</v>
      </c>
      <c r="AV266" s="39">
        <v>0</v>
      </c>
      <c r="AW266" s="39">
        <v>0</v>
      </c>
      <c r="AX266" s="39">
        <v>0</v>
      </c>
      <c r="AY266" s="39">
        <v>0</v>
      </c>
      <c r="AZ266" s="39">
        <v>0</v>
      </c>
      <c r="BB266" s="39">
        <v>0</v>
      </c>
      <c r="BC266" s="39">
        <v>0</v>
      </c>
      <c r="BD266" s="39">
        <v>0</v>
      </c>
      <c r="BE266" s="39">
        <v>0</v>
      </c>
      <c r="BF266" s="39">
        <v>0</v>
      </c>
      <c r="BG266" s="39">
        <v>0</v>
      </c>
      <c r="BH266" s="39">
        <v>0</v>
      </c>
      <c r="BI266" s="39">
        <v>0</v>
      </c>
      <c r="BJ266" s="39">
        <v>0</v>
      </c>
      <c r="BM266" s="39">
        <v>1</v>
      </c>
    </row>
    <row r="267" ht="28.399999999999999" customHeight="1">
      <c r="E267" s="111" t="s">
        <v>905</v>
      </c>
      <c r="F267" s="111" t="s">
        <v>550</v>
      </c>
      <c r="G267" s="111" t="s">
        <v>498</v>
      </c>
      <c r="H267" s="313">
        <v>28321</v>
      </c>
      <c r="I267" s="313">
        <v>28351</v>
      </c>
      <c r="J267" s="170"/>
      <c r="K267" s="111"/>
      <c r="L267" s="39" t="s">
        <v>447</v>
      </c>
      <c r="M267" s="39">
        <v>0</v>
      </c>
      <c r="N267" s="39">
        <v>1</v>
      </c>
      <c r="O267" s="39">
        <v>0</v>
      </c>
      <c r="P267" s="162"/>
      <c r="Q267" s="39">
        <v>0</v>
      </c>
      <c r="R267" s="39">
        <v>0</v>
      </c>
      <c r="S267" s="39">
        <v>0</v>
      </c>
      <c r="T267" s="162"/>
      <c r="U267" s="39">
        <v>0</v>
      </c>
      <c r="V267" s="39">
        <v>1</v>
      </c>
      <c r="W267" s="39">
        <v>0</v>
      </c>
      <c r="X267" s="39">
        <v>0</v>
      </c>
      <c r="Y267" s="39">
        <v>0</v>
      </c>
      <c r="Z267" s="39">
        <v>1</v>
      </c>
      <c r="AA267" s="39">
        <v>1</v>
      </c>
      <c r="AB267" s="39">
        <v>0</v>
      </c>
      <c r="AC267" s="39">
        <v>0</v>
      </c>
      <c r="AD267" s="39">
        <v>0</v>
      </c>
      <c r="AE267" s="39">
        <v>0</v>
      </c>
      <c r="AF267" s="39">
        <v>1</v>
      </c>
      <c r="AG267" s="39">
        <v>1</v>
      </c>
      <c r="AH267" s="39">
        <v>0</v>
      </c>
      <c r="AI267" s="39">
        <v>0</v>
      </c>
      <c r="AJ267" s="39">
        <v>0</v>
      </c>
      <c r="AK267" s="39">
        <v>0</v>
      </c>
      <c r="AL267" s="39">
        <v>1</v>
      </c>
      <c r="AM267" s="39">
        <v>0</v>
      </c>
      <c r="AN267" s="39">
        <v>0</v>
      </c>
      <c r="AO267" s="39">
        <v>0</v>
      </c>
      <c r="AP267" s="39">
        <v>1</v>
      </c>
      <c r="AQ267" s="39">
        <v>0</v>
      </c>
      <c r="AR267" s="39">
        <v>0</v>
      </c>
      <c r="AS267" s="39">
        <v>0</v>
      </c>
      <c r="AT267" s="39">
        <v>0</v>
      </c>
      <c r="AU267" s="39">
        <v>0</v>
      </c>
      <c r="AV267" s="39">
        <v>0</v>
      </c>
      <c r="AW267" s="39">
        <v>0</v>
      </c>
      <c r="AX267" s="39">
        <v>0</v>
      </c>
      <c r="AY267" s="39">
        <v>0</v>
      </c>
      <c r="AZ267" s="39">
        <v>0</v>
      </c>
      <c r="BB267" s="39">
        <v>0</v>
      </c>
      <c r="BC267" s="39">
        <v>0</v>
      </c>
      <c r="BD267" s="39">
        <v>0</v>
      </c>
      <c r="BE267" s="39">
        <v>0</v>
      </c>
      <c r="BF267" s="39">
        <v>0</v>
      </c>
      <c r="BG267" s="39">
        <v>0</v>
      </c>
      <c r="BH267" s="39">
        <v>0</v>
      </c>
      <c r="BI267" s="39">
        <v>0</v>
      </c>
      <c r="BJ267" s="39">
        <v>0</v>
      </c>
    </row>
    <row r="268" ht="41.75" customHeight="1">
      <c r="E268" s="330" t="s">
        <v>906</v>
      </c>
      <c r="F268" s="111" t="s">
        <v>521</v>
      </c>
      <c r="G268" s="330" t="s">
        <v>498</v>
      </c>
      <c r="H268" s="346">
        <v>28681</v>
      </c>
      <c r="I268" s="346">
        <v>28801</v>
      </c>
      <c r="J268" s="170" t="s">
        <v>907</v>
      </c>
      <c r="K268" s="111"/>
      <c r="L268" s="39" t="s">
        <v>492</v>
      </c>
      <c r="M268" s="39">
        <v>0</v>
      </c>
      <c r="N268" s="39">
        <v>0</v>
      </c>
      <c r="O268" s="39">
        <v>0</v>
      </c>
      <c r="P268" s="162"/>
      <c r="Q268" s="39">
        <v>0</v>
      </c>
      <c r="R268" s="39">
        <v>0</v>
      </c>
      <c r="S268" s="39">
        <v>1</v>
      </c>
      <c r="T268" s="162"/>
      <c r="U268" s="39">
        <v>0</v>
      </c>
      <c r="V268" s="39">
        <v>1</v>
      </c>
      <c r="W268" s="39">
        <v>0</v>
      </c>
      <c r="X268" s="39">
        <v>0</v>
      </c>
      <c r="Y268" s="39">
        <v>1</v>
      </c>
      <c r="Z268" s="39">
        <v>0</v>
      </c>
      <c r="AA268" s="39">
        <v>0</v>
      </c>
      <c r="AB268" s="39">
        <v>0</v>
      </c>
      <c r="AC268" s="39">
        <v>1</v>
      </c>
      <c r="AD268" s="39">
        <v>0</v>
      </c>
      <c r="AE268" s="39">
        <v>1</v>
      </c>
      <c r="AF268" s="39">
        <v>1</v>
      </c>
      <c r="AG268" s="39">
        <v>1</v>
      </c>
      <c r="AH268" s="39">
        <v>1</v>
      </c>
      <c r="AI268" s="39">
        <v>0</v>
      </c>
      <c r="AJ268" s="39">
        <v>1</v>
      </c>
      <c r="AK268" s="39">
        <v>1</v>
      </c>
      <c r="AL268" s="39">
        <v>1</v>
      </c>
      <c r="AM268" s="39">
        <v>1</v>
      </c>
      <c r="AN268" s="39">
        <v>0</v>
      </c>
      <c r="AO268" s="39">
        <v>0</v>
      </c>
      <c r="AP268" s="39">
        <v>1</v>
      </c>
      <c r="AQ268" s="39">
        <v>1</v>
      </c>
      <c r="AR268" s="39">
        <v>0</v>
      </c>
      <c r="AS268" s="39">
        <v>1</v>
      </c>
      <c r="AT268" s="39">
        <v>0</v>
      </c>
      <c r="AU268" s="39">
        <v>1</v>
      </c>
      <c r="AV268" s="39">
        <v>0</v>
      </c>
      <c r="AW268" s="39">
        <v>1</v>
      </c>
      <c r="AX268" s="39">
        <v>0</v>
      </c>
      <c r="AY268" s="39">
        <v>0</v>
      </c>
      <c r="AZ268" s="39">
        <v>1</v>
      </c>
      <c r="BB268" s="39">
        <v>1</v>
      </c>
      <c r="BC268" s="39">
        <v>0</v>
      </c>
      <c r="BD268" s="39">
        <v>0</v>
      </c>
      <c r="BE268" s="39">
        <v>0</v>
      </c>
      <c r="BF268" s="39">
        <v>0</v>
      </c>
      <c r="BG268" s="39">
        <v>1</v>
      </c>
      <c r="BH268" s="39">
        <v>0</v>
      </c>
      <c r="BI268" s="39">
        <v>0</v>
      </c>
      <c r="BJ268" s="39">
        <v>0</v>
      </c>
    </row>
    <row r="269" ht="55.25" customHeight="1">
      <c r="E269" s="128" t="s">
        <v>908</v>
      </c>
      <c r="F269" s="111" t="s">
        <v>882</v>
      </c>
      <c r="G269" s="128" t="s">
        <v>498</v>
      </c>
      <c r="H269" s="345">
        <v>28891</v>
      </c>
      <c r="I269" s="345">
        <v>29041</v>
      </c>
      <c r="J269" s="170" t="s">
        <v>700</v>
      </c>
      <c r="K269" s="111"/>
      <c r="L269" s="39" t="s">
        <v>447</v>
      </c>
      <c r="M269" s="39">
        <v>0</v>
      </c>
      <c r="N269" s="39">
        <v>1</v>
      </c>
      <c r="O269" s="39">
        <v>0</v>
      </c>
      <c r="P269" s="275"/>
      <c r="Q269" s="39">
        <v>0</v>
      </c>
      <c r="R269" s="39">
        <v>0</v>
      </c>
      <c r="S269" s="39">
        <v>1</v>
      </c>
      <c r="T269" s="275"/>
      <c r="U269" s="39">
        <v>1</v>
      </c>
      <c r="V269" s="39">
        <v>1</v>
      </c>
      <c r="W269" s="39">
        <v>1</v>
      </c>
      <c r="X269" s="39">
        <v>0</v>
      </c>
      <c r="Y269" s="39">
        <v>1</v>
      </c>
      <c r="Z269" s="39">
        <v>0</v>
      </c>
      <c r="AA269" s="39">
        <v>0</v>
      </c>
      <c r="AB269" s="39">
        <v>0</v>
      </c>
      <c r="AC269" s="39">
        <v>1</v>
      </c>
      <c r="AD269" s="39">
        <v>1</v>
      </c>
      <c r="AE269" s="39">
        <v>1</v>
      </c>
      <c r="AF269" s="39">
        <v>1</v>
      </c>
      <c r="AG269" s="39">
        <v>1</v>
      </c>
      <c r="AH269" s="39">
        <v>1</v>
      </c>
      <c r="AI269" s="39">
        <v>0</v>
      </c>
      <c r="AJ269" s="39">
        <v>1</v>
      </c>
      <c r="AK269" s="39">
        <v>1</v>
      </c>
      <c r="AL269" s="39">
        <v>1</v>
      </c>
      <c r="AM269" s="39">
        <v>0</v>
      </c>
      <c r="AN269" s="39">
        <v>0</v>
      </c>
      <c r="AO269" s="39">
        <v>0</v>
      </c>
      <c r="AP269" s="39">
        <v>1</v>
      </c>
      <c r="AQ269" s="39">
        <v>1</v>
      </c>
      <c r="AR269" s="39">
        <v>0</v>
      </c>
      <c r="AS269" s="39">
        <v>1</v>
      </c>
      <c r="AT269" s="39">
        <v>0</v>
      </c>
      <c r="AU269" s="39">
        <v>0</v>
      </c>
      <c r="AV269" s="39">
        <v>0</v>
      </c>
      <c r="AW269" s="39">
        <v>1</v>
      </c>
      <c r="AX269" s="39">
        <v>0</v>
      </c>
      <c r="AY269" s="39">
        <v>0</v>
      </c>
      <c r="AZ269" s="39">
        <v>0</v>
      </c>
      <c r="BB269" s="39">
        <v>1</v>
      </c>
      <c r="BC269" s="39">
        <v>0</v>
      </c>
      <c r="BD269" s="39">
        <v>0</v>
      </c>
      <c r="BE269" s="39">
        <v>0</v>
      </c>
      <c r="BF269" s="39">
        <v>0</v>
      </c>
      <c r="BG269" s="39">
        <v>1</v>
      </c>
      <c r="BH269" s="39">
        <v>0</v>
      </c>
      <c r="BI269" s="39">
        <v>0</v>
      </c>
      <c r="BJ269" s="39">
        <v>0</v>
      </c>
    </row>
    <row r="270" s="144" customFormat="1" ht="41.75" customHeight="1">
      <c r="E270" s="347" t="s">
        <v>909</v>
      </c>
      <c r="F270" s="145" t="s">
        <v>562</v>
      </c>
      <c r="G270" s="347" t="s">
        <v>498</v>
      </c>
      <c r="H270" s="346">
        <v>29101</v>
      </c>
      <c r="I270" s="346">
        <v>29136</v>
      </c>
      <c r="J270" s="239" t="s">
        <v>845</v>
      </c>
      <c r="K270" s="145"/>
      <c r="L270" s="144" t="s">
        <v>447</v>
      </c>
      <c r="M270" s="144">
        <v>0</v>
      </c>
      <c r="N270" s="144">
        <v>1</v>
      </c>
      <c r="O270" s="144">
        <v>0</v>
      </c>
      <c r="P270" s="162"/>
      <c r="Q270" s="144">
        <v>0</v>
      </c>
      <c r="R270" s="144">
        <v>0</v>
      </c>
      <c r="S270" s="144">
        <v>1</v>
      </c>
      <c r="T270" s="162"/>
      <c r="U270" s="144">
        <v>1</v>
      </c>
      <c r="V270" s="144">
        <v>1</v>
      </c>
      <c r="W270" s="144">
        <v>0</v>
      </c>
      <c r="X270" s="144">
        <v>0</v>
      </c>
      <c r="Y270" s="144">
        <v>1</v>
      </c>
      <c r="Z270" s="144">
        <v>0</v>
      </c>
      <c r="AA270" s="144">
        <v>0</v>
      </c>
      <c r="AB270" s="144">
        <v>0</v>
      </c>
      <c r="AC270" s="144">
        <v>1</v>
      </c>
      <c r="AD270" s="144">
        <v>0</v>
      </c>
      <c r="AE270" s="144">
        <v>1</v>
      </c>
      <c r="AF270" s="144">
        <v>1</v>
      </c>
      <c r="AG270" s="144">
        <v>1</v>
      </c>
      <c r="AH270" s="144">
        <v>1</v>
      </c>
      <c r="AI270" s="144">
        <v>1</v>
      </c>
      <c r="AJ270" s="144">
        <v>1</v>
      </c>
      <c r="AK270" s="144">
        <v>1</v>
      </c>
      <c r="AL270" s="144">
        <v>1</v>
      </c>
      <c r="AM270" s="144">
        <v>1</v>
      </c>
      <c r="AN270" s="144">
        <v>0</v>
      </c>
      <c r="AO270" s="144">
        <v>0</v>
      </c>
      <c r="AP270" s="144">
        <v>1</v>
      </c>
      <c r="AQ270" s="144">
        <v>1</v>
      </c>
      <c r="AR270" s="144">
        <v>0</v>
      </c>
      <c r="AS270" s="144">
        <v>1</v>
      </c>
      <c r="AT270" s="144">
        <v>0</v>
      </c>
      <c r="AU270" s="144">
        <v>0</v>
      </c>
      <c r="AV270" s="144">
        <v>0</v>
      </c>
      <c r="AW270" s="144">
        <v>1</v>
      </c>
      <c r="AX270" s="144">
        <v>0</v>
      </c>
      <c r="AY270" s="144">
        <v>0</v>
      </c>
      <c r="AZ270" s="144">
        <v>0</v>
      </c>
      <c r="BB270" s="144">
        <v>1</v>
      </c>
      <c r="BC270" s="144">
        <v>0</v>
      </c>
      <c r="BD270" s="144">
        <v>0</v>
      </c>
      <c r="BE270" s="144">
        <v>0</v>
      </c>
      <c r="BF270" s="144">
        <v>0</v>
      </c>
      <c r="BG270" s="144">
        <v>1</v>
      </c>
      <c r="BH270" s="144">
        <v>0</v>
      </c>
      <c r="BI270" s="144">
        <v>0</v>
      </c>
      <c r="BJ270" s="144">
        <v>0</v>
      </c>
    </row>
    <row r="271" s="160" customFormat="1" ht="28.399999999999999" customHeight="1">
      <c r="A271" s="348" t="s">
        <v>481</v>
      </c>
      <c r="B271" s="160" t="s">
        <v>482</v>
      </c>
      <c r="C271" s="160" t="s">
        <v>219</v>
      </c>
      <c r="D271" s="160" t="s">
        <v>17</v>
      </c>
      <c r="E271" s="156" t="s">
        <v>910</v>
      </c>
      <c r="F271" s="160" t="s">
        <v>491</v>
      </c>
      <c r="G271" s="156" t="s">
        <v>486</v>
      </c>
      <c r="H271" s="321"/>
      <c r="I271" s="321"/>
      <c r="J271" s="156"/>
      <c r="K271" s="160">
        <v>1</v>
      </c>
      <c r="L271" s="160" t="s">
        <v>447</v>
      </c>
      <c r="M271" s="160">
        <v>0</v>
      </c>
      <c r="N271" s="160">
        <v>0</v>
      </c>
      <c r="O271" s="160">
        <v>0</v>
      </c>
      <c r="P271" s="275">
        <v>0</v>
      </c>
      <c r="Q271" s="160">
        <v>0</v>
      </c>
      <c r="R271" s="160">
        <v>0</v>
      </c>
      <c r="S271" s="160">
        <v>0</v>
      </c>
      <c r="T271" s="275">
        <v>0</v>
      </c>
      <c r="U271" s="160">
        <v>0</v>
      </c>
      <c r="V271" s="160">
        <v>0</v>
      </c>
      <c r="W271" s="160">
        <v>0</v>
      </c>
      <c r="X271" s="160">
        <v>0</v>
      </c>
      <c r="Y271" s="160">
        <v>0</v>
      </c>
      <c r="Z271" s="160">
        <v>0</v>
      </c>
      <c r="AA271" s="160">
        <v>0</v>
      </c>
      <c r="AB271" s="160">
        <v>0</v>
      </c>
      <c r="AC271" s="160">
        <v>0</v>
      </c>
      <c r="AD271" s="160">
        <v>0</v>
      </c>
      <c r="AE271" s="160">
        <v>0</v>
      </c>
      <c r="AF271" s="160">
        <v>0</v>
      </c>
      <c r="AG271" s="160">
        <v>0</v>
      </c>
      <c r="AH271" s="160">
        <v>0</v>
      </c>
      <c r="AI271" s="160">
        <v>0</v>
      </c>
      <c r="AJ271" s="160">
        <v>0</v>
      </c>
      <c r="AK271" s="160">
        <v>0</v>
      </c>
      <c r="AL271" s="160">
        <v>0</v>
      </c>
      <c r="AM271" s="160">
        <v>0</v>
      </c>
      <c r="AN271" s="160">
        <v>0</v>
      </c>
      <c r="AO271" s="160">
        <v>0</v>
      </c>
      <c r="AP271" s="160">
        <v>0</v>
      </c>
      <c r="AQ271" s="160">
        <v>1</v>
      </c>
      <c r="AR271" s="160">
        <v>0</v>
      </c>
      <c r="AS271" s="160">
        <v>0</v>
      </c>
      <c r="AT271" s="160">
        <v>0</v>
      </c>
      <c r="AU271" s="160">
        <v>0</v>
      </c>
      <c r="AV271" s="160">
        <v>0</v>
      </c>
      <c r="AW271" s="160">
        <v>1</v>
      </c>
      <c r="AX271" s="160">
        <v>0</v>
      </c>
      <c r="AY271" s="160">
        <v>0</v>
      </c>
      <c r="AZ271" s="160">
        <v>0</v>
      </c>
      <c r="BB271" s="160">
        <v>1</v>
      </c>
      <c r="BC271" s="160">
        <v>0</v>
      </c>
      <c r="BD271" s="160">
        <v>0</v>
      </c>
      <c r="BE271" s="160">
        <v>0</v>
      </c>
      <c r="BF271" s="160">
        <v>0</v>
      </c>
      <c r="BG271" s="160">
        <v>1</v>
      </c>
      <c r="BH271" s="160">
        <v>0</v>
      </c>
      <c r="BI271" s="160">
        <v>0</v>
      </c>
      <c r="BJ271" s="160">
        <v>0</v>
      </c>
    </row>
    <row r="272" ht="28.399999999999999" customHeight="1">
      <c r="A272" s="349" t="s">
        <v>481</v>
      </c>
      <c r="B272" s="39" t="s">
        <v>482</v>
      </c>
      <c r="C272" s="39" t="s">
        <v>222</v>
      </c>
      <c r="D272" s="39" t="s">
        <v>17</v>
      </c>
      <c r="E272" s="111" t="s">
        <v>911</v>
      </c>
      <c r="F272" s="111" t="s">
        <v>535</v>
      </c>
      <c r="G272" s="111" t="s">
        <v>486</v>
      </c>
      <c r="H272" s="313"/>
      <c r="I272" s="313"/>
      <c r="K272" s="39">
        <v>2</v>
      </c>
      <c r="L272" s="39" t="s">
        <v>325</v>
      </c>
      <c r="M272" s="39">
        <v>1</v>
      </c>
      <c r="N272" s="39">
        <v>0</v>
      </c>
      <c r="O272" s="39">
        <v>0</v>
      </c>
      <c r="P272" s="142">
        <v>1</v>
      </c>
      <c r="Q272" s="39">
        <v>0</v>
      </c>
      <c r="R272" s="39">
        <v>0</v>
      </c>
      <c r="S272" s="39">
        <v>0</v>
      </c>
      <c r="T272" s="142"/>
      <c r="U272" s="39">
        <v>0</v>
      </c>
      <c r="V272" s="39">
        <v>1</v>
      </c>
      <c r="W272" s="39">
        <v>0</v>
      </c>
      <c r="X272" s="39">
        <v>0</v>
      </c>
      <c r="Y272" s="39">
        <v>1</v>
      </c>
      <c r="Z272" s="39">
        <v>0</v>
      </c>
      <c r="AA272" s="39">
        <v>1</v>
      </c>
      <c r="AB272" s="39">
        <v>0</v>
      </c>
      <c r="AC272" s="39">
        <v>0</v>
      </c>
      <c r="AD272" s="39">
        <v>0</v>
      </c>
      <c r="AE272" s="39">
        <v>1</v>
      </c>
      <c r="AF272" s="39">
        <v>1</v>
      </c>
      <c r="AG272" s="39">
        <v>0</v>
      </c>
      <c r="AH272" s="39">
        <v>0</v>
      </c>
      <c r="AI272" s="39">
        <v>0</v>
      </c>
      <c r="AJ272" s="39">
        <v>0</v>
      </c>
      <c r="AK272" s="39">
        <v>0</v>
      </c>
      <c r="AL272" s="39">
        <v>0</v>
      </c>
      <c r="AM272" s="39">
        <v>1</v>
      </c>
      <c r="AN272" s="39">
        <v>1</v>
      </c>
      <c r="AO272" s="39">
        <v>1</v>
      </c>
      <c r="AP272" s="39">
        <v>0</v>
      </c>
      <c r="AQ272" s="39">
        <v>0</v>
      </c>
      <c r="AR272" s="39">
        <v>0</v>
      </c>
      <c r="AS272" s="39">
        <v>0</v>
      </c>
      <c r="AT272" s="39">
        <v>0</v>
      </c>
      <c r="AU272" s="39">
        <v>0</v>
      </c>
      <c r="AV272" s="39">
        <v>0</v>
      </c>
      <c r="AW272" s="39">
        <v>0</v>
      </c>
      <c r="AX272" s="39">
        <v>0</v>
      </c>
      <c r="AY272" s="39">
        <v>0</v>
      </c>
      <c r="AZ272" s="39">
        <v>0</v>
      </c>
      <c r="BB272" s="39">
        <v>0</v>
      </c>
      <c r="BC272" s="39">
        <v>0</v>
      </c>
      <c r="BD272" s="39">
        <v>0</v>
      </c>
      <c r="BE272" s="39">
        <v>0</v>
      </c>
      <c r="BF272" s="39">
        <v>0</v>
      </c>
      <c r="BG272" s="39">
        <v>0</v>
      </c>
      <c r="BH272" s="39">
        <v>0</v>
      </c>
      <c r="BI272" s="39">
        <v>0</v>
      </c>
      <c r="BJ272" s="39">
        <v>0</v>
      </c>
    </row>
    <row r="273" ht="28.399999999999999" customHeight="1">
      <c r="A273" s="266"/>
      <c r="E273" s="111" t="s">
        <v>912</v>
      </c>
      <c r="F273" s="111" t="s">
        <v>618</v>
      </c>
      <c r="G273" s="111" t="s">
        <v>486</v>
      </c>
      <c r="H273" s="313"/>
      <c r="I273" s="313"/>
      <c r="L273" s="266" t="s">
        <v>447</v>
      </c>
      <c r="M273" s="39">
        <v>1</v>
      </c>
      <c r="N273" s="39">
        <v>0</v>
      </c>
      <c r="O273" s="39">
        <v>0</v>
      </c>
      <c r="P273" s="142">
        <v>1</v>
      </c>
      <c r="Q273" s="39">
        <v>0</v>
      </c>
      <c r="R273" s="39">
        <v>0</v>
      </c>
      <c r="S273" s="39">
        <v>0</v>
      </c>
      <c r="T273" s="142">
        <v>0</v>
      </c>
      <c r="U273" s="39">
        <v>0</v>
      </c>
      <c r="V273" s="39">
        <v>1</v>
      </c>
      <c r="W273" s="39">
        <v>0</v>
      </c>
      <c r="X273" s="39">
        <v>0</v>
      </c>
      <c r="Y273" s="39">
        <v>0</v>
      </c>
      <c r="Z273" s="39">
        <v>1</v>
      </c>
      <c r="AA273" s="39">
        <v>1</v>
      </c>
      <c r="AB273" s="39">
        <v>0</v>
      </c>
      <c r="AC273" s="39">
        <v>0</v>
      </c>
      <c r="AD273" s="39">
        <v>0</v>
      </c>
      <c r="AE273" s="39">
        <v>0</v>
      </c>
      <c r="AF273" s="39">
        <v>0</v>
      </c>
      <c r="AG273" s="39">
        <v>0</v>
      </c>
      <c r="AH273" s="39">
        <v>0</v>
      </c>
      <c r="AI273" s="39">
        <v>0</v>
      </c>
      <c r="AJ273" s="39">
        <v>1</v>
      </c>
      <c r="AK273" s="39">
        <v>0</v>
      </c>
      <c r="AL273" s="39">
        <v>1</v>
      </c>
      <c r="AM273" s="39">
        <v>0</v>
      </c>
      <c r="AN273" s="39">
        <v>0</v>
      </c>
      <c r="AO273" s="39">
        <v>1</v>
      </c>
      <c r="AP273" s="39">
        <v>0</v>
      </c>
      <c r="AQ273" s="39">
        <v>1</v>
      </c>
      <c r="AR273" s="39">
        <v>0</v>
      </c>
      <c r="AS273" s="39">
        <v>0</v>
      </c>
      <c r="AT273" s="39">
        <v>0</v>
      </c>
      <c r="AU273" s="39">
        <v>0</v>
      </c>
      <c r="AV273" s="39">
        <v>0</v>
      </c>
      <c r="AW273" s="39">
        <v>0</v>
      </c>
      <c r="AX273" s="39">
        <v>0</v>
      </c>
      <c r="AY273" s="39">
        <v>0</v>
      </c>
      <c r="AZ273" s="39">
        <v>0</v>
      </c>
      <c r="BA273" s="39">
        <v>1</v>
      </c>
      <c r="BB273" s="39">
        <v>0</v>
      </c>
      <c r="BC273" s="39">
        <v>0</v>
      </c>
      <c r="BD273" s="39">
        <v>0</v>
      </c>
      <c r="BE273" s="39">
        <v>0</v>
      </c>
      <c r="BF273" s="39">
        <v>0</v>
      </c>
      <c r="BG273" s="39">
        <v>0</v>
      </c>
      <c r="BH273" s="39">
        <v>0</v>
      </c>
      <c r="BI273" s="39">
        <v>0</v>
      </c>
      <c r="BJ273" s="39">
        <v>0</v>
      </c>
      <c r="BM273" s="39">
        <v>0</v>
      </c>
    </row>
    <row r="274" s="144" customFormat="1" ht="28.399999999999999" customHeight="1">
      <c r="A274" s="350" t="s">
        <v>913</v>
      </c>
      <c r="C274" s="144" t="s">
        <v>914</v>
      </c>
      <c r="E274" s="145" t="s">
        <v>915</v>
      </c>
      <c r="F274" s="145" t="s">
        <v>504</v>
      </c>
      <c r="G274" s="145" t="s">
        <v>486</v>
      </c>
      <c r="H274" s="320"/>
      <c r="I274" s="320"/>
      <c r="J274" s="239" t="s">
        <v>916</v>
      </c>
      <c r="L274" s="351" t="s">
        <v>447</v>
      </c>
      <c r="M274" s="144">
        <v>1</v>
      </c>
      <c r="P274" s="162">
        <v>1</v>
      </c>
      <c r="T274" s="162"/>
      <c r="W274" s="144">
        <v>1</v>
      </c>
      <c r="Z274" s="144">
        <v>1</v>
      </c>
      <c r="AA274" s="144">
        <v>1</v>
      </c>
      <c r="AF274" s="144">
        <v>1</v>
      </c>
      <c r="AI274" s="144">
        <v>1</v>
      </c>
      <c r="AM274" s="144">
        <v>1</v>
      </c>
      <c r="AP274" s="144">
        <v>1</v>
      </c>
      <c r="AQ274" s="144">
        <v>1</v>
      </c>
      <c r="BA274" s="144">
        <v>1</v>
      </c>
    </row>
    <row r="275" s="160" customFormat="1" ht="41.75" customHeight="1">
      <c r="A275" s="348" t="s">
        <v>481</v>
      </c>
      <c r="B275" s="160" t="s">
        <v>482</v>
      </c>
      <c r="C275" s="160" t="s">
        <v>224</v>
      </c>
      <c r="D275" s="160" t="s">
        <v>17</v>
      </c>
      <c r="E275" s="156" t="s">
        <v>917</v>
      </c>
      <c r="F275" s="156" t="s">
        <v>618</v>
      </c>
      <c r="G275" s="156" t="s">
        <v>486</v>
      </c>
      <c r="H275" s="321"/>
      <c r="I275" s="321"/>
      <c r="J275" s="337" t="s">
        <v>918</v>
      </c>
      <c r="K275" s="352">
        <v>1</v>
      </c>
      <c r="L275" s="352" t="s">
        <v>325</v>
      </c>
      <c r="M275" s="352">
        <v>0</v>
      </c>
      <c r="N275" s="352">
        <v>0</v>
      </c>
      <c r="O275" s="352">
        <v>0</v>
      </c>
      <c r="P275" s="353">
        <v>0</v>
      </c>
      <c r="Q275" s="352">
        <v>0</v>
      </c>
      <c r="R275" s="160">
        <v>0</v>
      </c>
      <c r="S275" s="160">
        <v>0</v>
      </c>
      <c r="T275" s="275">
        <v>0</v>
      </c>
      <c r="U275" s="160">
        <v>1</v>
      </c>
      <c r="V275" s="160">
        <v>1</v>
      </c>
      <c r="W275" s="160">
        <v>0</v>
      </c>
      <c r="X275" s="160">
        <v>0</v>
      </c>
      <c r="Y275" s="160">
        <v>1</v>
      </c>
      <c r="Z275" s="160">
        <v>0</v>
      </c>
      <c r="AA275" s="160">
        <v>0</v>
      </c>
      <c r="AB275" s="160">
        <v>0</v>
      </c>
      <c r="AC275" s="160">
        <v>0</v>
      </c>
      <c r="AD275" s="160">
        <v>1</v>
      </c>
      <c r="AE275" s="160">
        <v>1</v>
      </c>
      <c r="AF275" s="160">
        <v>1</v>
      </c>
      <c r="AG275" s="160">
        <v>0</v>
      </c>
      <c r="AH275" s="160">
        <v>0</v>
      </c>
      <c r="AI275" s="160">
        <v>0</v>
      </c>
      <c r="AJ275" s="160">
        <v>0</v>
      </c>
      <c r="AK275" s="160">
        <v>0</v>
      </c>
      <c r="AL275" s="160">
        <v>1</v>
      </c>
      <c r="AM275" s="160">
        <v>1</v>
      </c>
      <c r="AN275" s="160">
        <v>1</v>
      </c>
      <c r="AO275" s="160">
        <v>1</v>
      </c>
      <c r="AP275" s="160">
        <v>0</v>
      </c>
      <c r="AQ275" s="160">
        <v>0</v>
      </c>
      <c r="AR275" s="160">
        <v>0</v>
      </c>
      <c r="AS275" s="160">
        <v>0</v>
      </c>
      <c r="AT275" s="160">
        <v>0</v>
      </c>
      <c r="AU275" s="160">
        <v>0</v>
      </c>
      <c r="AV275" s="160">
        <v>0</v>
      </c>
      <c r="AW275" s="160">
        <v>0</v>
      </c>
      <c r="AX275" s="160">
        <v>0</v>
      </c>
      <c r="AY275" s="160">
        <v>0</v>
      </c>
      <c r="AZ275" s="160">
        <v>0</v>
      </c>
      <c r="BB275" s="160">
        <v>0</v>
      </c>
      <c r="BC275" s="160">
        <v>0</v>
      </c>
      <c r="BD275" s="160">
        <v>0</v>
      </c>
      <c r="BE275" s="160">
        <v>0</v>
      </c>
      <c r="BF275" s="160">
        <v>0</v>
      </c>
      <c r="BG275" s="160">
        <v>0</v>
      </c>
      <c r="BH275" s="160">
        <v>0</v>
      </c>
      <c r="BI275" s="160">
        <v>0</v>
      </c>
      <c r="BJ275" s="160">
        <v>0</v>
      </c>
    </row>
    <row r="276" ht="55.25" customHeight="1">
      <c r="A276" s="348" t="s">
        <v>481</v>
      </c>
      <c r="B276" s="39" t="s">
        <v>482</v>
      </c>
      <c r="C276" s="39" t="s">
        <v>232</v>
      </c>
      <c r="D276" s="39" t="s">
        <v>73</v>
      </c>
      <c r="E276" s="156" t="s">
        <v>919</v>
      </c>
      <c r="F276" s="111" t="s">
        <v>618</v>
      </c>
      <c r="G276" s="156" t="s">
        <v>486</v>
      </c>
      <c r="H276" s="321"/>
      <c r="I276" s="321"/>
      <c r="K276" s="39">
        <v>3</v>
      </c>
      <c r="L276" s="39" t="s">
        <v>325</v>
      </c>
      <c r="M276" s="39">
        <v>0</v>
      </c>
      <c r="N276" s="39">
        <v>0</v>
      </c>
      <c r="O276" s="39">
        <v>1</v>
      </c>
      <c r="P276" s="142">
        <v>1</v>
      </c>
      <c r="Q276" s="39">
        <v>0</v>
      </c>
      <c r="R276" s="39">
        <v>0</v>
      </c>
      <c r="S276" s="39">
        <v>0</v>
      </c>
      <c r="T276" s="142">
        <v>0</v>
      </c>
      <c r="U276" s="39">
        <v>0</v>
      </c>
      <c r="V276" s="39">
        <v>1</v>
      </c>
      <c r="W276" s="39">
        <v>0</v>
      </c>
      <c r="X276" s="39">
        <v>1</v>
      </c>
      <c r="Y276" s="39">
        <v>1</v>
      </c>
      <c r="Z276" s="39">
        <v>0</v>
      </c>
      <c r="AA276" s="39">
        <v>1</v>
      </c>
      <c r="AB276" s="39">
        <v>0</v>
      </c>
      <c r="AC276" s="39">
        <v>0</v>
      </c>
      <c r="AD276" s="39">
        <v>0</v>
      </c>
      <c r="AE276" s="39">
        <v>1</v>
      </c>
      <c r="AF276" s="39">
        <v>1</v>
      </c>
      <c r="AG276" s="39">
        <v>1</v>
      </c>
      <c r="AH276" s="39">
        <v>1</v>
      </c>
      <c r="AI276" s="39">
        <v>1</v>
      </c>
      <c r="AJ276" s="39">
        <v>1</v>
      </c>
      <c r="AK276" s="39">
        <v>0</v>
      </c>
      <c r="AL276" s="39">
        <v>1</v>
      </c>
      <c r="AM276" s="39">
        <v>1</v>
      </c>
      <c r="AN276" s="39">
        <v>1</v>
      </c>
      <c r="AO276" s="39">
        <v>0</v>
      </c>
      <c r="AP276" s="39">
        <v>1</v>
      </c>
      <c r="AQ276" s="39">
        <v>0</v>
      </c>
      <c r="AR276" s="39">
        <v>0</v>
      </c>
      <c r="AS276" s="39">
        <v>0</v>
      </c>
      <c r="AT276" s="39">
        <v>0</v>
      </c>
      <c r="AU276" s="39">
        <v>0</v>
      </c>
      <c r="AV276" s="39">
        <v>0</v>
      </c>
      <c r="AW276" s="39">
        <v>0</v>
      </c>
      <c r="AX276" s="39">
        <v>0</v>
      </c>
      <c r="AY276" s="39">
        <v>0</v>
      </c>
      <c r="AZ276" s="39">
        <v>0</v>
      </c>
      <c r="BA276" s="39">
        <v>0</v>
      </c>
      <c r="BB276" s="39">
        <v>0</v>
      </c>
      <c r="BC276" s="39">
        <v>0</v>
      </c>
      <c r="BD276" s="39">
        <v>0</v>
      </c>
      <c r="BE276" s="39">
        <v>0</v>
      </c>
      <c r="BF276" s="39">
        <v>0</v>
      </c>
      <c r="BG276" s="39">
        <v>1</v>
      </c>
      <c r="BH276" s="39">
        <v>0</v>
      </c>
      <c r="BI276" s="39">
        <v>0</v>
      </c>
      <c r="BJ276" s="39">
        <v>0</v>
      </c>
    </row>
    <row r="277" ht="34.5" customHeight="1">
      <c r="E277" s="156" t="s">
        <v>920</v>
      </c>
      <c r="F277" s="39" t="s">
        <v>508</v>
      </c>
      <c r="G277" s="156" t="s">
        <v>486</v>
      </c>
      <c r="H277" s="321"/>
      <c r="I277" s="321"/>
      <c r="L277" s="39" t="s">
        <v>66</v>
      </c>
      <c r="M277" s="39">
        <v>0</v>
      </c>
      <c r="N277" s="39">
        <v>1</v>
      </c>
      <c r="O277" s="39">
        <v>0</v>
      </c>
      <c r="P277" s="142">
        <v>1</v>
      </c>
      <c r="Q277" s="39">
        <v>0</v>
      </c>
      <c r="R277" s="39">
        <v>0</v>
      </c>
      <c r="S277" s="39">
        <v>0</v>
      </c>
      <c r="T277" s="142">
        <v>0</v>
      </c>
      <c r="U277" s="39">
        <v>0</v>
      </c>
      <c r="V277" s="39">
        <v>1</v>
      </c>
      <c r="W277" s="39">
        <v>0</v>
      </c>
      <c r="X277" s="39">
        <v>1</v>
      </c>
      <c r="Y277" s="39">
        <v>1</v>
      </c>
      <c r="Z277" s="39">
        <v>0</v>
      </c>
      <c r="AA277" s="39">
        <v>1</v>
      </c>
      <c r="AB277" s="39">
        <v>0</v>
      </c>
      <c r="AC277" s="39">
        <v>0</v>
      </c>
      <c r="AD277" s="39">
        <v>0</v>
      </c>
      <c r="AE277" s="39">
        <v>0</v>
      </c>
      <c r="AF277" s="39">
        <v>0</v>
      </c>
      <c r="AG277" s="39">
        <v>1</v>
      </c>
      <c r="AH277" s="39">
        <v>1</v>
      </c>
      <c r="AI277" s="39">
        <v>1</v>
      </c>
      <c r="AJ277" s="39">
        <v>1</v>
      </c>
      <c r="AK277" s="39">
        <v>0</v>
      </c>
      <c r="AL277" s="39">
        <v>1</v>
      </c>
      <c r="AM277" s="39">
        <v>1</v>
      </c>
      <c r="AN277" s="39">
        <v>1</v>
      </c>
      <c r="AO277" s="39">
        <v>0</v>
      </c>
      <c r="AP277" s="39">
        <v>1</v>
      </c>
      <c r="AQ277" s="39">
        <v>0</v>
      </c>
      <c r="AR277" s="39">
        <v>0</v>
      </c>
      <c r="AS277" s="39">
        <v>0</v>
      </c>
      <c r="AT277" s="39">
        <v>0</v>
      </c>
      <c r="AU277" s="39">
        <v>0</v>
      </c>
      <c r="AV277" s="39">
        <v>0</v>
      </c>
      <c r="AW277" s="39">
        <v>0</v>
      </c>
      <c r="AX277" s="39">
        <v>0</v>
      </c>
      <c r="AY277" s="39">
        <v>0</v>
      </c>
      <c r="AZ277" s="39">
        <v>0</v>
      </c>
      <c r="BA277" s="39">
        <v>0</v>
      </c>
      <c r="BB277" s="39">
        <v>0</v>
      </c>
      <c r="BC277" s="39">
        <v>0</v>
      </c>
      <c r="BD277" s="39">
        <v>0</v>
      </c>
      <c r="BE277" s="39">
        <v>0</v>
      </c>
      <c r="BF277" s="39">
        <v>1</v>
      </c>
      <c r="BG277" s="39">
        <v>0</v>
      </c>
      <c r="BH277" s="39">
        <v>0</v>
      </c>
      <c r="BI277" s="39">
        <v>0</v>
      </c>
      <c r="BJ277" s="39">
        <v>0</v>
      </c>
    </row>
    <row r="278" ht="34.5" customHeight="1">
      <c r="B278" s="144"/>
      <c r="E278" s="111" t="s">
        <v>921</v>
      </c>
      <c r="F278" s="39" t="s">
        <v>644</v>
      </c>
      <c r="G278" s="145" t="s">
        <v>486</v>
      </c>
      <c r="H278" s="313"/>
      <c r="I278" s="313"/>
      <c r="L278" s="39" t="s">
        <v>325</v>
      </c>
      <c r="O278" s="39">
        <v>1</v>
      </c>
      <c r="P278" s="142">
        <v>1</v>
      </c>
      <c r="T278" s="142">
        <v>0</v>
      </c>
      <c r="V278" s="39">
        <v>1</v>
      </c>
      <c r="X278" s="39">
        <v>1</v>
      </c>
      <c r="Z278" s="39">
        <v>1</v>
      </c>
      <c r="AA278" s="39">
        <v>1</v>
      </c>
      <c r="AG278" s="39">
        <v>1</v>
      </c>
      <c r="AH278" s="39">
        <v>1</v>
      </c>
      <c r="AI278" s="39">
        <v>1</v>
      </c>
      <c r="AM278" s="39">
        <v>1</v>
      </c>
      <c r="AO278" s="39">
        <v>0</v>
      </c>
      <c r="AP278" s="39">
        <v>1</v>
      </c>
    </row>
    <row r="279" s="211" customFormat="1" ht="28.399999999999999" customHeight="1">
      <c r="A279" s="137" t="s">
        <v>481</v>
      </c>
      <c r="B279" s="39" t="s">
        <v>513</v>
      </c>
      <c r="C279" s="211" t="s">
        <v>233</v>
      </c>
      <c r="D279" s="211" t="s">
        <v>17</v>
      </c>
      <c r="E279" s="184" t="s">
        <v>922</v>
      </c>
      <c r="F279" s="211" t="s">
        <v>508</v>
      </c>
      <c r="G279" s="111" t="s">
        <v>486</v>
      </c>
      <c r="H279" s="354"/>
      <c r="I279" s="354"/>
      <c r="J279" s="355"/>
      <c r="K279" s="211">
        <v>2</v>
      </c>
      <c r="L279" s="211" t="s">
        <v>325</v>
      </c>
      <c r="M279" s="211">
        <v>1</v>
      </c>
      <c r="N279" s="211">
        <v>0</v>
      </c>
      <c r="O279" s="211">
        <v>0</v>
      </c>
      <c r="P279" s="199">
        <v>1</v>
      </c>
      <c r="Q279" s="211">
        <v>0</v>
      </c>
      <c r="R279" s="211">
        <v>0</v>
      </c>
      <c r="S279" s="211">
        <v>0</v>
      </c>
      <c r="T279" s="199">
        <v>0</v>
      </c>
      <c r="U279" s="211">
        <v>0</v>
      </c>
      <c r="V279" s="211">
        <v>0</v>
      </c>
      <c r="W279" s="211">
        <v>1</v>
      </c>
      <c r="X279" s="211">
        <v>0</v>
      </c>
      <c r="Y279" s="211">
        <v>0</v>
      </c>
      <c r="Z279" s="211">
        <v>1</v>
      </c>
      <c r="AA279" s="211">
        <v>1</v>
      </c>
      <c r="AB279" s="211">
        <v>0</v>
      </c>
      <c r="AC279" s="211">
        <v>0</v>
      </c>
      <c r="AD279" s="211">
        <v>0</v>
      </c>
      <c r="AE279" s="211">
        <v>1</v>
      </c>
      <c r="AF279" s="211">
        <v>1</v>
      </c>
      <c r="AG279" s="211">
        <v>0</v>
      </c>
      <c r="AH279" s="211">
        <v>0</v>
      </c>
      <c r="AI279" s="211">
        <v>0</v>
      </c>
      <c r="AJ279" s="211">
        <v>0</v>
      </c>
      <c r="AK279" s="211">
        <v>0</v>
      </c>
      <c r="AL279" s="211">
        <v>0</v>
      </c>
      <c r="AM279" s="211">
        <v>1</v>
      </c>
      <c r="AN279" s="211">
        <v>0</v>
      </c>
      <c r="AO279" s="211">
        <v>1</v>
      </c>
      <c r="AP279" s="211">
        <v>0</v>
      </c>
      <c r="AQ279" s="211">
        <v>1</v>
      </c>
      <c r="AR279" s="211">
        <v>0</v>
      </c>
      <c r="AS279" s="211">
        <v>0</v>
      </c>
      <c r="AT279" s="211">
        <v>0</v>
      </c>
      <c r="AU279" s="211">
        <v>1</v>
      </c>
      <c r="AV279" s="211">
        <v>0</v>
      </c>
      <c r="AW279" s="211">
        <v>0</v>
      </c>
      <c r="AX279" s="211">
        <v>1</v>
      </c>
      <c r="AY279" s="211">
        <v>0</v>
      </c>
      <c r="AZ279" s="211">
        <v>0</v>
      </c>
      <c r="BA279" s="211">
        <v>0</v>
      </c>
      <c r="BB279" s="211">
        <v>0</v>
      </c>
      <c r="BC279" s="211">
        <v>0</v>
      </c>
      <c r="BD279" s="211">
        <v>0</v>
      </c>
      <c r="BE279" s="211">
        <v>0</v>
      </c>
      <c r="BF279" s="211">
        <v>0</v>
      </c>
      <c r="BG279" s="211">
        <v>0</v>
      </c>
      <c r="BH279" s="211">
        <v>0</v>
      </c>
      <c r="BI279" s="211">
        <v>0</v>
      </c>
      <c r="BJ279" s="211">
        <v>0</v>
      </c>
    </row>
    <row r="280" s="144" customFormat="1" ht="14.25" customHeight="1">
      <c r="E280" s="145" t="s">
        <v>923</v>
      </c>
      <c r="F280" s="144" t="s">
        <v>516</v>
      </c>
      <c r="G280" s="145" t="s">
        <v>486</v>
      </c>
      <c r="H280" s="320"/>
      <c r="I280" s="320"/>
      <c r="J280" s="239"/>
      <c r="L280" s="144" t="s">
        <v>325</v>
      </c>
      <c r="M280" s="144">
        <v>1</v>
      </c>
      <c r="N280" s="144">
        <v>0</v>
      </c>
      <c r="O280" s="144">
        <v>0</v>
      </c>
      <c r="P280" s="142">
        <v>1</v>
      </c>
      <c r="Q280" s="144">
        <v>0</v>
      </c>
      <c r="R280" s="144">
        <v>0</v>
      </c>
      <c r="S280" s="144">
        <v>0</v>
      </c>
      <c r="T280" s="142">
        <v>0</v>
      </c>
      <c r="U280" s="144">
        <v>0</v>
      </c>
      <c r="V280" s="144">
        <v>0</v>
      </c>
      <c r="W280" s="144">
        <v>1</v>
      </c>
      <c r="X280" s="144">
        <v>0</v>
      </c>
      <c r="Y280" s="144">
        <v>0</v>
      </c>
      <c r="Z280" s="144">
        <v>1</v>
      </c>
      <c r="AA280" s="144">
        <v>1</v>
      </c>
      <c r="AB280" s="144">
        <v>0</v>
      </c>
      <c r="AC280" s="144">
        <v>0</v>
      </c>
      <c r="AD280" s="144">
        <v>0</v>
      </c>
      <c r="AE280" s="144">
        <v>0</v>
      </c>
      <c r="AF280" s="144">
        <v>1</v>
      </c>
      <c r="AG280" s="144">
        <v>0</v>
      </c>
      <c r="AH280" s="144">
        <v>0</v>
      </c>
      <c r="AI280" s="144">
        <v>0</v>
      </c>
      <c r="AJ280" s="144">
        <v>0</v>
      </c>
      <c r="AK280" s="144">
        <v>0</v>
      </c>
      <c r="AL280" s="144">
        <v>1</v>
      </c>
      <c r="AM280" s="144">
        <v>0</v>
      </c>
      <c r="AN280" s="144">
        <v>0</v>
      </c>
      <c r="AO280" s="144">
        <v>1</v>
      </c>
      <c r="AP280" s="144">
        <v>0</v>
      </c>
      <c r="AQ280" s="144">
        <v>1</v>
      </c>
      <c r="AR280" s="144">
        <v>0</v>
      </c>
      <c r="AS280" s="144">
        <v>0</v>
      </c>
      <c r="AT280" s="144">
        <v>0</v>
      </c>
      <c r="AU280" s="144">
        <v>1</v>
      </c>
      <c r="AV280" s="144">
        <v>0</v>
      </c>
      <c r="AW280" s="144">
        <v>0</v>
      </c>
      <c r="AX280" s="144">
        <v>1</v>
      </c>
      <c r="AY280" s="144">
        <v>0</v>
      </c>
      <c r="AZ280" s="144">
        <v>0</v>
      </c>
      <c r="BA280" s="144">
        <v>0</v>
      </c>
      <c r="BB280" s="144">
        <v>0</v>
      </c>
      <c r="BC280" s="144">
        <v>0</v>
      </c>
      <c r="BD280" s="144">
        <v>0</v>
      </c>
      <c r="BE280" s="144">
        <v>0</v>
      </c>
      <c r="BF280" s="144">
        <v>0</v>
      </c>
      <c r="BG280" s="144">
        <v>0</v>
      </c>
      <c r="BH280" s="144">
        <v>0</v>
      </c>
      <c r="BI280" s="144">
        <v>0</v>
      </c>
      <c r="BJ280" s="144">
        <v>0</v>
      </c>
    </row>
    <row r="281" s="144" customFormat="1" ht="28.399999999999999" customHeight="1">
      <c r="B281" s="39" t="s">
        <v>513</v>
      </c>
      <c r="C281" s="211" t="s">
        <v>234</v>
      </c>
      <c r="D281" s="211" t="s">
        <v>235</v>
      </c>
      <c r="E281" s="239" t="s">
        <v>924</v>
      </c>
      <c r="F281" s="144" t="s">
        <v>925</v>
      </c>
      <c r="G281" s="337" t="s">
        <v>498</v>
      </c>
      <c r="H281" s="338">
        <v>20262</v>
      </c>
      <c r="I281" s="338">
        <v>20340</v>
      </c>
      <c r="J281" s="239" t="s">
        <v>700</v>
      </c>
      <c r="K281" s="211">
        <v>6</v>
      </c>
      <c r="L281" s="144" t="s">
        <v>325</v>
      </c>
      <c r="M281" s="144">
        <v>0</v>
      </c>
      <c r="N281" s="144">
        <v>0</v>
      </c>
      <c r="O281" s="144">
        <v>0</v>
      </c>
      <c r="P281" s="142"/>
      <c r="Q281" s="144">
        <v>0</v>
      </c>
      <c r="R281" s="144">
        <v>0</v>
      </c>
      <c r="S281" s="144">
        <v>0</v>
      </c>
      <c r="T281" s="142"/>
      <c r="U281" s="144">
        <v>1</v>
      </c>
      <c r="V281" s="144">
        <v>0</v>
      </c>
      <c r="W281" s="144">
        <v>1</v>
      </c>
      <c r="X281" s="144">
        <v>1</v>
      </c>
      <c r="Y281" s="144">
        <v>0</v>
      </c>
      <c r="Z281" s="144">
        <v>1</v>
      </c>
      <c r="AA281" s="144">
        <v>0</v>
      </c>
      <c r="AB281" s="144">
        <v>0</v>
      </c>
      <c r="AC281" s="144">
        <v>0</v>
      </c>
      <c r="AD281" s="144">
        <v>1</v>
      </c>
      <c r="AE281" s="144">
        <v>1</v>
      </c>
      <c r="AF281" s="144">
        <v>1</v>
      </c>
      <c r="AG281" s="144">
        <v>0</v>
      </c>
      <c r="AH281" s="144">
        <v>0</v>
      </c>
      <c r="AI281" s="144">
        <v>0</v>
      </c>
      <c r="AJ281" s="144">
        <v>0</v>
      </c>
      <c r="AK281" s="144">
        <v>0</v>
      </c>
      <c r="AL281" s="144">
        <v>1</v>
      </c>
      <c r="AM281" s="144">
        <v>0</v>
      </c>
      <c r="AN281" s="144">
        <v>0</v>
      </c>
      <c r="AO281" s="144">
        <v>0</v>
      </c>
      <c r="AP281" s="144">
        <v>1</v>
      </c>
      <c r="AQ281" s="144">
        <v>0</v>
      </c>
      <c r="AR281" s="144">
        <v>0</v>
      </c>
      <c r="AS281" s="144">
        <v>0</v>
      </c>
      <c r="AT281" s="144">
        <v>0</v>
      </c>
      <c r="AU281" s="144">
        <v>0</v>
      </c>
      <c r="AV281" s="144">
        <v>0</v>
      </c>
      <c r="AW281" s="144">
        <v>0</v>
      </c>
      <c r="AX281" s="144">
        <v>0</v>
      </c>
      <c r="AY281" s="144">
        <v>0</v>
      </c>
      <c r="AZ281" s="144">
        <v>0</v>
      </c>
      <c r="BB281" s="144">
        <v>0</v>
      </c>
      <c r="BC281" s="144">
        <v>0</v>
      </c>
      <c r="BD281" s="144">
        <v>0</v>
      </c>
      <c r="BE281" s="144">
        <v>0</v>
      </c>
      <c r="BF281" s="144">
        <v>0</v>
      </c>
      <c r="BG281" s="144">
        <v>0</v>
      </c>
      <c r="BH281" s="144">
        <v>0</v>
      </c>
      <c r="BI281" s="144">
        <v>0</v>
      </c>
      <c r="BJ281" s="144">
        <v>0</v>
      </c>
    </row>
    <row r="282" s="144" customFormat="1" ht="41.75" customHeight="1">
      <c r="E282" s="239" t="s">
        <v>926</v>
      </c>
      <c r="F282" s="144" t="s">
        <v>529</v>
      </c>
      <c r="G282" s="239" t="s">
        <v>498</v>
      </c>
      <c r="H282" s="336">
        <v>20477</v>
      </c>
      <c r="I282" s="336">
        <v>20497</v>
      </c>
      <c r="J282" s="239" t="s">
        <v>927</v>
      </c>
      <c r="L282" s="144" t="s">
        <v>325</v>
      </c>
      <c r="M282" s="144">
        <v>0</v>
      </c>
      <c r="N282" s="144">
        <v>1</v>
      </c>
      <c r="O282" s="144">
        <v>0</v>
      </c>
      <c r="P282" s="142"/>
      <c r="Q282" s="144">
        <v>0</v>
      </c>
      <c r="R282" s="144">
        <v>0</v>
      </c>
      <c r="S282" s="144">
        <v>0</v>
      </c>
      <c r="T282" s="142"/>
      <c r="U282" s="144">
        <v>0</v>
      </c>
      <c r="V282" s="144">
        <v>1</v>
      </c>
      <c r="W282" s="144">
        <v>0</v>
      </c>
      <c r="X282" s="144">
        <v>1</v>
      </c>
      <c r="Y282" s="144">
        <v>0</v>
      </c>
      <c r="Z282" s="144">
        <v>1</v>
      </c>
      <c r="AA282" s="144">
        <v>1</v>
      </c>
      <c r="AB282" s="144">
        <v>0</v>
      </c>
      <c r="AC282" s="144">
        <v>0</v>
      </c>
      <c r="AD282" s="144">
        <v>0</v>
      </c>
      <c r="AE282" s="144">
        <v>1</v>
      </c>
      <c r="AF282" s="144">
        <v>1</v>
      </c>
      <c r="AG282" s="144">
        <v>1</v>
      </c>
      <c r="AH282" s="144">
        <v>1</v>
      </c>
      <c r="AI282" s="144">
        <v>1</v>
      </c>
      <c r="AJ282" s="144">
        <v>0</v>
      </c>
      <c r="AK282" s="144">
        <v>0</v>
      </c>
      <c r="AL282" s="144">
        <v>1</v>
      </c>
      <c r="AM282" s="144">
        <v>0</v>
      </c>
      <c r="AN282" s="144">
        <v>1</v>
      </c>
      <c r="AO282" s="144">
        <v>0</v>
      </c>
      <c r="AP282" s="144">
        <v>0</v>
      </c>
      <c r="AQ282" s="144">
        <v>0</v>
      </c>
      <c r="AR282" s="144">
        <v>0</v>
      </c>
      <c r="AS282" s="144">
        <v>0</v>
      </c>
      <c r="AT282" s="144">
        <v>0</v>
      </c>
      <c r="AU282" s="144">
        <v>0</v>
      </c>
      <c r="AV282" s="144">
        <v>0</v>
      </c>
      <c r="AW282" s="144">
        <v>0</v>
      </c>
      <c r="AX282" s="144">
        <v>0</v>
      </c>
      <c r="AY282" s="144">
        <v>0</v>
      </c>
      <c r="AZ282" s="144">
        <v>0</v>
      </c>
      <c r="BB282" s="144">
        <v>0</v>
      </c>
      <c r="BC282" s="144">
        <v>0</v>
      </c>
      <c r="BD282" s="144">
        <v>0</v>
      </c>
      <c r="BE282" s="144">
        <v>0</v>
      </c>
      <c r="BF282" s="144">
        <v>0</v>
      </c>
      <c r="BG282" s="144">
        <v>0</v>
      </c>
      <c r="BH282" s="144">
        <v>0</v>
      </c>
      <c r="BI282" s="144">
        <v>0</v>
      </c>
      <c r="BJ282" s="144">
        <v>0</v>
      </c>
    </row>
    <row r="283" s="144" customFormat="1" ht="41.75" customHeight="1">
      <c r="B283" s="160"/>
      <c r="C283" s="39"/>
      <c r="D283" s="39"/>
      <c r="E283" s="111" t="s">
        <v>928</v>
      </c>
      <c r="F283" s="39" t="s">
        <v>491</v>
      </c>
      <c r="G283" s="111" t="s">
        <v>498</v>
      </c>
      <c r="H283" s="313">
        <v>20603</v>
      </c>
      <c r="I283" s="313">
        <v>20628</v>
      </c>
      <c r="J283" s="170"/>
      <c r="L283" s="39" t="s">
        <v>447</v>
      </c>
      <c r="M283" s="39">
        <v>0</v>
      </c>
      <c r="N283" s="39">
        <v>0</v>
      </c>
      <c r="O283" s="39">
        <v>1</v>
      </c>
      <c r="P283" s="162"/>
      <c r="Q283" s="39">
        <v>0</v>
      </c>
      <c r="R283" s="39">
        <v>0</v>
      </c>
      <c r="S283" s="39">
        <v>0</v>
      </c>
      <c r="T283" s="162"/>
      <c r="U283" s="39">
        <v>0</v>
      </c>
      <c r="V283" s="39">
        <v>0</v>
      </c>
      <c r="W283" s="39">
        <v>1</v>
      </c>
      <c r="X283" s="39">
        <v>1</v>
      </c>
      <c r="Y283" s="39">
        <v>0</v>
      </c>
      <c r="Z283" s="39">
        <v>1</v>
      </c>
      <c r="AA283" s="39">
        <v>1</v>
      </c>
      <c r="AB283" s="39">
        <v>0</v>
      </c>
      <c r="AC283" s="39">
        <v>0</v>
      </c>
      <c r="AD283" s="39">
        <v>0</v>
      </c>
      <c r="AE283" s="39">
        <v>1</v>
      </c>
      <c r="AF283" s="39">
        <v>1</v>
      </c>
      <c r="AG283" s="39">
        <v>0</v>
      </c>
      <c r="AH283" s="39">
        <v>0</v>
      </c>
      <c r="AI283" s="39">
        <v>0</v>
      </c>
      <c r="AJ283" s="39">
        <v>0</v>
      </c>
      <c r="AK283" s="39">
        <v>0</v>
      </c>
      <c r="AL283" s="39">
        <v>1</v>
      </c>
      <c r="AM283" s="39">
        <v>0</v>
      </c>
      <c r="AN283" s="39">
        <v>0</v>
      </c>
      <c r="AO283" s="39">
        <v>0</v>
      </c>
      <c r="AP283" s="39">
        <v>1</v>
      </c>
      <c r="AQ283" s="39">
        <v>1</v>
      </c>
      <c r="AR283" s="39">
        <v>0</v>
      </c>
      <c r="AS283" s="39">
        <v>0</v>
      </c>
      <c r="AT283" s="39">
        <v>0</v>
      </c>
      <c r="AU283" s="39">
        <v>0</v>
      </c>
      <c r="AV283" s="39">
        <v>0</v>
      </c>
      <c r="AW283" s="39">
        <v>1</v>
      </c>
      <c r="AX283" s="39">
        <v>0</v>
      </c>
      <c r="AY283" s="39">
        <v>0</v>
      </c>
      <c r="AZ283" s="39">
        <v>0</v>
      </c>
      <c r="BA283" s="39">
        <v>1</v>
      </c>
      <c r="BB283" s="39">
        <v>0</v>
      </c>
      <c r="BC283" s="39">
        <v>0</v>
      </c>
      <c r="BD283" s="39">
        <v>0</v>
      </c>
      <c r="BE283" s="39">
        <v>1</v>
      </c>
      <c r="BF283" s="39">
        <v>0</v>
      </c>
      <c r="BG283" s="39">
        <v>1</v>
      </c>
      <c r="BH283" s="39">
        <v>0</v>
      </c>
      <c r="BI283" s="39">
        <v>0</v>
      </c>
      <c r="BJ283" s="39">
        <v>0</v>
      </c>
    </row>
    <row r="284" ht="28.399999999999999" customHeight="1">
      <c r="D284" s="39"/>
      <c r="E284" s="111" t="s">
        <v>929</v>
      </c>
      <c r="F284" s="39" t="s">
        <v>930</v>
      </c>
      <c r="G284" s="111" t="s">
        <v>498</v>
      </c>
      <c r="H284" s="313">
        <v>33422</v>
      </c>
      <c r="I284" s="313">
        <v>33471</v>
      </c>
      <c r="L284" s="39" t="s">
        <v>325</v>
      </c>
      <c r="M284" s="39">
        <v>0</v>
      </c>
      <c r="N284" s="39">
        <v>0</v>
      </c>
      <c r="O284" s="39">
        <v>1</v>
      </c>
      <c r="P284" s="142"/>
      <c r="Q284" s="39">
        <v>0</v>
      </c>
      <c r="R284" s="39">
        <v>0</v>
      </c>
      <c r="S284" s="39">
        <v>0</v>
      </c>
      <c r="T284" s="142"/>
      <c r="U284" s="39">
        <v>0</v>
      </c>
      <c r="V284" s="39">
        <v>0</v>
      </c>
      <c r="W284" s="39">
        <v>1</v>
      </c>
      <c r="X284" s="39">
        <v>1</v>
      </c>
      <c r="Y284" s="39">
        <v>0</v>
      </c>
      <c r="Z284" s="39">
        <v>1</v>
      </c>
      <c r="AA284" s="39">
        <v>1</v>
      </c>
      <c r="AB284" s="39">
        <v>0</v>
      </c>
      <c r="AC284" s="39">
        <v>0</v>
      </c>
      <c r="AD284" s="39">
        <v>0</v>
      </c>
      <c r="AE284" s="39">
        <v>1</v>
      </c>
      <c r="AF284" s="39">
        <v>1</v>
      </c>
      <c r="AG284" s="39">
        <v>1</v>
      </c>
      <c r="AH284" s="39">
        <v>1</v>
      </c>
      <c r="AI284" s="39">
        <v>0</v>
      </c>
      <c r="AJ284" s="39">
        <v>0</v>
      </c>
      <c r="AK284" s="39">
        <v>0</v>
      </c>
      <c r="AL284" s="39">
        <v>1</v>
      </c>
      <c r="AM284" s="39">
        <v>0</v>
      </c>
      <c r="AN284" s="39">
        <v>0</v>
      </c>
      <c r="AO284" s="39">
        <v>0</v>
      </c>
      <c r="AP284" s="39">
        <v>1</v>
      </c>
      <c r="AQ284" s="39">
        <v>0</v>
      </c>
      <c r="AR284" s="39">
        <v>0</v>
      </c>
      <c r="AS284" s="39">
        <v>0</v>
      </c>
      <c r="AT284" s="39">
        <v>0</v>
      </c>
      <c r="AU284" s="39">
        <v>0</v>
      </c>
      <c r="AV284" s="39">
        <v>0</v>
      </c>
      <c r="AW284" s="39">
        <v>0</v>
      </c>
      <c r="AX284" s="39">
        <v>0</v>
      </c>
      <c r="AY284" s="39">
        <v>0</v>
      </c>
      <c r="AZ284" s="39">
        <v>0</v>
      </c>
      <c r="BB284" s="39">
        <v>0</v>
      </c>
      <c r="BC284" s="39">
        <v>0</v>
      </c>
      <c r="BD284" s="39">
        <v>0</v>
      </c>
      <c r="BE284" s="39">
        <v>0</v>
      </c>
      <c r="BF284" s="39">
        <v>0</v>
      </c>
      <c r="BG284" s="39">
        <v>0</v>
      </c>
      <c r="BH284" s="39">
        <v>0</v>
      </c>
      <c r="BI284" s="39">
        <v>0</v>
      </c>
      <c r="BJ284" s="39">
        <v>0</v>
      </c>
    </row>
    <row r="285" ht="28.399999999999999" customHeight="1">
      <c r="D285" s="39"/>
      <c r="E285" s="111" t="s">
        <v>931</v>
      </c>
      <c r="F285" s="39" t="s">
        <v>932</v>
      </c>
      <c r="G285" s="111" t="s">
        <v>498</v>
      </c>
      <c r="H285" s="313">
        <v>33512</v>
      </c>
      <c r="I285" s="313">
        <v>33572</v>
      </c>
      <c r="L285" s="39" t="s">
        <v>325</v>
      </c>
      <c r="M285" s="39">
        <v>0</v>
      </c>
      <c r="N285" s="39">
        <v>0</v>
      </c>
      <c r="O285" s="39">
        <v>1</v>
      </c>
      <c r="P285" s="142"/>
      <c r="Q285" s="39">
        <v>0</v>
      </c>
      <c r="R285" s="39">
        <v>0</v>
      </c>
      <c r="S285" s="39">
        <v>0</v>
      </c>
      <c r="T285" s="142"/>
      <c r="U285" s="39">
        <v>0</v>
      </c>
      <c r="V285" s="39">
        <v>0</v>
      </c>
      <c r="W285" s="39">
        <v>1</v>
      </c>
      <c r="X285" s="39">
        <v>1</v>
      </c>
      <c r="Y285" s="39">
        <v>0</v>
      </c>
      <c r="Z285" s="39">
        <v>1</v>
      </c>
      <c r="AA285" s="39">
        <v>1</v>
      </c>
      <c r="AB285" s="39">
        <v>0</v>
      </c>
      <c r="AC285" s="39">
        <v>0</v>
      </c>
      <c r="AD285" s="39">
        <v>0</v>
      </c>
      <c r="AE285" s="39">
        <v>1</v>
      </c>
      <c r="AF285" s="39">
        <v>1</v>
      </c>
      <c r="AG285" s="39">
        <v>1</v>
      </c>
      <c r="AH285" s="39">
        <v>1</v>
      </c>
      <c r="AI285" s="39">
        <v>0</v>
      </c>
      <c r="AJ285" s="39">
        <v>0</v>
      </c>
      <c r="AK285" s="39">
        <v>0</v>
      </c>
      <c r="AL285" s="39">
        <v>1</v>
      </c>
      <c r="AM285" s="39">
        <v>0</v>
      </c>
      <c r="AN285" s="39">
        <v>0</v>
      </c>
      <c r="AO285" s="39">
        <v>0</v>
      </c>
      <c r="AP285" s="39">
        <v>1</v>
      </c>
      <c r="AQ285" s="39">
        <v>0</v>
      </c>
      <c r="AR285" s="39">
        <v>0</v>
      </c>
      <c r="AS285" s="39">
        <v>0</v>
      </c>
      <c r="AT285" s="39">
        <v>0</v>
      </c>
      <c r="AU285" s="39">
        <v>0</v>
      </c>
      <c r="AV285" s="39">
        <v>0</v>
      </c>
      <c r="AW285" s="39">
        <v>0</v>
      </c>
      <c r="AX285" s="39">
        <v>0</v>
      </c>
      <c r="AY285" s="39">
        <v>0</v>
      </c>
      <c r="AZ285" s="39">
        <v>0</v>
      </c>
      <c r="BB285" s="39">
        <v>0</v>
      </c>
      <c r="BC285" s="39">
        <v>0</v>
      </c>
      <c r="BD285" s="39">
        <v>0</v>
      </c>
      <c r="BE285" s="39">
        <v>0</v>
      </c>
      <c r="BF285" s="39">
        <v>0</v>
      </c>
      <c r="BG285" s="39">
        <v>0</v>
      </c>
      <c r="BH285" s="39">
        <v>0</v>
      </c>
      <c r="BI285" s="39">
        <v>0</v>
      </c>
      <c r="BJ285" s="39">
        <v>0</v>
      </c>
    </row>
    <row r="286" ht="32.25" customHeight="1">
      <c r="B286" s="144"/>
      <c r="D286" s="39"/>
      <c r="E286" s="145" t="s">
        <v>933</v>
      </c>
      <c r="F286" s="144" t="s">
        <v>654</v>
      </c>
      <c r="G286" s="145" t="s">
        <v>498</v>
      </c>
      <c r="H286" s="320">
        <v>33632</v>
      </c>
      <c r="I286" s="320">
        <v>33656</v>
      </c>
      <c r="J286" s="145"/>
      <c r="K286" s="144"/>
      <c r="L286" s="144" t="s">
        <v>325</v>
      </c>
      <c r="M286" s="144">
        <v>0</v>
      </c>
      <c r="N286" s="144">
        <v>0</v>
      </c>
      <c r="O286" s="144">
        <v>1</v>
      </c>
      <c r="P286" s="162"/>
      <c r="Q286" s="144">
        <v>0</v>
      </c>
      <c r="R286" s="144">
        <v>0</v>
      </c>
      <c r="S286" s="144">
        <v>0</v>
      </c>
      <c r="T286" s="162"/>
      <c r="U286" s="144">
        <v>0</v>
      </c>
      <c r="V286" s="144">
        <v>0</v>
      </c>
      <c r="W286" s="144">
        <v>1</v>
      </c>
      <c r="X286" s="144">
        <v>1</v>
      </c>
      <c r="Y286" s="144">
        <v>0</v>
      </c>
      <c r="Z286" s="144">
        <v>1</v>
      </c>
      <c r="AA286" s="144">
        <v>1</v>
      </c>
      <c r="AB286" s="144">
        <v>0</v>
      </c>
      <c r="AC286" s="144">
        <v>0</v>
      </c>
      <c r="AD286" s="144">
        <v>0</v>
      </c>
      <c r="AE286" s="144">
        <v>1</v>
      </c>
      <c r="AF286" s="144">
        <v>1</v>
      </c>
      <c r="AG286" s="144">
        <v>1</v>
      </c>
      <c r="AH286" s="144">
        <v>1</v>
      </c>
      <c r="AI286" s="144">
        <v>0</v>
      </c>
      <c r="AJ286" s="144">
        <v>1</v>
      </c>
      <c r="AK286" s="144">
        <v>0</v>
      </c>
      <c r="AL286" s="144">
        <v>1</v>
      </c>
      <c r="AM286" s="144">
        <v>0</v>
      </c>
      <c r="AN286" s="144">
        <v>0</v>
      </c>
      <c r="AO286" s="144">
        <v>0</v>
      </c>
      <c r="AP286" s="144">
        <v>1</v>
      </c>
      <c r="AQ286" s="144">
        <v>0</v>
      </c>
      <c r="AR286" s="144">
        <v>0</v>
      </c>
      <c r="AS286" s="144">
        <v>0</v>
      </c>
      <c r="AT286" s="144">
        <v>0</v>
      </c>
      <c r="AU286" s="144">
        <v>0</v>
      </c>
      <c r="AV286" s="144">
        <v>0</v>
      </c>
      <c r="AW286" s="144">
        <v>0</v>
      </c>
      <c r="AX286" s="144">
        <v>0</v>
      </c>
      <c r="AY286" s="144">
        <v>0</v>
      </c>
      <c r="AZ286" s="144">
        <v>0</v>
      </c>
      <c r="BA286" s="144"/>
      <c r="BB286" s="144">
        <v>0</v>
      </c>
      <c r="BC286" s="144">
        <v>0</v>
      </c>
      <c r="BD286" s="144">
        <v>0</v>
      </c>
      <c r="BE286" s="144">
        <v>0</v>
      </c>
      <c r="BF286" s="144">
        <v>0</v>
      </c>
      <c r="BG286" s="144">
        <v>0</v>
      </c>
      <c r="BH286" s="144">
        <v>0</v>
      </c>
      <c r="BI286" s="144">
        <v>0</v>
      </c>
      <c r="BJ286" s="144">
        <v>0</v>
      </c>
    </row>
    <row r="287" ht="14.25" customHeight="1">
      <c r="A287" s="137" t="s">
        <v>481</v>
      </c>
      <c r="B287" s="316" t="s">
        <v>513</v>
      </c>
      <c r="C287" s="356" t="s">
        <v>236</v>
      </c>
      <c r="D287" s="356" t="s">
        <v>934</v>
      </c>
      <c r="E287" s="111" t="s">
        <v>935</v>
      </c>
      <c r="F287" s="39" t="s">
        <v>608</v>
      </c>
      <c r="G287" s="111" t="s">
        <v>498</v>
      </c>
      <c r="H287" s="313">
        <v>12966</v>
      </c>
      <c r="I287" s="313">
        <v>12978</v>
      </c>
      <c r="K287" s="211">
        <v>3</v>
      </c>
      <c r="L287" s="39" t="s">
        <v>325</v>
      </c>
      <c r="M287" s="39">
        <v>0</v>
      </c>
      <c r="N287" s="39">
        <v>0</v>
      </c>
      <c r="O287" s="39">
        <v>1</v>
      </c>
      <c r="P287" s="142">
        <v>1</v>
      </c>
      <c r="Q287" s="39">
        <v>0</v>
      </c>
      <c r="R287" s="39">
        <v>0</v>
      </c>
      <c r="S287" s="39">
        <v>0</v>
      </c>
      <c r="T287" s="142">
        <v>0</v>
      </c>
      <c r="U287" s="39">
        <v>0</v>
      </c>
      <c r="V287" s="39">
        <v>1</v>
      </c>
      <c r="W287" s="39">
        <v>0</v>
      </c>
      <c r="X287" s="39">
        <v>1</v>
      </c>
      <c r="Y287" s="39">
        <v>0</v>
      </c>
      <c r="Z287" s="39">
        <v>1</v>
      </c>
      <c r="AA287" s="39">
        <v>1</v>
      </c>
      <c r="AB287" s="39">
        <v>0</v>
      </c>
      <c r="AC287" s="39">
        <v>0</v>
      </c>
      <c r="AD287" s="39">
        <v>0</v>
      </c>
      <c r="AE287" s="39">
        <v>0</v>
      </c>
      <c r="AF287" s="39">
        <v>0</v>
      </c>
      <c r="AG287" s="39">
        <v>0</v>
      </c>
      <c r="AH287" s="39">
        <v>0</v>
      </c>
      <c r="AI287" s="39">
        <v>0</v>
      </c>
      <c r="AJ287" s="39">
        <v>0</v>
      </c>
      <c r="AK287" s="39">
        <v>1</v>
      </c>
      <c r="AL287" s="39">
        <v>0</v>
      </c>
      <c r="AM287" s="39">
        <v>0</v>
      </c>
      <c r="AN287" s="39">
        <v>1</v>
      </c>
      <c r="AO287" s="39">
        <v>1</v>
      </c>
      <c r="AP287" s="39">
        <v>0</v>
      </c>
      <c r="AQ287" s="39">
        <v>0</v>
      </c>
      <c r="AR287" s="39">
        <v>0</v>
      </c>
      <c r="AS287" s="39">
        <v>0</v>
      </c>
      <c r="AT287" s="39">
        <v>0</v>
      </c>
      <c r="AU287" s="39">
        <v>0</v>
      </c>
      <c r="AV287" s="39">
        <v>0</v>
      </c>
      <c r="AW287" s="39">
        <v>0</v>
      </c>
      <c r="AX287" s="39">
        <v>0</v>
      </c>
      <c r="AY287" s="39">
        <v>0</v>
      </c>
      <c r="AZ287" s="39">
        <v>0</v>
      </c>
      <c r="BA287" s="39">
        <v>0</v>
      </c>
      <c r="BB287" s="39">
        <v>0</v>
      </c>
      <c r="BC287" s="39">
        <v>0</v>
      </c>
      <c r="BD287" s="39">
        <v>0</v>
      </c>
      <c r="BE287" s="39">
        <v>0</v>
      </c>
      <c r="BF287" s="39">
        <v>0</v>
      </c>
      <c r="BG287" s="39">
        <v>0</v>
      </c>
      <c r="BH287" s="39">
        <v>0</v>
      </c>
      <c r="BI287" s="39">
        <v>0</v>
      </c>
      <c r="BJ287" s="39">
        <v>0</v>
      </c>
    </row>
    <row r="288" s="144" customFormat="1" ht="14.25" customHeight="1">
      <c r="B288" s="237"/>
      <c r="C288" s="237"/>
      <c r="D288" s="237"/>
      <c r="E288" s="145" t="s">
        <v>936</v>
      </c>
      <c r="F288" s="144" t="s">
        <v>508</v>
      </c>
      <c r="G288" s="145" t="s">
        <v>498</v>
      </c>
      <c r="H288" s="320">
        <v>13155</v>
      </c>
      <c r="I288" s="320">
        <v>13173</v>
      </c>
      <c r="J288" s="145"/>
      <c r="L288" s="144" t="s">
        <v>325</v>
      </c>
      <c r="M288" s="144">
        <v>0</v>
      </c>
      <c r="N288" s="144">
        <v>1</v>
      </c>
      <c r="O288" s="144">
        <v>1</v>
      </c>
      <c r="P288" s="162">
        <v>1</v>
      </c>
      <c r="Q288" s="144">
        <v>0</v>
      </c>
      <c r="R288" s="144">
        <v>0</v>
      </c>
      <c r="S288" s="144">
        <v>0</v>
      </c>
      <c r="T288" s="162">
        <v>0</v>
      </c>
      <c r="U288" s="144">
        <v>0</v>
      </c>
      <c r="V288" s="144">
        <v>0</v>
      </c>
      <c r="W288" s="144">
        <v>1</v>
      </c>
      <c r="X288" s="144">
        <v>1</v>
      </c>
      <c r="Y288" s="144">
        <v>0</v>
      </c>
      <c r="Z288" s="144">
        <v>1</v>
      </c>
      <c r="AA288" s="144">
        <v>1</v>
      </c>
      <c r="AB288" s="144">
        <v>0</v>
      </c>
      <c r="AC288" s="144">
        <v>0</v>
      </c>
      <c r="AD288" s="144">
        <v>0</v>
      </c>
      <c r="AE288" s="144">
        <v>1</v>
      </c>
      <c r="AF288" s="144">
        <v>1</v>
      </c>
      <c r="AG288" s="144">
        <v>1</v>
      </c>
      <c r="AH288" s="144">
        <v>1</v>
      </c>
      <c r="AI288" s="144">
        <v>1</v>
      </c>
      <c r="AJ288" s="144">
        <v>1</v>
      </c>
      <c r="AK288" s="144">
        <v>0</v>
      </c>
      <c r="AL288" s="144">
        <v>1</v>
      </c>
      <c r="AM288" s="144">
        <v>1</v>
      </c>
      <c r="AN288" s="144">
        <v>1</v>
      </c>
      <c r="AO288" s="144">
        <v>0</v>
      </c>
      <c r="AP288" s="144">
        <v>1</v>
      </c>
      <c r="AQ288" s="144">
        <v>0</v>
      </c>
      <c r="AR288" s="144">
        <v>0</v>
      </c>
      <c r="AS288" s="144">
        <v>0</v>
      </c>
      <c r="AT288" s="144">
        <v>0</v>
      </c>
      <c r="AU288" s="144">
        <v>0</v>
      </c>
      <c r="AV288" s="144">
        <v>0</v>
      </c>
      <c r="AW288" s="144">
        <v>0</v>
      </c>
      <c r="AX288" s="144">
        <v>0</v>
      </c>
      <c r="AY288" s="144">
        <v>0</v>
      </c>
      <c r="AZ288" s="144">
        <v>0</v>
      </c>
      <c r="BB288" s="144">
        <v>0</v>
      </c>
      <c r="BC288" s="144">
        <v>0</v>
      </c>
      <c r="BD288" s="144">
        <v>0</v>
      </c>
      <c r="BE288" s="144">
        <v>0</v>
      </c>
      <c r="BF288" s="144">
        <v>0</v>
      </c>
      <c r="BG288" s="144">
        <v>0</v>
      </c>
      <c r="BH288" s="144">
        <v>0</v>
      </c>
      <c r="BI288" s="144">
        <v>0</v>
      </c>
      <c r="BJ288" s="144">
        <v>0</v>
      </c>
    </row>
    <row r="289" s="144" customFormat="1" ht="41.75" customHeight="1">
      <c r="B289" s="357" t="s">
        <v>513</v>
      </c>
      <c r="C289" s="357" t="s">
        <v>238</v>
      </c>
      <c r="D289" s="316" t="s">
        <v>73</v>
      </c>
      <c r="E289" s="358" t="s">
        <v>937</v>
      </c>
      <c r="F289" s="39" t="s">
        <v>644</v>
      </c>
      <c r="G289" s="358" t="s">
        <v>498</v>
      </c>
      <c r="H289" s="313">
        <v>4323</v>
      </c>
      <c r="I289" s="313">
        <v>4350</v>
      </c>
      <c r="J289" s="145"/>
      <c r="K289" s="39">
        <v>3</v>
      </c>
      <c r="L289" s="39" t="s">
        <v>325</v>
      </c>
      <c r="M289" s="39">
        <v>1</v>
      </c>
      <c r="N289" s="39">
        <v>0</v>
      </c>
      <c r="O289" s="39">
        <v>0</v>
      </c>
      <c r="P289" s="142"/>
      <c r="Q289" s="39">
        <v>0</v>
      </c>
      <c r="R289" s="39">
        <v>0</v>
      </c>
      <c r="S289" s="39">
        <v>0</v>
      </c>
      <c r="T289" s="142"/>
      <c r="U289" s="39">
        <v>0</v>
      </c>
      <c r="V289" s="39">
        <v>0</v>
      </c>
      <c r="W289" s="39">
        <v>1</v>
      </c>
      <c r="X289" s="39">
        <v>0</v>
      </c>
      <c r="Y289" s="39">
        <v>0</v>
      </c>
      <c r="Z289" s="39">
        <v>1</v>
      </c>
      <c r="AA289" s="39">
        <v>1</v>
      </c>
      <c r="AB289" s="39">
        <v>0</v>
      </c>
      <c r="AC289" s="39">
        <v>0</v>
      </c>
      <c r="AD289" s="39">
        <v>0</v>
      </c>
      <c r="AE289" s="39">
        <v>1</v>
      </c>
      <c r="AF289" s="39">
        <v>1</v>
      </c>
      <c r="AG289" s="39">
        <v>0</v>
      </c>
      <c r="AH289" s="39">
        <v>0</v>
      </c>
      <c r="AI289" s="39">
        <v>0</v>
      </c>
      <c r="AJ289" s="39">
        <v>1</v>
      </c>
      <c r="AK289" s="39">
        <v>1</v>
      </c>
      <c r="AL289" s="39">
        <v>1</v>
      </c>
      <c r="AM289" s="39">
        <v>0</v>
      </c>
      <c r="AN289" s="39">
        <v>0</v>
      </c>
      <c r="AO289" s="39">
        <v>1</v>
      </c>
      <c r="AP289" s="39">
        <v>0</v>
      </c>
      <c r="AQ289" s="39">
        <v>1</v>
      </c>
      <c r="AR289" s="39">
        <v>0</v>
      </c>
      <c r="AS289" s="39">
        <v>0</v>
      </c>
      <c r="AT289" s="39">
        <v>0</v>
      </c>
      <c r="AU289" s="39">
        <v>0</v>
      </c>
      <c r="AV289" s="39">
        <v>0</v>
      </c>
      <c r="AW289" s="39">
        <v>0</v>
      </c>
      <c r="AX289" s="39">
        <v>0</v>
      </c>
      <c r="AY289" s="39">
        <v>0</v>
      </c>
      <c r="AZ289" s="39">
        <v>0</v>
      </c>
      <c r="BB289" s="39">
        <v>0</v>
      </c>
      <c r="BC289" s="39">
        <v>0</v>
      </c>
      <c r="BD289" s="39">
        <v>0</v>
      </c>
      <c r="BE289" s="39">
        <v>0</v>
      </c>
      <c r="BF289" s="39">
        <v>0</v>
      </c>
      <c r="BG289" s="39">
        <v>0</v>
      </c>
      <c r="BH289" s="39">
        <v>1</v>
      </c>
      <c r="BI289" s="39">
        <v>0</v>
      </c>
      <c r="BJ289" s="39">
        <v>0</v>
      </c>
    </row>
    <row r="290" ht="41.75" customHeight="1">
      <c r="B290" s="316"/>
      <c r="C290" s="316"/>
      <c r="D290" s="316"/>
      <c r="E290" s="111" t="s">
        <v>938</v>
      </c>
      <c r="F290" s="39" t="s">
        <v>821</v>
      </c>
      <c r="G290" s="111" t="s">
        <v>498</v>
      </c>
      <c r="H290" s="313">
        <v>4833</v>
      </c>
      <c r="I290" s="313">
        <v>4862</v>
      </c>
      <c r="L290" s="39" t="s">
        <v>325</v>
      </c>
      <c r="M290" s="39">
        <v>1</v>
      </c>
      <c r="N290" s="39">
        <v>0</v>
      </c>
      <c r="O290" s="39">
        <v>0</v>
      </c>
      <c r="P290" s="162"/>
      <c r="Q290" s="39">
        <v>0</v>
      </c>
      <c r="R290" s="39">
        <v>0</v>
      </c>
      <c r="S290" s="39">
        <v>0</v>
      </c>
      <c r="T290" s="162"/>
      <c r="U290" s="39">
        <v>0</v>
      </c>
      <c r="V290" s="39">
        <v>0</v>
      </c>
      <c r="W290" s="39">
        <v>1</v>
      </c>
      <c r="X290" s="39">
        <v>1</v>
      </c>
      <c r="Y290" s="39">
        <v>0</v>
      </c>
      <c r="Z290" s="39">
        <v>1</v>
      </c>
      <c r="AA290" s="39">
        <v>1</v>
      </c>
      <c r="AB290" s="39">
        <v>0</v>
      </c>
      <c r="AC290" s="39">
        <v>0</v>
      </c>
      <c r="AD290" s="39">
        <v>0</v>
      </c>
      <c r="AE290" s="39">
        <v>0</v>
      </c>
      <c r="AF290" s="39">
        <v>1</v>
      </c>
      <c r="AG290" s="39">
        <v>1</v>
      </c>
      <c r="AH290" s="39">
        <v>1</v>
      </c>
      <c r="AI290" s="39">
        <v>0</v>
      </c>
      <c r="AJ290" s="39">
        <v>0</v>
      </c>
      <c r="AK290" s="39">
        <v>0</v>
      </c>
      <c r="AL290" s="39">
        <v>1</v>
      </c>
      <c r="AM290" s="39">
        <v>0</v>
      </c>
      <c r="AN290" s="39">
        <v>0</v>
      </c>
      <c r="AO290" s="39">
        <v>0</v>
      </c>
      <c r="AP290" s="39">
        <v>1</v>
      </c>
      <c r="AQ290" s="39">
        <v>1</v>
      </c>
      <c r="AR290" s="39">
        <v>0</v>
      </c>
      <c r="AS290" s="39">
        <v>0</v>
      </c>
      <c r="AT290" s="39">
        <v>0</v>
      </c>
      <c r="AU290" s="39">
        <v>0</v>
      </c>
      <c r="AV290" s="39">
        <v>0</v>
      </c>
      <c r="AW290" s="39">
        <v>0</v>
      </c>
      <c r="AX290" s="39">
        <v>1</v>
      </c>
      <c r="AY290" s="39">
        <v>0</v>
      </c>
      <c r="AZ290" s="39">
        <v>0</v>
      </c>
      <c r="BB290" s="39">
        <v>0</v>
      </c>
      <c r="BC290" s="39">
        <v>0</v>
      </c>
      <c r="BD290" s="39">
        <v>0</v>
      </c>
      <c r="BE290" s="39">
        <v>1</v>
      </c>
      <c r="BF290" s="39">
        <v>0</v>
      </c>
      <c r="BG290" s="39">
        <v>0</v>
      </c>
      <c r="BH290" s="39">
        <v>0</v>
      </c>
      <c r="BI290" s="39">
        <v>0</v>
      </c>
      <c r="BJ290" s="39">
        <v>0</v>
      </c>
    </row>
    <row r="291" ht="28.399999999999999" customHeight="1">
      <c r="A291" s="144"/>
      <c r="B291" s="237"/>
      <c r="C291" s="237"/>
      <c r="D291" s="237"/>
      <c r="E291" s="145" t="s">
        <v>939</v>
      </c>
      <c r="F291" s="144" t="s">
        <v>646</v>
      </c>
      <c r="G291" s="145" t="s">
        <v>498</v>
      </c>
      <c r="H291" s="320">
        <v>5888</v>
      </c>
      <c r="I291" s="320">
        <v>5904</v>
      </c>
      <c r="J291" s="145"/>
      <c r="K291" s="144"/>
      <c r="L291" s="144" t="s">
        <v>325</v>
      </c>
      <c r="M291" s="144">
        <v>1</v>
      </c>
      <c r="N291" s="144">
        <v>0</v>
      </c>
      <c r="O291" s="144">
        <v>0</v>
      </c>
      <c r="P291" s="142"/>
      <c r="Q291" s="144">
        <v>0</v>
      </c>
      <c r="R291" s="144">
        <v>0</v>
      </c>
      <c r="S291" s="144">
        <v>0</v>
      </c>
      <c r="T291" s="142"/>
      <c r="U291" s="144">
        <v>0</v>
      </c>
      <c r="V291" s="144">
        <v>0</v>
      </c>
      <c r="W291" s="144">
        <v>1</v>
      </c>
      <c r="X291" s="144">
        <v>0</v>
      </c>
      <c r="Y291" s="144">
        <v>0</v>
      </c>
      <c r="Z291" s="144">
        <v>1</v>
      </c>
      <c r="AA291" s="144">
        <v>1</v>
      </c>
      <c r="AB291" s="144">
        <v>0</v>
      </c>
      <c r="AC291" s="144">
        <v>0</v>
      </c>
      <c r="AD291" s="144">
        <v>0</v>
      </c>
      <c r="AE291" s="144">
        <v>0</v>
      </c>
      <c r="AF291" s="144">
        <v>1</v>
      </c>
      <c r="AG291" s="144">
        <v>1</v>
      </c>
      <c r="AH291" s="144">
        <v>0</v>
      </c>
      <c r="AI291" s="144">
        <v>0</v>
      </c>
      <c r="AJ291" s="144">
        <v>1</v>
      </c>
      <c r="AK291" s="144">
        <v>0</v>
      </c>
      <c r="AL291" s="144">
        <v>1</v>
      </c>
      <c r="AM291" s="144">
        <v>0</v>
      </c>
      <c r="AN291" s="144">
        <v>0</v>
      </c>
      <c r="AO291" s="144">
        <v>0</v>
      </c>
      <c r="AP291" s="144">
        <v>1</v>
      </c>
      <c r="AQ291" s="144">
        <v>0</v>
      </c>
      <c r="AR291" s="144">
        <v>0</v>
      </c>
      <c r="AS291" s="144">
        <v>0</v>
      </c>
      <c r="AT291" s="144">
        <v>0</v>
      </c>
      <c r="AU291" s="144">
        <v>0</v>
      </c>
      <c r="AV291" s="144">
        <v>0</v>
      </c>
      <c r="AW291" s="144">
        <v>0</v>
      </c>
      <c r="AX291" s="144">
        <v>0</v>
      </c>
      <c r="AY291" s="144">
        <v>0</v>
      </c>
      <c r="AZ291" s="144">
        <v>0</v>
      </c>
      <c r="BA291" s="144"/>
      <c r="BB291" s="144">
        <v>0</v>
      </c>
      <c r="BC291" s="144">
        <v>0</v>
      </c>
      <c r="BD291" s="144">
        <v>0</v>
      </c>
      <c r="BE291" s="144">
        <v>0</v>
      </c>
      <c r="BF291" s="144">
        <v>0</v>
      </c>
      <c r="BG291" s="144">
        <v>0</v>
      </c>
      <c r="BH291" s="144">
        <v>0</v>
      </c>
      <c r="BI291" s="144">
        <v>0</v>
      </c>
      <c r="BJ291" s="144">
        <v>0</v>
      </c>
    </row>
    <row r="292" s="144" customFormat="1" ht="55.25" customHeight="1">
      <c r="A292" s="137" t="s">
        <v>481</v>
      </c>
      <c r="B292" s="316" t="s">
        <v>513</v>
      </c>
      <c r="C292" s="356" t="s">
        <v>239</v>
      </c>
      <c r="D292" s="211" t="s">
        <v>17</v>
      </c>
      <c r="E292" s="111" t="s">
        <v>940</v>
      </c>
      <c r="F292" s="39" t="s">
        <v>941</v>
      </c>
      <c r="G292" s="111" t="s">
        <v>498</v>
      </c>
      <c r="H292" s="313">
        <v>21061</v>
      </c>
      <c r="I292" s="313">
        <v>21279</v>
      </c>
      <c r="J292" s="145"/>
      <c r="K292" s="211">
        <v>2</v>
      </c>
      <c r="L292" s="39" t="s">
        <v>325</v>
      </c>
      <c r="M292" s="39">
        <v>0</v>
      </c>
      <c r="N292" s="39">
        <v>0</v>
      </c>
      <c r="O292" s="39">
        <v>1</v>
      </c>
      <c r="P292" s="142">
        <v>1</v>
      </c>
      <c r="Q292" s="39">
        <v>0</v>
      </c>
      <c r="R292" s="39">
        <v>0</v>
      </c>
      <c r="S292" s="39">
        <v>0</v>
      </c>
      <c r="T292" s="142"/>
      <c r="U292" s="39">
        <v>0</v>
      </c>
      <c r="V292" s="39">
        <v>1</v>
      </c>
      <c r="W292" s="39">
        <v>0</v>
      </c>
      <c r="X292" s="39">
        <v>1</v>
      </c>
      <c r="Y292" s="39">
        <v>0</v>
      </c>
      <c r="Z292" s="39">
        <v>1</v>
      </c>
      <c r="AA292" s="39">
        <v>1</v>
      </c>
      <c r="AB292" s="39">
        <v>0</v>
      </c>
      <c r="AC292" s="39">
        <v>0</v>
      </c>
      <c r="AD292" s="39">
        <v>0</v>
      </c>
      <c r="AE292" s="39">
        <v>1</v>
      </c>
      <c r="AF292" s="39">
        <v>1</v>
      </c>
      <c r="AG292" s="39">
        <v>1</v>
      </c>
      <c r="AH292" s="39">
        <v>1</v>
      </c>
      <c r="AI292" s="39">
        <v>1</v>
      </c>
      <c r="AJ292" s="39">
        <v>0</v>
      </c>
      <c r="AK292" s="39">
        <v>0</v>
      </c>
      <c r="AL292" s="39">
        <v>1</v>
      </c>
      <c r="AM292" s="39">
        <v>1</v>
      </c>
      <c r="AN292" s="39">
        <v>0</v>
      </c>
      <c r="AO292" s="39">
        <v>0</v>
      </c>
      <c r="AP292" s="39">
        <v>1</v>
      </c>
      <c r="AQ292" s="39">
        <v>0</v>
      </c>
      <c r="AR292" s="39">
        <v>0</v>
      </c>
      <c r="AS292" s="39">
        <v>0</v>
      </c>
      <c r="AT292" s="39">
        <v>0</v>
      </c>
      <c r="AU292" s="39">
        <v>0</v>
      </c>
      <c r="AV292" s="39">
        <v>0</v>
      </c>
      <c r="AW292" s="39">
        <v>0</v>
      </c>
      <c r="AX292" s="39">
        <v>0</v>
      </c>
      <c r="AY292" s="39">
        <v>0</v>
      </c>
      <c r="AZ292" s="39">
        <v>0</v>
      </c>
      <c r="BB292" s="39">
        <v>0</v>
      </c>
      <c r="BC292" s="39">
        <v>0</v>
      </c>
      <c r="BD292" s="39">
        <v>0</v>
      </c>
      <c r="BE292" s="39">
        <v>0</v>
      </c>
      <c r="BF292" s="39">
        <v>0</v>
      </c>
      <c r="BG292" s="39">
        <v>0</v>
      </c>
      <c r="BH292" s="39">
        <v>0</v>
      </c>
      <c r="BI292" s="39">
        <v>0</v>
      </c>
      <c r="BJ292" s="39">
        <v>0</v>
      </c>
    </row>
    <row r="293" s="144" customFormat="1" ht="41.75" customHeight="1">
      <c r="B293" s="237"/>
      <c r="C293" s="237"/>
      <c r="E293" s="145" t="s">
        <v>942</v>
      </c>
      <c r="F293" s="144" t="s">
        <v>695</v>
      </c>
      <c r="G293" s="145" t="s">
        <v>498</v>
      </c>
      <c r="H293" s="320">
        <v>23045</v>
      </c>
      <c r="I293" s="320">
        <v>23100</v>
      </c>
      <c r="J293" s="145"/>
      <c r="L293" s="144" t="s">
        <v>447</v>
      </c>
      <c r="M293" s="144">
        <v>0</v>
      </c>
      <c r="N293" s="144">
        <v>0</v>
      </c>
      <c r="O293" s="144">
        <v>1</v>
      </c>
      <c r="P293" s="162">
        <v>1</v>
      </c>
      <c r="Q293" s="144">
        <v>1</v>
      </c>
      <c r="R293" s="144">
        <v>0</v>
      </c>
      <c r="S293" s="144">
        <v>0</v>
      </c>
      <c r="T293" s="162">
        <v>1</v>
      </c>
      <c r="U293" s="144">
        <v>0</v>
      </c>
      <c r="V293" s="144">
        <v>1</v>
      </c>
      <c r="W293" s="144">
        <v>0</v>
      </c>
      <c r="X293" s="144">
        <v>0</v>
      </c>
      <c r="Y293" s="144">
        <v>0</v>
      </c>
      <c r="Z293" s="144">
        <v>1</v>
      </c>
      <c r="AA293" s="144">
        <v>0</v>
      </c>
      <c r="AB293" s="144">
        <v>1</v>
      </c>
      <c r="AC293" s="144">
        <v>0</v>
      </c>
      <c r="AD293" s="144">
        <v>0</v>
      </c>
      <c r="AE293" s="144">
        <v>0</v>
      </c>
      <c r="AF293" s="144">
        <v>1</v>
      </c>
      <c r="AG293" s="144">
        <v>1</v>
      </c>
      <c r="AH293" s="144">
        <v>1</v>
      </c>
      <c r="AI293" s="144">
        <v>1</v>
      </c>
      <c r="AJ293" s="144">
        <v>1</v>
      </c>
      <c r="AK293" s="144">
        <v>0</v>
      </c>
      <c r="AL293" s="144">
        <v>1</v>
      </c>
      <c r="AM293" s="144">
        <v>1</v>
      </c>
      <c r="AN293" s="144">
        <v>0</v>
      </c>
      <c r="AO293" s="144">
        <v>0</v>
      </c>
      <c r="AP293" s="144">
        <v>1</v>
      </c>
      <c r="AQ293" s="144">
        <v>0</v>
      </c>
      <c r="AR293" s="144">
        <v>0</v>
      </c>
      <c r="AS293" s="144">
        <v>0</v>
      </c>
      <c r="AT293" s="144">
        <v>0</v>
      </c>
      <c r="AU293" s="144">
        <v>0</v>
      </c>
      <c r="AV293" s="144">
        <v>0</v>
      </c>
      <c r="AW293" s="144">
        <v>0</v>
      </c>
      <c r="AX293" s="144">
        <v>0</v>
      </c>
      <c r="AY293" s="144">
        <v>0</v>
      </c>
      <c r="AZ293" s="144">
        <v>0</v>
      </c>
      <c r="BB293" s="144">
        <v>0</v>
      </c>
      <c r="BC293" s="144">
        <v>0</v>
      </c>
      <c r="BD293" s="144">
        <v>0</v>
      </c>
      <c r="BE293" s="144">
        <v>0</v>
      </c>
      <c r="BF293" s="144">
        <v>0</v>
      </c>
      <c r="BG293" s="144">
        <v>0</v>
      </c>
      <c r="BH293" s="144">
        <v>0</v>
      </c>
      <c r="BI293" s="144">
        <v>0</v>
      </c>
      <c r="BJ293" s="144">
        <v>0</v>
      </c>
    </row>
    <row r="294" s="144" customFormat="1" ht="41.75" customHeight="1">
      <c r="A294" s="133" t="s">
        <v>481</v>
      </c>
      <c r="B294" s="316" t="s">
        <v>513</v>
      </c>
      <c r="C294" s="316" t="s">
        <v>240</v>
      </c>
      <c r="D294" s="316" t="s">
        <v>943</v>
      </c>
      <c r="E294" s="111" t="s">
        <v>944</v>
      </c>
      <c r="F294" s="39" t="s">
        <v>898</v>
      </c>
      <c r="G294" s="111" t="s">
        <v>498</v>
      </c>
      <c r="H294" s="313">
        <v>20466</v>
      </c>
      <c r="I294" s="313">
        <v>20485</v>
      </c>
      <c r="J294" s="145"/>
      <c r="K294" s="39">
        <v>6</v>
      </c>
      <c r="L294" s="39" t="s">
        <v>447</v>
      </c>
      <c r="M294" s="39">
        <v>0</v>
      </c>
      <c r="N294" s="39">
        <v>1</v>
      </c>
      <c r="O294" s="39">
        <v>0</v>
      </c>
      <c r="P294" s="142">
        <v>1</v>
      </c>
      <c r="Q294" s="39">
        <v>1</v>
      </c>
      <c r="R294" s="39">
        <v>0</v>
      </c>
      <c r="S294" s="39">
        <v>0</v>
      </c>
      <c r="T294" s="142">
        <v>1</v>
      </c>
      <c r="U294" s="39">
        <v>0</v>
      </c>
      <c r="V294" s="39">
        <v>1</v>
      </c>
      <c r="W294" s="39">
        <v>0</v>
      </c>
      <c r="X294" s="39">
        <v>0</v>
      </c>
      <c r="Y294" s="39">
        <v>1</v>
      </c>
      <c r="Z294" s="39">
        <v>0</v>
      </c>
      <c r="AA294" s="39">
        <v>0</v>
      </c>
      <c r="AB294" s="39">
        <v>1</v>
      </c>
      <c r="AC294" s="39">
        <v>0</v>
      </c>
      <c r="AD294" s="39">
        <v>0</v>
      </c>
      <c r="AE294" s="39">
        <v>1</v>
      </c>
      <c r="AF294" s="39">
        <v>1</v>
      </c>
      <c r="AG294" s="39">
        <v>1</v>
      </c>
      <c r="AH294" s="39">
        <v>1</v>
      </c>
      <c r="AI294" s="39">
        <v>1</v>
      </c>
      <c r="AJ294" s="39">
        <v>1</v>
      </c>
      <c r="AK294" s="39">
        <v>0</v>
      </c>
      <c r="AL294" s="39">
        <v>1</v>
      </c>
      <c r="AM294" s="39">
        <v>0</v>
      </c>
      <c r="AN294" s="39">
        <v>0</v>
      </c>
      <c r="AO294" s="39">
        <v>0</v>
      </c>
      <c r="AP294" s="39">
        <v>1</v>
      </c>
      <c r="AQ294" s="39">
        <v>0</v>
      </c>
      <c r="AR294" s="39">
        <v>0</v>
      </c>
      <c r="AS294" s="39">
        <v>0</v>
      </c>
      <c r="AT294" s="39">
        <v>0</v>
      </c>
      <c r="AU294" s="39">
        <v>0</v>
      </c>
      <c r="AV294" s="39">
        <v>0</v>
      </c>
      <c r="AW294" s="39">
        <v>0</v>
      </c>
      <c r="AX294" s="39">
        <v>0</v>
      </c>
      <c r="AY294" s="39">
        <v>0</v>
      </c>
      <c r="AZ294" s="39">
        <v>0</v>
      </c>
      <c r="BB294" s="39">
        <v>0</v>
      </c>
      <c r="BC294" s="39">
        <v>0</v>
      </c>
      <c r="BD294" s="39">
        <v>0</v>
      </c>
      <c r="BE294" s="39">
        <v>0</v>
      </c>
      <c r="BF294" s="39">
        <v>0</v>
      </c>
      <c r="BG294" s="39">
        <v>0</v>
      </c>
      <c r="BH294" s="39">
        <v>0</v>
      </c>
      <c r="BI294" s="39">
        <v>0</v>
      </c>
      <c r="BJ294" s="39">
        <v>0</v>
      </c>
    </row>
    <row r="295" ht="82" customHeight="1">
      <c r="B295" s="316"/>
      <c r="C295" s="316"/>
      <c r="D295" s="316"/>
      <c r="E295" s="111" t="s">
        <v>945</v>
      </c>
      <c r="F295" s="39" t="s">
        <v>946</v>
      </c>
      <c r="G295" s="111" t="s">
        <v>498</v>
      </c>
      <c r="H295" s="313">
        <v>20558</v>
      </c>
      <c r="I295" s="313">
        <v>20689</v>
      </c>
      <c r="L295" s="39" t="s">
        <v>447</v>
      </c>
      <c r="M295" s="39">
        <v>0</v>
      </c>
      <c r="N295" s="39">
        <v>1</v>
      </c>
      <c r="O295" s="39">
        <v>1</v>
      </c>
      <c r="P295" s="142">
        <v>1</v>
      </c>
      <c r="Q295" s="39">
        <v>0</v>
      </c>
      <c r="R295" s="39">
        <v>0</v>
      </c>
      <c r="S295" s="39">
        <v>0</v>
      </c>
      <c r="T295" s="142"/>
      <c r="U295" s="39">
        <v>0</v>
      </c>
      <c r="V295" s="39">
        <v>1</v>
      </c>
      <c r="W295" s="39">
        <v>0</v>
      </c>
      <c r="X295" s="39">
        <v>1</v>
      </c>
      <c r="Y295" s="39">
        <v>1</v>
      </c>
      <c r="Z295" s="39">
        <v>0</v>
      </c>
      <c r="AA295" s="39">
        <v>1</v>
      </c>
      <c r="AB295" s="39">
        <v>0</v>
      </c>
      <c r="AC295" s="39">
        <v>0</v>
      </c>
      <c r="AD295" s="39">
        <v>0</v>
      </c>
      <c r="AE295" s="39">
        <v>1</v>
      </c>
      <c r="AF295" s="39">
        <v>1</v>
      </c>
      <c r="AG295" s="39">
        <v>1</v>
      </c>
      <c r="AH295" s="39">
        <v>0</v>
      </c>
      <c r="AI295" s="39">
        <v>1</v>
      </c>
      <c r="AJ295" s="39">
        <v>0</v>
      </c>
      <c r="AK295" s="39">
        <v>0</v>
      </c>
      <c r="AL295" s="39">
        <v>1</v>
      </c>
      <c r="AM295" s="39">
        <v>0</v>
      </c>
      <c r="AN295" s="39">
        <v>0</v>
      </c>
      <c r="AO295" s="39">
        <v>0</v>
      </c>
      <c r="AP295" s="39">
        <v>1</v>
      </c>
      <c r="AQ295" s="39">
        <v>0</v>
      </c>
      <c r="AR295" s="39">
        <v>0</v>
      </c>
      <c r="AS295" s="39">
        <v>0</v>
      </c>
      <c r="AT295" s="39">
        <v>0</v>
      </c>
      <c r="AU295" s="39">
        <v>0</v>
      </c>
      <c r="AV295" s="39">
        <v>0</v>
      </c>
      <c r="AW295" s="39">
        <v>0</v>
      </c>
      <c r="AX295" s="39">
        <v>0</v>
      </c>
      <c r="AY295" s="39">
        <v>0</v>
      </c>
      <c r="AZ295" s="39">
        <v>0</v>
      </c>
      <c r="BB295" s="39">
        <v>0</v>
      </c>
      <c r="BC295" s="39">
        <v>0</v>
      </c>
      <c r="BD295" s="39">
        <v>0</v>
      </c>
      <c r="BE295" s="39">
        <v>0</v>
      </c>
      <c r="BF295" s="39">
        <v>0</v>
      </c>
      <c r="BG295" s="39">
        <v>0</v>
      </c>
      <c r="BH295" s="39">
        <v>0</v>
      </c>
      <c r="BI295" s="39">
        <v>0</v>
      </c>
      <c r="BJ295" s="39">
        <v>0</v>
      </c>
    </row>
    <row r="296" ht="41.75" customHeight="1">
      <c r="B296" s="316"/>
      <c r="C296" s="316"/>
      <c r="D296" s="316"/>
      <c r="E296" s="111" t="s">
        <v>947</v>
      </c>
      <c r="F296" s="39" t="s">
        <v>550</v>
      </c>
      <c r="G296" s="111" t="s">
        <v>498</v>
      </c>
      <c r="H296" s="313">
        <v>21000</v>
      </c>
      <c r="I296" s="313">
        <v>21030</v>
      </c>
      <c r="L296" s="39" t="s">
        <v>325</v>
      </c>
      <c r="M296" s="39">
        <v>0</v>
      </c>
      <c r="N296" s="39">
        <v>0</v>
      </c>
      <c r="O296" s="39">
        <v>0</v>
      </c>
      <c r="P296" s="142"/>
      <c r="Q296" s="39">
        <v>0</v>
      </c>
      <c r="R296" s="39">
        <v>0</v>
      </c>
      <c r="S296" s="39">
        <v>0</v>
      </c>
      <c r="T296" s="142"/>
      <c r="U296" s="39">
        <v>1</v>
      </c>
      <c r="V296" s="39">
        <v>0</v>
      </c>
      <c r="W296" s="39">
        <v>1</v>
      </c>
      <c r="X296" s="39">
        <v>0</v>
      </c>
      <c r="Y296" s="39">
        <v>1</v>
      </c>
      <c r="Z296" s="39">
        <v>0</v>
      </c>
      <c r="AA296" s="39">
        <v>0</v>
      </c>
      <c r="AB296" s="39">
        <v>0</v>
      </c>
      <c r="AC296" s="39">
        <v>0</v>
      </c>
      <c r="AD296" s="39">
        <v>1</v>
      </c>
      <c r="AE296" s="39">
        <v>1</v>
      </c>
      <c r="AF296" s="39">
        <v>1</v>
      </c>
      <c r="AG296" s="39">
        <v>1</v>
      </c>
      <c r="AH296" s="39">
        <v>0</v>
      </c>
      <c r="AI296" s="39">
        <v>1</v>
      </c>
      <c r="AJ296" s="39">
        <v>0</v>
      </c>
      <c r="AK296" s="39">
        <v>0</v>
      </c>
      <c r="AL296" s="39">
        <v>0</v>
      </c>
      <c r="AM296" s="39">
        <v>1</v>
      </c>
      <c r="AN296" s="39">
        <v>0</v>
      </c>
      <c r="AO296" s="39">
        <v>1</v>
      </c>
      <c r="AP296" s="39">
        <v>0</v>
      </c>
      <c r="AQ296" s="39">
        <v>1</v>
      </c>
      <c r="AR296" s="39">
        <v>0</v>
      </c>
      <c r="AS296" s="39">
        <v>0</v>
      </c>
      <c r="AT296" s="39">
        <v>0</v>
      </c>
      <c r="AU296" s="39">
        <v>0</v>
      </c>
      <c r="AV296" s="39">
        <v>0</v>
      </c>
      <c r="AW296" s="39">
        <v>0</v>
      </c>
      <c r="AX296" s="39">
        <v>0</v>
      </c>
      <c r="AY296" s="39">
        <v>0</v>
      </c>
      <c r="AZ296" s="39">
        <v>0</v>
      </c>
      <c r="BB296" s="39">
        <v>0</v>
      </c>
      <c r="BC296" s="39">
        <v>0</v>
      </c>
      <c r="BD296" s="39">
        <v>0</v>
      </c>
      <c r="BE296" s="39">
        <v>1</v>
      </c>
      <c r="BF296" s="39">
        <v>0</v>
      </c>
      <c r="BG296" s="39">
        <v>0</v>
      </c>
      <c r="BH296" s="39">
        <v>0</v>
      </c>
      <c r="BI296" s="39">
        <v>0</v>
      </c>
      <c r="BJ296" s="39">
        <v>0</v>
      </c>
    </row>
    <row r="297" ht="28.399999999999999" customHeight="1">
      <c r="B297" s="237"/>
      <c r="C297" s="316"/>
      <c r="D297" s="316"/>
      <c r="E297" s="111" t="s">
        <v>948</v>
      </c>
      <c r="F297" s="39" t="s">
        <v>546</v>
      </c>
      <c r="G297" s="145" t="s">
        <v>498</v>
      </c>
      <c r="H297" s="320">
        <v>21410</v>
      </c>
      <c r="I297" s="320">
        <v>21420</v>
      </c>
      <c r="L297" s="39" t="s">
        <v>325</v>
      </c>
      <c r="M297" s="39">
        <v>0</v>
      </c>
      <c r="N297" s="39">
        <v>0</v>
      </c>
      <c r="O297" s="39">
        <v>0</v>
      </c>
      <c r="P297" s="142"/>
      <c r="Q297" s="39">
        <v>0</v>
      </c>
      <c r="R297" s="39">
        <v>0</v>
      </c>
      <c r="S297" s="39">
        <v>0</v>
      </c>
      <c r="T297" s="142"/>
      <c r="U297" s="39">
        <v>1</v>
      </c>
      <c r="V297" s="39">
        <v>1</v>
      </c>
      <c r="W297" s="39">
        <v>0</v>
      </c>
      <c r="X297" s="39">
        <v>1</v>
      </c>
      <c r="Y297" s="39">
        <v>1</v>
      </c>
      <c r="Z297" s="39">
        <v>0</v>
      </c>
      <c r="AA297" s="39">
        <v>1</v>
      </c>
      <c r="AB297" s="39">
        <v>0</v>
      </c>
      <c r="AC297" s="39">
        <v>0</v>
      </c>
      <c r="AD297" s="39">
        <v>0</v>
      </c>
      <c r="AE297" s="39">
        <v>0</v>
      </c>
      <c r="AF297" s="39">
        <v>0</v>
      </c>
      <c r="AG297" s="39">
        <v>1</v>
      </c>
      <c r="AH297" s="39">
        <v>1</v>
      </c>
      <c r="AI297" s="39">
        <v>1</v>
      </c>
      <c r="AJ297" s="39">
        <v>0</v>
      </c>
      <c r="AK297" s="39">
        <v>0</v>
      </c>
      <c r="AL297" s="39">
        <v>0</v>
      </c>
      <c r="AM297" s="39">
        <v>0</v>
      </c>
      <c r="AN297" s="39">
        <v>1</v>
      </c>
      <c r="AO297" s="39">
        <v>0</v>
      </c>
      <c r="AP297" s="39">
        <v>1</v>
      </c>
      <c r="AQ297" s="39">
        <v>0</v>
      </c>
      <c r="AR297" s="39">
        <v>0</v>
      </c>
      <c r="AS297" s="39">
        <v>0</v>
      </c>
      <c r="AT297" s="39">
        <v>0</v>
      </c>
      <c r="AU297" s="39">
        <v>0</v>
      </c>
      <c r="AV297" s="39">
        <v>0</v>
      </c>
      <c r="AW297" s="39">
        <v>0</v>
      </c>
      <c r="AX297" s="39">
        <v>0</v>
      </c>
      <c r="AY297" s="39">
        <v>0</v>
      </c>
      <c r="AZ297" s="39">
        <v>0</v>
      </c>
      <c r="BB297" s="39">
        <v>0</v>
      </c>
      <c r="BC297" s="39">
        <v>0</v>
      </c>
      <c r="BD297" s="39">
        <v>0</v>
      </c>
      <c r="BE297" s="39">
        <v>0</v>
      </c>
      <c r="BF297" s="39">
        <v>0</v>
      </c>
      <c r="BG297" s="39">
        <v>0</v>
      </c>
      <c r="BH297" s="39">
        <v>0</v>
      </c>
      <c r="BI297" s="39">
        <v>0</v>
      </c>
      <c r="BJ297" s="39">
        <v>0</v>
      </c>
    </row>
    <row r="298" s="211" customFormat="1" ht="55.25" customHeight="1">
      <c r="B298" s="316" t="s">
        <v>513</v>
      </c>
      <c r="C298" s="356" t="s">
        <v>243</v>
      </c>
      <c r="D298" s="356" t="s">
        <v>17</v>
      </c>
      <c r="E298" s="359" t="s">
        <v>949</v>
      </c>
      <c r="F298" s="211" t="s">
        <v>544</v>
      </c>
      <c r="G298" s="358" t="s">
        <v>498</v>
      </c>
      <c r="H298" s="313">
        <v>14444</v>
      </c>
      <c r="I298" s="313">
        <v>14459</v>
      </c>
      <c r="J298" s="184"/>
      <c r="K298" s="211">
        <v>21</v>
      </c>
      <c r="L298" s="211" t="s">
        <v>325</v>
      </c>
      <c r="M298" s="211">
        <v>1</v>
      </c>
      <c r="N298" s="211">
        <v>0</v>
      </c>
      <c r="O298" s="211">
        <v>0</v>
      </c>
      <c r="P298" s="199"/>
      <c r="Q298" s="211">
        <v>0</v>
      </c>
      <c r="R298" s="211">
        <v>0</v>
      </c>
      <c r="S298" s="211">
        <v>0</v>
      </c>
      <c r="T298" s="199"/>
      <c r="U298" s="211">
        <v>0</v>
      </c>
      <c r="V298" s="211">
        <v>0</v>
      </c>
      <c r="W298" s="211">
        <v>1</v>
      </c>
      <c r="X298" s="211">
        <v>0</v>
      </c>
      <c r="Y298" s="211">
        <v>0</v>
      </c>
      <c r="Z298" s="211">
        <v>1</v>
      </c>
      <c r="AA298" s="211">
        <v>1</v>
      </c>
      <c r="AB298" s="211">
        <v>0</v>
      </c>
      <c r="AC298" s="211">
        <v>0</v>
      </c>
      <c r="AD298" s="211">
        <v>0</v>
      </c>
      <c r="AE298" s="211">
        <v>0</v>
      </c>
      <c r="AF298" s="211">
        <v>1</v>
      </c>
      <c r="AG298" s="211">
        <v>0</v>
      </c>
      <c r="AH298" s="211">
        <v>0</v>
      </c>
      <c r="AI298" s="211">
        <v>0</v>
      </c>
      <c r="AJ298" s="211">
        <v>0</v>
      </c>
      <c r="AK298" s="211">
        <v>0</v>
      </c>
      <c r="AL298" s="211">
        <v>1</v>
      </c>
      <c r="AM298" s="211">
        <v>0</v>
      </c>
      <c r="AN298" s="211">
        <v>0</v>
      </c>
      <c r="AO298" s="211">
        <v>1</v>
      </c>
      <c r="AP298" s="211">
        <v>0</v>
      </c>
      <c r="AQ298" s="211">
        <v>0</v>
      </c>
      <c r="AR298" s="211">
        <v>0</v>
      </c>
      <c r="AS298" s="211">
        <v>0</v>
      </c>
      <c r="AT298" s="211">
        <v>0</v>
      </c>
      <c r="AU298" s="211">
        <v>0</v>
      </c>
      <c r="AV298" s="211">
        <v>0</v>
      </c>
      <c r="AW298" s="211">
        <v>0</v>
      </c>
      <c r="AX298" s="211">
        <v>0</v>
      </c>
      <c r="AY298" s="211">
        <v>0</v>
      </c>
      <c r="AZ298" s="211">
        <v>0</v>
      </c>
      <c r="BB298" s="211">
        <v>0</v>
      </c>
      <c r="BC298" s="211">
        <v>0</v>
      </c>
      <c r="BD298" s="211">
        <v>0</v>
      </c>
      <c r="BE298" s="211">
        <v>0</v>
      </c>
      <c r="BF298" s="211">
        <v>0</v>
      </c>
      <c r="BG298" s="211">
        <v>0</v>
      </c>
      <c r="BH298" s="211">
        <v>0</v>
      </c>
      <c r="BI298" s="211">
        <v>0</v>
      </c>
      <c r="BJ298" s="211">
        <v>0</v>
      </c>
    </row>
    <row r="299" ht="55.25" customHeight="1">
      <c r="B299" s="316"/>
      <c r="C299" s="316"/>
      <c r="D299" s="316"/>
      <c r="E299" s="111" t="s">
        <v>950</v>
      </c>
      <c r="F299" s="39" t="s">
        <v>539</v>
      </c>
      <c r="G299" s="111" t="s">
        <v>498</v>
      </c>
      <c r="H299" s="313">
        <v>14504</v>
      </c>
      <c r="I299" s="313">
        <v>14532</v>
      </c>
      <c r="L299" s="39" t="s">
        <v>325</v>
      </c>
      <c r="M299" s="39">
        <v>0</v>
      </c>
      <c r="N299" s="39">
        <v>0</v>
      </c>
      <c r="O299" s="39">
        <v>0</v>
      </c>
      <c r="P299" s="142"/>
      <c r="Q299" s="39">
        <v>0</v>
      </c>
      <c r="R299" s="39">
        <v>0</v>
      </c>
      <c r="S299" s="39">
        <v>0</v>
      </c>
      <c r="T299" s="142"/>
      <c r="U299" s="39">
        <v>1</v>
      </c>
      <c r="V299" s="39">
        <v>1</v>
      </c>
      <c r="W299" s="39">
        <v>0</v>
      </c>
      <c r="X299" s="39">
        <v>0</v>
      </c>
      <c r="Y299" s="39">
        <v>1</v>
      </c>
      <c r="Z299" s="39">
        <v>0</v>
      </c>
      <c r="AA299" s="39">
        <v>0</v>
      </c>
      <c r="AB299" s="39">
        <v>0</v>
      </c>
      <c r="AC299" s="39">
        <v>0</v>
      </c>
      <c r="AD299" s="39">
        <v>1</v>
      </c>
      <c r="AE299" s="39">
        <v>1</v>
      </c>
      <c r="AF299" s="39">
        <v>1</v>
      </c>
      <c r="AG299" s="39">
        <v>0</v>
      </c>
      <c r="AH299" s="39">
        <v>0</v>
      </c>
      <c r="AI299" s="39">
        <v>0</v>
      </c>
      <c r="AJ299" s="39">
        <v>0</v>
      </c>
      <c r="AK299" s="39">
        <v>0</v>
      </c>
      <c r="AL299" s="39">
        <v>1</v>
      </c>
      <c r="AM299" s="39">
        <v>1</v>
      </c>
      <c r="AN299" s="39">
        <v>0</v>
      </c>
      <c r="AO299" s="39">
        <v>0</v>
      </c>
      <c r="AP299" s="39">
        <v>1</v>
      </c>
      <c r="AQ299" s="39">
        <v>0</v>
      </c>
      <c r="AR299" s="39">
        <v>0</v>
      </c>
      <c r="AS299" s="39">
        <v>0</v>
      </c>
      <c r="AT299" s="39">
        <v>0</v>
      </c>
      <c r="AU299" s="39">
        <v>0</v>
      </c>
      <c r="AV299" s="39">
        <v>0</v>
      </c>
      <c r="AW299" s="39">
        <v>0</v>
      </c>
      <c r="AX299" s="39">
        <v>0</v>
      </c>
      <c r="AY299" s="39">
        <v>0</v>
      </c>
      <c r="AZ299" s="39">
        <v>0</v>
      </c>
      <c r="BB299" s="39">
        <v>0</v>
      </c>
      <c r="BC299" s="39">
        <v>0</v>
      </c>
      <c r="BD299" s="39">
        <v>0</v>
      </c>
      <c r="BE299" s="39">
        <v>0</v>
      </c>
      <c r="BF299" s="39">
        <v>0</v>
      </c>
      <c r="BG299" s="39">
        <v>0</v>
      </c>
      <c r="BH299" s="39">
        <v>0</v>
      </c>
      <c r="BI299" s="39">
        <v>0</v>
      </c>
      <c r="BJ299" s="39">
        <v>0</v>
      </c>
    </row>
    <row r="300" ht="28.399999999999999" customHeight="1">
      <c r="B300" s="316"/>
      <c r="C300" s="316"/>
      <c r="D300" s="316"/>
      <c r="E300" s="111" t="s">
        <v>951</v>
      </c>
      <c r="F300" s="39" t="s">
        <v>550</v>
      </c>
      <c r="G300" s="111" t="s">
        <v>498</v>
      </c>
      <c r="H300" s="313">
        <v>14612</v>
      </c>
      <c r="I300" s="313">
        <v>14642</v>
      </c>
      <c r="L300" s="39" t="s">
        <v>325</v>
      </c>
      <c r="M300" s="39">
        <v>0</v>
      </c>
      <c r="N300" s="39">
        <v>1</v>
      </c>
      <c r="O300" s="39">
        <v>0</v>
      </c>
      <c r="P300" s="142"/>
      <c r="Q300" s="39">
        <v>0</v>
      </c>
      <c r="R300" s="39">
        <v>0</v>
      </c>
      <c r="S300" s="39">
        <v>0</v>
      </c>
      <c r="T300" s="142"/>
      <c r="U300" s="39">
        <v>0</v>
      </c>
      <c r="V300" s="39">
        <v>1</v>
      </c>
      <c r="W300" s="39">
        <v>0</v>
      </c>
      <c r="X300" s="39">
        <v>0</v>
      </c>
      <c r="Y300" s="39">
        <v>0</v>
      </c>
      <c r="Z300" s="39">
        <v>1</v>
      </c>
      <c r="AA300" s="39">
        <v>1</v>
      </c>
      <c r="AB300" s="39">
        <v>0</v>
      </c>
      <c r="AC300" s="39">
        <v>0</v>
      </c>
      <c r="AD300" s="39">
        <v>0</v>
      </c>
      <c r="AE300" s="39">
        <v>1</v>
      </c>
      <c r="AF300" s="39">
        <v>1</v>
      </c>
      <c r="AG300" s="39">
        <v>1</v>
      </c>
      <c r="AH300" s="39">
        <v>0</v>
      </c>
      <c r="AI300" s="39">
        <v>1</v>
      </c>
      <c r="AJ300" s="39">
        <v>0</v>
      </c>
      <c r="AK300" s="39">
        <v>0</v>
      </c>
      <c r="AL300" s="39">
        <v>1</v>
      </c>
      <c r="AM300" s="39">
        <v>0</v>
      </c>
      <c r="AN300" s="39">
        <v>0</v>
      </c>
      <c r="AO300" s="39">
        <v>0</v>
      </c>
      <c r="AP300" s="39">
        <v>1</v>
      </c>
      <c r="AQ300" s="39">
        <v>0</v>
      </c>
      <c r="AR300" s="39">
        <v>0</v>
      </c>
      <c r="AS300" s="39">
        <v>0</v>
      </c>
      <c r="AT300" s="39">
        <v>0</v>
      </c>
      <c r="AU300" s="39">
        <v>0</v>
      </c>
      <c r="AV300" s="39">
        <v>0</v>
      </c>
      <c r="AW300" s="39">
        <v>0</v>
      </c>
      <c r="AX300" s="39">
        <v>0</v>
      </c>
      <c r="AY300" s="39">
        <v>0</v>
      </c>
      <c r="AZ300" s="39">
        <v>0</v>
      </c>
      <c r="BB300" s="39">
        <v>0</v>
      </c>
      <c r="BC300" s="39">
        <v>0</v>
      </c>
      <c r="BD300" s="39">
        <v>0</v>
      </c>
      <c r="BE300" s="39">
        <v>0</v>
      </c>
      <c r="BF300" s="39">
        <v>0</v>
      </c>
      <c r="BG300" s="39">
        <v>0</v>
      </c>
      <c r="BH300" s="39">
        <v>0</v>
      </c>
      <c r="BI300" s="39">
        <v>0</v>
      </c>
      <c r="BJ300" s="39">
        <v>0</v>
      </c>
    </row>
    <row r="301" ht="28.399999999999999" customHeight="1">
      <c r="B301" s="316"/>
      <c r="C301" s="316"/>
      <c r="D301" s="316"/>
      <c r="E301" s="111" t="s">
        <v>952</v>
      </c>
      <c r="F301" s="39" t="s">
        <v>562</v>
      </c>
      <c r="G301" s="111" t="s">
        <v>498</v>
      </c>
      <c r="H301" s="313">
        <v>14657</v>
      </c>
      <c r="I301" s="313">
        <v>14692</v>
      </c>
      <c r="L301" s="39" t="s">
        <v>325</v>
      </c>
      <c r="M301" s="39">
        <v>1</v>
      </c>
      <c r="N301" s="39">
        <v>0</v>
      </c>
      <c r="O301" s="39">
        <v>0</v>
      </c>
      <c r="P301" s="142"/>
      <c r="Q301" s="39">
        <v>0</v>
      </c>
      <c r="R301" s="39">
        <v>0</v>
      </c>
      <c r="S301" s="39">
        <v>0</v>
      </c>
      <c r="T301" s="142"/>
      <c r="U301" s="39">
        <v>0</v>
      </c>
      <c r="V301" s="39">
        <v>1</v>
      </c>
      <c r="W301" s="39">
        <v>0</v>
      </c>
      <c r="X301" s="39">
        <v>1</v>
      </c>
      <c r="Y301" s="39">
        <v>0</v>
      </c>
      <c r="Z301" s="39">
        <v>1</v>
      </c>
      <c r="AA301" s="39">
        <v>1</v>
      </c>
      <c r="AB301" s="39">
        <v>0</v>
      </c>
      <c r="AC301" s="39">
        <v>0</v>
      </c>
      <c r="AD301" s="39">
        <v>0</v>
      </c>
      <c r="AE301" s="39">
        <v>0</v>
      </c>
      <c r="AF301" s="39">
        <v>1</v>
      </c>
      <c r="AG301" s="39">
        <v>1</v>
      </c>
      <c r="AH301" s="39">
        <v>1</v>
      </c>
      <c r="AI301" s="39">
        <v>0</v>
      </c>
      <c r="AJ301" s="39">
        <v>0</v>
      </c>
      <c r="AK301" s="39">
        <v>0</v>
      </c>
      <c r="AL301" s="39">
        <v>1</v>
      </c>
      <c r="AM301" s="39">
        <v>0</v>
      </c>
      <c r="AN301" s="39">
        <v>0</v>
      </c>
      <c r="AO301" s="39">
        <v>0</v>
      </c>
      <c r="AP301" s="39">
        <v>1</v>
      </c>
      <c r="AQ301" s="39">
        <v>0</v>
      </c>
      <c r="AR301" s="39">
        <v>0</v>
      </c>
      <c r="AS301" s="39">
        <v>0</v>
      </c>
      <c r="AT301" s="39">
        <v>0</v>
      </c>
      <c r="AU301" s="39">
        <v>0</v>
      </c>
      <c r="AV301" s="39">
        <v>0</v>
      </c>
      <c r="AW301" s="39">
        <v>0</v>
      </c>
      <c r="AX301" s="39">
        <v>0</v>
      </c>
      <c r="AY301" s="39">
        <v>0</v>
      </c>
      <c r="AZ301" s="39">
        <v>0</v>
      </c>
      <c r="BB301" s="39">
        <v>0</v>
      </c>
      <c r="BC301" s="39">
        <v>0</v>
      </c>
      <c r="BD301" s="39">
        <v>0</v>
      </c>
      <c r="BE301" s="39">
        <v>0</v>
      </c>
      <c r="BF301" s="39">
        <v>0</v>
      </c>
      <c r="BG301" s="39">
        <v>0</v>
      </c>
      <c r="BH301" s="39">
        <v>0</v>
      </c>
      <c r="BI301" s="39">
        <v>0</v>
      </c>
      <c r="BJ301" s="39">
        <v>0</v>
      </c>
    </row>
    <row r="302" ht="28.399999999999999" customHeight="1">
      <c r="B302" s="316"/>
      <c r="C302" s="316"/>
      <c r="D302" s="316"/>
      <c r="E302" s="111" t="s">
        <v>953</v>
      </c>
      <c r="F302" s="39" t="s">
        <v>502</v>
      </c>
      <c r="G302" s="111" t="s">
        <v>498</v>
      </c>
      <c r="H302" s="313">
        <v>14855</v>
      </c>
      <c r="I302" s="313">
        <v>14872</v>
      </c>
      <c r="L302" s="39" t="s">
        <v>325</v>
      </c>
      <c r="M302" s="39">
        <v>0</v>
      </c>
      <c r="N302" s="39">
        <v>0</v>
      </c>
      <c r="O302" s="39">
        <v>0</v>
      </c>
      <c r="P302" s="142"/>
      <c r="Q302" s="39">
        <v>0</v>
      </c>
      <c r="R302" s="39">
        <v>0</v>
      </c>
      <c r="S302" s="39">
        <v>0</v>
      </c>
      <c r="T302" s="142"/>
      <c r="U302" s="39">
        <v>1</v>
      </c>
      <c r="V302" s="39">
        <v>1</v>
      </c>
      <c r="W302" s="39">
        <v>0</v>
      </c>
      <c r="X302" s="39">
        <v>0</v>
      </c>
      <c r="Y302" s="39">
        <v>1</v>
      </c>
      <c r="Z302" s="39">
        <v>0</v>
      </c>
      <c r="AA302" s="39">
        <v>1</v>
      </c>
      <c r="AB302" s="39">
        <v>0</v>
      </c>
      <c r="AC302" s="39">
        <v>0</v>
      </c>
      <c r="AD302" s="39">
        <v>0</v>
      </c>
      <c r="AE302" s="39">
        <v>1</v>
      </c>
      <c r="AF302" s="39">
        <v>1</v>
      </c>
      <c r="AG302" s="39">
        <v>1</v>
      </c>
      <c r="AH302" s="39">
        <v>1</v>
      </c>
      <c r="AI302" s="39">
        <v>1</v>
      </c>
      <c r="AJ302" s="39">
        <v>0</v>
      </c>
      <c r="AK302" s="39">
        <v>0</v>
      </c>
      <c r="AL302" s="39">
        <v>1</v>
      </c>
      <c r="AM302" s="39">
        <v>1</v>
      </c>
      <c r="AN302" s="39">
        <v>0</v>
      </c>
      <c r="AO302" s="39">
        <v>0</v>
      </c>
      <c r="AP302" s="39">
        <v>1</v>
      </c>
      <c r="AQ302" s="39">
        <v>0</v>
      </c>
      <c r="AR302" s="39">
        <v>0</v>
      </c>
      <c r="AS302" s="39">
        <v>0</v>
      </c>
      <c r="AT302" s="39">
        <v>0</v>
      </c>
      <c r="AU302" s="39">
        <v>0</v>
      </c>
      <c r="AV302" s="39">
        <v>0</v>
      </c>
      <c r="AW302" s="39">
        <v>0</v>
      </c>
      <c r="AX302" s="39">
        <v>0</v>
      </c>
      <c r="AY302" s="39">
        <v>0</v>
      </c>
      <c r="AZ302" s="39">
        <v>0</v>
      </c>
      <c r="BB302" s="39">
        <v>0</v>
      </c>
      <c r="BC302" s="39">
        <v>0</v>
      </c>
      <c r="BD302" s="39">
        <v>0</v>
      </c>
      <c r="BE302" s="39">
        <v>0</v>
      </c>
      <c r="BF302" s="39">
        <v>0</v>
      </c>
      <c r="BG302" s="39">
        <v>0</v>
      </c>
      <c r="BH302" s="39">
        <v>0</v>
      </c>
      <c r="BI302" s="39">
        <v>0</v>
      </c>
      <c r="BJ302" s="39">
        <v>0</v>
      </c>
    </row>
    <row r="303" ht="28.399999999999999" customHeight="1">
      <c r="B303" s="316"/>
      <c r="C303" s="316"/>
      <c r="D303" s="316"/>
      <c r="E303" s="111" t="s">
        <v>954</v>
      </c>
      <c r="F303" s="39" t="s">
        <v>646</v>
      </c>
      <c r="G303" s="111" t="s">
        <v>498</v>
      </c>
      <c r="H303" s="313">
        <v>19720</v>
      </c>
      <c r="I303" s="313">
        <v>19736</v>
      </c>
      <c r="L303" s="39" t="s">
        <v>325</v>
      </c>
      <c r="M303" s="39">
        <v>0</v>
      </c>
      <c r="N303" s="39">
        <v>0</v>
      </c>
      <c r="O303" s="39">
        <v>0</v>
      </c>
      <c r="P303" s="142"/>
      <c r="Q303" s="39">
        <v>0</v>
      </c>
      <c r="R303" s="39">
        <v>0</v>
      </c>
      <c r="S303" s="39">
        <v>0</v>
      </c>
      <c r="T303" s="142"/>
      <c r="U303" s="39">
        <v>1</v>
      </c>
      <c r="V303" s="39">
        <v>0</v>
      </c>
      <c r="W303" s="39">
        <v>1</v>
      </c>
      <c r="X303" s="39">
        <v>1</v>
      </c>
      <c r="Y303" s="39">
        <v>0</v>
      </c>
      <c r="Z303" s="39">
        <v>1</v>
      </c>
      <c r="AA303" s="39">
        <v>0</v>
      </c>
      <c r="AB303" s="39">
        <v>0</v>
      </c>
      <c r="AC303" s="39">
        <v>0</v>
      </c>
      <c r="AD303" s="39">
        <v>1</v>
      </c>
      <c r="AE303" s="39">
        <v>0</v>
      </c>
      <c r="AF303" s="39">
        <v>1</v>
      </c>
      <c r="AG303" s="39">
        <v>0</v>
      </c>
      <c r="AH303" s="39">
        <v>0</v>
      </c>
      <c r="AI303" s="39">
        <v>0</v>
      </c>
      <c r="AJ303" s="39">
        <v>0</v>
      </c>
      <c r="AK303" s="39">
        <v>0</v>
      </c>
      <c r="AL303" s="39">
        <v>1</v>
      </c>
      <c r="AM303" s="39">
        <v>0</v>
      </c>
      <c r="AN303" s="39">
        <v>0</v>
      </c>
      <c r="AO303" s="39">
        <v>1</v>
      </c>
      <c r="AP303" s="39">
        <v>0</v>
      </c>
      <c r="AQ303" s="39">
        <v>0</v>
      </c>
      <c r="AR303" s="39">
        <v>0</v>
      </c>
      <c r="AS303" s="39">
        <v>0</v>
      </c>
      <c r="AT303" s="39">
        <v>0</v>
      </c>
      <c r="AU303" s="39">
        <v>0</v>
      </c>
      <c r="AV303" s="39">
        <v>0</v>
      </c>
      <c r="AW303" s="39">
        <v>0</v>
      </c>
      <c r="AX303" s="39">
        <v>0</v>
      </c>
      <c r="AY303" s="39">
        <v>0</v>
      </c>
      <c r="AZ303" s="39">
        <v>0</v>
      </c>
      <c r="BB303" s="39">
        <v>0</v>
      </c>
      <c r="BC303" s="39">
        <v>0</v>
      </c>
      <c r="BD303" s="39">
        <v>0</v>
      </c>
      <c r="BE303" s="39">
        <v>0</v>
      </c>
      <c r="BF303" s="39">
        <v>0</v>
      </c>
      <c r="BG303" s="39">
        <v>0</v>
      </c>
      <c r="BH303" s="39">
        <v>0</v>
      </c>
      <c r="BI303" s="39">
        <v>0</v>
      </c>
      <c r="BJ303" s="39">
        <v>0</v>
      </c>
    </row>
    <row r="304" ht="28.399999999999999" customHeight="1">
      <c r="B304" s="316"/>
      <c r="C304" s="316"/>
      <c r="D304" s="316"/>
      <c r="E304" s="111" t="s">
        <v>955</v>
      </c>
      <c r="F304" s="39" t="s">
        <v>754</v>
      </c>
      <c r="G304" s="111" t="s">
        <v>498</v>
      </c>
      <c r="H304" s="313">
        <v>19757</v>
      </c>
      <c r="I304" s="313">
        <v>19801</v>
      </c>
      <c r="L304" s="39" t="s">
        <v>325</v>
      </c>
      <c r="M304" s="39">
        <v>1</v>
      </c>
      <c r="N304" s="39">
        <v>1</v>
      </c>
      <c r="O304" s="39">
        <v>0</v>
      </c>
      <c r="P304" s="142"/>
      <c r="Q304" s="39">
        <v>0</v>
      </c>
      <c r="R304" s="39">
        <v>0</v>
      </c>
      <c r="S304" s="39">
        <v>0</v>
      </c>
      <c r="T304" s="142"/>
      <c r="U304" s="39">
        <v>0</v>
      </c>
      <c r="V304" s="39">
        <v>1</v>
      </c>
      <c r="W304" s="39">
        <v>0</v>
      </c>
      <c r="X304" s="39">
        <v>0</v>
      </c>
      <c r="Y304" s="39">
        <v>0</v>
      </c>
      <c r="Z304" s="39">
        <v>1</v>
      </c>
      <c r="AA304" s="39">
        <v>1</v>
      </c>
      <c r="AB304" s="39">
        <v>0</v>
      </c>
      <c r="AC304" s="39">
        <v>0</v>
      </c>
      <c r="AD304" s="39">
        <v>0</v>
      </c>
      <c r="AE304" s="39">
        <v>0</v>
      </c>
      <c r="AF304" s="39">
        <v>1</v>
      </c>
      <c r="AG304" s="39">
        <v>1</v>
      </c>
      <c r="AH304" s="39">
        <v>1</v>
      </c>
      <c r="AI304" s="39">
        <v>1</v>
      </c>
      <c r="AJ304" s="39">
        <v>0</v>
      </c>
      <c r="AK304" s="39">
        <v>0</v>
      </c>
      <c r="AL304" s="39">
        <v>1</v>
      </c>
      <c r="AM304" s="39">
        <v>0</v>
      </c>
      <c r="AN304" s="39">
        <v>0</v>
      </c>
      <c r="AO304" s="39">
        <v>0</v>
      </c>
      <c r="AP304" s="39">
        <v>1</v>
      </c>
      <c r="AQ304" s="39">
        <v>0</v>
      </c>
      <c r="AR304" s="39">
        <v>0</v>
      </c>
      <c r="AS304" s="39">
        <v>0</v>
      </c>
      <c r="AT304" s="39">
        <v>0</v>
      </c>
      <c r="AU304" s="39">
        <v>0</v>
      </c>
      <c r="AV304" s="39">
        <v>0</v>
      </c>
      <c r="AW304" s="39">
        <v>0</v>
      </c>
      <c r="AX304" s="39">
        <v>0</v>
      </c>
      <c r="AY304" s="39">
        <v>0</v>
      </c>
      <c r="AZ304" s="39">
        <v>0</v>
      </c>
      <c r="BB304" s="39">
        <v>0</v>
      </c>
      <c r="BC304" s="39">
        <v>0</v>
      </c>
      <c r="BD304" s="39">
        <v>0</v>
      </c>
      <c r="BE304" s="39">
        <v>0</v>
      </c>
      <c r="BF304" s="39">
        <v>0</v>
      </c>
      <c r="BG304" s="39">
        <v>0</v>
      </c>
      <c r="BH304" s="39">
        <v>0</v>
      </c>
      <c r="BI304" s="39">
        <v>0</v>
      </c>
      <c r="BJ304" s="39">
        <v>0</v>
      </c>
    </row>
    <row r="305" ht="28.399999999999999" customHeight="1">
      <c r="B305" s="316"/>
      <c r="C305" s="316"/>
      <c r="D305" s="316"/>
      <c r="E305" s="111" t="s">
        <v>956</v>
      </c>
      <c r="F305" s="39" t="s">
        <v>930</v>
      </c>
      <c r="G305" s="111" t="s">
        <v>498</v>
      </c>
      <c r="H305" s="313">
        <v>20112</v>
      </c>
      <c r="I305" s="313">
        <v>20161</v>
      </c>
      <c r="L305" s="39" t="s">
        <v>325</v>
      </c>
      <c r="M305" s="39">
        <v>1</v>
      </c>
      <c r="N305" s="39">
        <v>0</v>
      </c>
      <c r="O305" s="39">
        <v>0</v>
      </c>
      <c r="P305" s="142"/>
      <c r="Q305" s="39">
        <v>0</v>
      </c>
      <c r="R305" s="39">
        <v>0</v>
      </c>
      <c r="S305" s="39">
        <v>0</v>
      </c>
      <c r="T305" s="142"/>
      <c r="U305" s="39">
        <v>0</v>
      </c>
      <c r="V305" s="39">
        <v>0</v>
      </c>
      <c r="W305" s="39">
        <v>1</v>
      </c>
      <c r="X305" s="39">
        <v>1</v>
      </c>
      <c r="Y305" s="39">
        <v>0</v>
      </c>
      <c r="Z305" s="39">
        <v>1</v>
      </c>
      <c r="AA305" s="39">
        <v>1</v>
      </c>
      <c r="AB305" s="39">
        <v>0</v>
      </c>
      <c r="AC305" s="39">
        <v>0</v>
      </c>
      <c r="AD305" s="39">
        <v>0</v>
      </c>
      <c r="AE305" s="39">
        <v>1</v>
      </c>
      <c r="AF305" s="39">
        <v>1</v>
      </c>
      <c r="AG305" s="39">
        <v>0</v>
      </c>
      <c r="AH305" s="39">
        <v>0</v>
      </c>
      <c r="AI305" s="39">
        <v>0</v>
      </c>
      <c r="AJ305" s="39">
        <v>0</v>
      </c>
      <c r="AK305" s="39">
        <v>0</v>
      </c>
      <c r="AL305" s="39">
        <v>1</v>
      </c>
      <c r="AM305" s="39">
        <v>0</v>
      </c>
      <c r="AN305" s="39">
        <v>1</v>
      </c>
      <c r="AO305" s="39">
        <v>0</v>
      </c>
      <c r="AP305" s="39">
        <v>1</v>
      </c>
      <c r="AQ305" s="39">
        <v>0</v>
      </c>
      <c r="AR305" s="39">
        <v>0</v>
      </c>
      <c r="AS305" s="39">
        <v>0</v>
      </c>
      <c r="AT305" s="39">
        <v>0</v>
      </c>
      <c r="AU305" s="39">
        <v>0</v>
      </c>
      <c r="AV305" s="39">
        <v>0</v>
      </c>
      <c r="AW305" s="39">
        <v>0</v>
      </c>
      <c r="AX305" s="39">
        <v>0</v>
      </c>
      <c r="AY305" s="39">
        <v>0</v>
      </c>
      <c r="AZ305" s="39">
        <v>0</v>
      </c>
      <c r="BB305" s="39">
        <v>0</v>
      </c>
      <c r="BC305" s="39">
        <v>0</v>
      </c>
      <c r="BD305" s="39">
        <v>0</v>
      </c>
      <c r="BE305" s="39">
        <v>0</v>
      </c>
      <c r="BF305" s="39">
        <v>0</v>
      </c>
      <c r="BG305" s="39">
        <v>0</v>
      </c>
      <c r="BH305" s="39">
        <v>0</v>
      </c>
      <c r="BI305" s="39">
        <v>0</v>
      </c>
      <c r="BJ305" s="39">
        <v>0</v>
      </c>
    </row>
    <row r="306" ht="14.25" customHeight="1">
      <c r="B306" s="316"/>
      <c r="C306" s="316"/>
      <c r="D306" s="316"/>
      <c r="E306" s="111" t="s">
        <v>957</v>
      </c>
      <c r="F306" s="39" t="s">
        <v>562</v>
      </c>
      <c r="G306" s="111" t="s">
        <v>498</v>
      </c>
      <c r="H306" s="313">
        <v>20226</v>
      </c>
      <c r="I306" s="313">
        <v>20261</v>
      </c>
      <c r="L306" s="39" t="s">
        <v>325</v>
      </c>
      <c r="M306" s="39">
        <v>0</v>
      </c>
      <c r="N306" s="39">
        <v>0</v>
      </c>
      <c r="O306" s="39">
        <v>0</v>
      </c>
      <c r="P306" s="142"/>
      <c r="Q306" s="39">
        <v>0</v>
      </c>
      <c r="R306" s="39">
        <v>0</v>
      </c>
      <c r="S306" s="39">
        <v>0</v>
      </c>
      <c r="T306" s="142"/>
      <c r="U306" s="39">
        <v>1</v>
      </c>
      <c r="V306" s="39">
        <v>0</v>
      </c>
      <c r="W306" s="39">
        <v>1</v>
      </c>
      <c r="X306" s="39">
        <v>1</v>
      </c>
      <c r="Y306" s="39">
        <v>0</v>
      </c>
      <c r="Z306" s="39">
        <v>1</v>
      </c>
      <c r="AA306" s="39">
        <v>1</v>
      </c>
      <c r="AB306" s="39">
        <v>0</v>
      </c>
      <c r="AC306" s="39">
        <v>0</v>
      </c>
      <c r="AD306" s="39">
        <v>0</v>
      </c>
      <c r="AE306" s="39">
        <v>1</v>
      </c>
      <c r="AF306" s="39">
        <v>1</v>
      </c>
      <c r="AG306" s="39">
        <v>0</v>
      </c>
      <c r="AH306" s="39">
        <v>0</v>
      </c>
      <c r="AI306" s="39">
        <v>0</v>
      </c>
      <c r="AJ306" s="39">
        <v>0</v>
      </c>
      <c r="AK306" s="39">
        <v>0</v>
      </c>
      <c r="AL306" s="39">
        <v>1</v>
      </c>
      <c r="AM306" s="39">
        <v>0</v>
      </c>
      <c r="AN306" s="39">
        <v>1</v>
      </c>
      <c r="AO306" s="39">
        <v>1</v>
      </c>
      <c r="AP306" s="39">
        <v>0</v>
      </c>
      <c r="AQ306" s="39">
        <v>0</v>
      </c>
      <c r="AR306" s="39">
        <v>0</v>
      </c>
      <c r="AS306" s="39">
        <v>0</v>
      </c>
      <c r="AT306" s="39">
        <v>0</v>
      </c>
      <c r="AU306" s="39">
        <v>0</v>
      </c>
      <c r="AV306" s="39">
        <v>0</v>
      </c>
      <c r="AW306" s="39">
        <v>0</v>
      </c>
      <c r="AX306" s="39">
        <v>0</v>
      </c>
      <c r="AY306" s="39">
        <v>0</v>
      </c>
      <c r="AZ306" s="39">
        <v>0</v>
      </c>
      <c r="BB306" s="39">
        <v>0</v>
      </c>
      <c r="BC306" s="39">
        <v>0</v>
      </c>
      <c r="BD306" s="39">
        <v>0</v>
      </c>
      <c r="BE306" s="39">
        <v>0</v>
      </c>
      <c r="BF306" s="39">
        <v>0</v>
      </c>
      <c r="BG306" s="39">
        <v>0</v>
      </c>
      <c r="BH306" s="39">
        <v>0</v>
      </c>
      <c r="BI306" s="39">
        <v>0</v>
      </c>
      <c r="BJ306" s="39">
        <v>0</v>
      </c>
    </row>
    <row r="307" ht="14.25" customHeight="1">
      <c r="B307" s="316"/>
      <c r="C307" s="316"/>
      <c r="D307" s="316"/>
      <c r="E307" s="111" t="s">
        <v>958</v>
      </c>
      <c r="F307" s="39" t="s">
        <v>608</v>
      </c>
      <c r="G307" s="111" t="s">
        <v>498</v>
      </c>
      <c r="H307" s="313">
        <v>20286</v>
      </c>
      <c r="I307" s="313">
        <v>20298</v>
      </c>
      <c r="L307" s="39" t="s">
        <v>325</v>
      </c>
      <c r="M307" s="39">
        <v>0</v>
      </c>
      <c r="N307" s="39">
        <v>1</v>
      </c>
      <c r="O307" s="39">
        <v>0</v>
      </c>
      <c r="P307" s="142"/>
      <c r="Q307" s="39">
        <v>0</v>
      </c>
      <c r="R307" s="39">
        <v>0</v>
      </c>
      <c r="S307" s="39">
        <v>0</v>
      </c>
      <c r="T307" s="142"/>
      <c r="U307" s="39">
        <v>0</v>
      </c>
      <c r="V307" s="39">
        <v>0</v>
      </c>
      <c r="W307" s="39">
        <v>1</v>
      </c>
      <c r="X307" s="39">
        <v>1</v>
      </c>
      <c r="Y307" s="39">
        <v>1</v>
      </c>
      <c r="Z307" s="39">
        <v>0</v>
      </c>
      <c r="AA307" s="39">
        <v>1</v>
      </c>
      <c r="AB307" s="39">
        <v>0</v>
      </c>
      <c r="AC307" s="39">
        <v>0</v>
      </c>
      <c r="AD307" s="39">
        <v>0</v>
      </c>
      <c r="AE307" s="39">
        <v>1</v>
      </c>
      <c r="AF307" s="39">
        <v>1</v>
      </c>
      <c r="AG307" s="39">
        <v>1</v>
      </c>
      <c r="AH307" s="39">
        <v>1</v>
      </c>
      <c r="AI307" s="39">
        <v>1</v>
      </c>
      <c r="AJ307" s="39">
        <v>0</v>
      </c>
      <c r="AK307" s="39">
        <v>0</v>
      </c>
      <c r="AL307" s="39">
        <v>1</v>
      </c>
      <c r="AM307" s="39">
        <v>0</v>
      </c>
      <c r="AN307" s="39">
        <v>0</v>
      </c>
      <c r="AO307" s="39">
        <v>0</v>
      </c>
      <c r="AP307" s="39">
        <v>1</v>
      </c>
      <c r="AQ307" s="39">
        <v>0</v>
      </c>
      <c r="AR307" s="39">
        <v>0</v>
      </c>
      <c r="AS307" s="39">
        <v>0</v>
      </c>
      <c r="AT307" s="39">
        <v>0</v>
      </c>
      <c r="AU307" s="39">
        <v>0</v>
      </c>
      <c r="AV307" s="39">
        <v>0</v>
      </c>
      <c r="AW307" s="39">
        <v>0</v>
      </c>
      <c r="AX307" s="39">
        <v>0</v>
      </c>
      <c r="AY307" s="39">
        <v>0</v>
      </c>
      <c r="AZ307" s="39">
        <v>0</v>
      </c>
      <c r="BB307" s="39">
        <v>0</v>
      </c>
      <c r="BC307" s="39">
        <v>0</v>
      </c>
      <c r="BD307" s="39">
        <v>0</v>
      </c>
      <c r="BE307" s="39">
        <v>0</v>
      </c>
      <c r="BF307" s="39">
        <v>0</v>
      </c>
      <c r="BG307" s="39">
        <v>0</v>
      </c>
      <c r="BH307" s="39">
        <v>0</v>
      </c>
      <c r="BI307" s="39">
        <v>0</v>
      </c>
      <c r="BJ307" s="39">
        <v>0</v>
      </c>
    </row>
    <row r="308" ht="14.25" customHeight="1">
      <c r="B308" s="316"/>
      <c r="C308" s="316"/>
      <c r="D308" s="316"/>
      <c r="E308" s="111" t="s">
        <v>959</v>
      </c>
      <c r="F308" s="39" t="s">
        <v>541</v>
      </c>
      <c r="G308" s="111" t="s">
        <v>498</v>
      </c>
      <c r="H308" s="313">
        <v>20830</v>
      </c>
      <c r="I308" s="313">
        <v>20838</v>
      </c>
      <c r="L308" s="39" t="s">
        <v>325</v>
      </c>
      <c r="M308" s="39">
        <v>0</v>
      </c>
      <c r="N308" s="39">
        <v>0</v>
      </c>
      <c r="O308" s="39">
        <v>0</v>
      </c>
      <c r="P308" s="142"/>
      <c r="Q308" s="39">
        <v>0</v>
      </c>
      <c r="R308" s="39">
        <v>0</v>
      </c>
      <c r="S308" s="39">
        <v>0</v>
      </c>
      <c r="T308" s="142"/>
      <c r="U308" s="39">
        <v>0</v>
      </c>
      <c r="V308" s="39">
        <v>0</v>
      </c>
      <c r="W308" s="39">
        <v>0</v>
      </c>
      <c r="X308" s="39">
        <v>0</v>
      </c>
      <c r="Y308" s="39">
        <v>0</v>
      </c>
      <c r="Z308" s="39">
        <v>0</v>
      </c>
      <c r="AA308" s="39">
        <v>0</v>
      </c>
      <c r="AB308" s="39">
        <v>0</v>
      </c>
      <c r="AC308" s="39">
        <v>0</v>
      </c>
      <c r="AD308" s="39">
        <v>0</v>
      </c>
      <c r="AE308" s="39">
        <v>0</v>
      </c>
      <c r="AF308" s="39">
        <v>0</v>
      </c>
      <c r="AG308" s="39">
        <v>0</v>
      </c>
      <c r="AH308" s="39">
        <v>0</v>
      </c>
      <c r="AI308" s="39">
        <v>0</v>
      </c>
      <c r="AJ308" s="39">
        <v>0</v>
      </c>
      <c r="AK308" s="39">
        <v>0</v>
      </c>
      <c r="AL308" s="39">
        <v>0</v>
      </c>
      <c r="AM308" s="39">
        <v>0</v>
      </c>
      <c r="AN308" s="39">
        <v>0</v>
      </c>
      <c r="AO308" s="39">
        <v>0</v>
      </c>
      <c r="AP308" s="39">
        <v>0</v>
      </c>
      <c r="AQ308" s="39">
        <v>1</v>
      </c>
      <c r="AR308" s="39">
        <v>0</v>
      </c>
      <c r="AS308" s="39">
        <v>0</v>
      </c>
      <c r="AT308" s="39">
        <v>0</v>
      </c>
      <c r="AU308" s="39">
        <v>1</v>
      </c>
      <c r="AV308" s="39">
        <v>0</v>
      </c>
      <c r="AW308" s="39">
        <v>0</v>
      </c>
      <c r="AX308" s="39">
        <v>1</v>
      </c>
      <c r="AY308" s="39">
        <v>0</v>
      </c>
      <c r="AZ308" s="39">
        <v>0</v>
      </c>
      <c r="BB308" s="39">
        <v>0</v>
      </c>
      <c r="BC308" s="39">
        <v>0</v>
      </c>
      <c r="BD308" s="39">
        <v>0</v>
      </c>
      <c r="BE308" s="39">
        <v>0</v>
      </c>
      <c r="BF308" s="39">
        <v>0</v>
      </c>
      <c r="BG308" s="39">
        <v>0</v>
      </c>
      <c r="BH308" s="39">
        <v>0</v>
      </c>
      <c r="BI308" s="39">
        <v>0</v>
      </c>
      <c r="BJ308" s="39">
        <v>0</v>
      </c>
    </row>
    <row r="309" ht="55.25" customHeight="1">
      <c r="B309" s="316"/>
      <c r="C309" s="316"/>
      <c r="D309" s="316"/>
      <c r="E309" s="111" t="s">
        <v>960</v>
      </c>
      <c r="F309" s="39" t="s">
        <v>646</v>
      </c>
      <c r="G309" s="111" t="s">
        <v>498</v>
      </c>
      <c r="H309" s="313">
        <v>20915</v>
      </c>
      <c r="I309" s="313">
        <v>20931</v>
      </c>
      <c r="L309" s="39" t="s">
        <v>325</v>
      </c>
      <c r="M309" s="39">
        <v>1</v>
      </c>
      <c r="N309" s="39">
        <v>1</v>
      </c>
      <c r="O309" s="39">
        <v>0</v>
      </c>
      <c r="P309" s="142"/>
      <c r="Q309" s="39">
        <v>0</v>
      </c>
      <c r="R309" s="39">
        <v>0</v>
      </c>
      <c r="S309" s="39">
        <v>0</v>
      </c>
      <c r="T309" s="142"/>
      <c r="U309" s="39">
        <v>0</v>
      </c>
      <c r="V309" s="39">
        <v>1</v>
      </c>
      <c r="W309" s="39">
        <v>0</v>
      </c>
      <c r="X309" s="39">
        <v>1</v>
      </c>
      <c r="Y309" s="39">
        <v>0</v>
      </c>
      <c r="Z309" s="39">
        <v>1</v>
      </c>
      <c r="AA309" s="39">
        <v>1</v>
      </c>
      <c r="AB309" s="39">
        <v>0</v>
      </c>
      <c r="AC309" s="39">
        <v>0</v>
      </c>
      <c r="AD309" s="39">
        <v>0</v>
      </c>
      <c r="AE309" s="39">
        <v>0</v>
      </c>
      <c r="AF309" s="39">
        <v>1</v>
      </c>
      <c r="AG309" s="39">
        <v>1</v>
      </c>
      <c r="AH309" s="39">
        <v>1</v>
      </c>
      <c r="AI309" s="39">
        <v>1</v>
      </c>
      <c r="AJ309" s="39">
        <v>0</v>
      </c>
      <c r="AK309" s="39">
        <v>0</v>
      </c>
      <c r="AL309" s="39">
        <v>1</v>
      </c>
      <c r="AM309" s="39">
        <v>0</v>
      </c>
      <c r="AN309" s="39">
        <v>0</v>
      </c>
      <c r="AO309" s="39">
        <v>0</v>
      </c>
      <c r="AP309" s="39">
        <v>1</v>
      </c>
      <c r="AQ309" s="39">
        <v>0</v>
      </c>
      <c r="AR309" s="39">
        <v>0</v>
      </c>
      <c r="AS309" s="39">
        <v>0</v>
      </c>
      <c r="AT309" s="39">
        <v>0</v>
      </c>
      <c r="AU309" s="39">
        <v>0</v>
      </c>
      <c r="AV309" s="39">
        <v>0</v>
      </c>
      <c r="AW309" s="39">
        <v>0</v>
      </c>
      <c r="AX309" s="39">
        <v>0</v>
      </c>
      <c r="AY309" s="39">
        <v>0</v>
      </c>
      <c r="AZ309" s="39">
        <v>0</v>
      </c>
      <c r="BB309" s="39">
        <v>0</v>
      </c>
      <c r="BC309" s="39">
        <v>0</v>
      </c>
      <c r="BD309" s="39">
        <v>0</v>
      </c>
      <c r="BE309" s="39">
        <v>0</v>
      </c>
      <c r="BF309" s="39">
        <v>0</v>
      </c>
      <c r="BG309" s="39">
        <v>0</v>
      </c>
      <c r="BH309" s="39">
        <v>0</v>
      </c>
      <c r="BI309" s="39">
        <v>0</v>
      </c>
      <c r="BJ309" s="39">
        <v>0</v>
      </c>
    </row>
    <row r="310" ht="55.25" customHeight="1">
      <c r="B310" s="316"/>
      <c r="C310" s="316"/>
      <c r="D310" s="316"/>
      <c r="E310" s="111" t="s">
        <v>961</v>
      </c>
      <c r="F310" s="39" t="s">
        <v>962</v>
      </c>
      <c r="G310" s="111" t="s">
        <v>498</v>
      </c>
      <c r="H310" s="313">
        <v>21015</v>
      </c>
      <c r="I310" s="313">
        <v>21107</v>
      </c>
      <c r="L310" s="39" t="s">
        <v>325</v>
      </c>
      <c r="M310" s="39">
        <v>1</v>
      </c>
      <c r="N310" s="39">
        <v>0</v>
      </c>
      <c r="O310" s="39">
        <v>0</v>
      </c>
      <c r="Q310" s="39">
        <v>0</v>
      </c>
      <c r="R310" s="39">
        <v>0</v>
      </c>
      <c r="S310" s="39">
        <v>0</v>
      </c>
      <c r="U310" s="39">
        <v>1</v>
      </c>
      <c r="V310" s="39">
        <v>1</v>
      </c>
      <c r="W310" s="39">
        <v>0</v>
      </c>
      <c r="X310" s="39">
        <v>1</v>
      </c>
      <c r="Y310" s="39">
        <v>0</v>
      </c>
      <c r="Z310" s="39">
        <v>1</v>
      </c>
      <c r="AA310" s="39">
        <v>0</v>
      </c>
      <c r="AB310" s="39">
        <v>0</v>
      </c>
      <c r="AC310" s="39">
        <v>0</v>
      </c>
      <c r="AD310" s="39">
        <v>1</v>
      </c>
      <c r="AE310" s="39">
        <v>1</v>
      </c>
      <c r="AF310" s="39">
        <v>1</v>
      </c>
      <c r="AG310" s="39">
        <v>0</v>
      </c>
      <c r="AH310" s="39">
        <v>0</v>
      </c>
      <c r="AI310" s="39">
        <v>0</v>
      </c>
      <c r="AJ310" s="39">
        <v>0</v>
      </c>
      <c r="AK310" s="39">
        <v>0</v>
      </c>
      <c r="AL310" s="39">
        <v>1</v>
      </c>
      <c r="AM310" s="39">
        <v>0</v>
      </c>
      <c r="AN310" s="39">
        <v>0</v>
      </c>
      <c r="AO310" s="39">
        <v>1</v>
      </c>
      <c r="AP310" s="39">
        <v>0</v>
      </c>
      <c r="AQ310" s="39">
        <v>0</v>
      </c>
      <c r="AR310" s="39">
        <v>0</v>
      </c>
      <c r="AS310" s="39">
        <v>0</v>
      </c>
      <c r="AT310" s="39">
        <v>0</v>
      </c>
      <c r="AU310" s="39">
        <v>0</v>
      </c>
      <c r="AV310" s="39">
        <v>0</v>
      </c>
      <c r="AW310" s="39">
        <v>0</v>
      </c>
      <c r="AX310" s="39">
        <v>0</v>
      </c>
      <c r="AY310" s="39">
        <v>0</v>
      </c>
      <c r="AZ310" s="39">
        <v>0</v>
      </c>
      <c r="BB310" s="39">
        <v>0</v>
      </c>
      <c r="BC310" s="39">
        <v>0</v>
      </c>
      <c r="BD310" s="39">
        <v>0</v>
      </c>
      <c r="BE310" s="39">
        <v>0</v>
      </c>
      <c r="BF310" s="39">
        <v>0</v>
      </c>
      <c r="BG310" s="39">
        <v>0</v>
      </c>
      <c r="BH310" s="39">
        <v>0</v>
      </c>
      <c r="BI310" s="39">
        <v>0</v>
      </c>
      <c r="BJ310" s="39">
        <v>0</v>
      </c>
    </row>
    <row r="311" ht="28.399999999999999" customHeight="1">
      <c r="B311" s="316"/>
      <c r="C311" s="316"/>
      <c r="D311" s="316"/>
      <c r="E311" s="111" t="s">
        <v>963</v>
      </c>
      <c r="F311" s="39" t="s">
        <v>618</v>
      </c>
      <c r="G311" s="111" t="s">
        <v>498</v>
      </c>
      <c r="H311" s="313">
        <v>21271</v>
      </c>
      <c r="I311" s="313">
        <v>21277</v>
      </c>
      <c r="L311" s="39" t="s">
        <v>447</v>
      </c>
      <c r="M311" s="39">
        <v>0</v>
      </c>
      <c r="N311" s="39">
        <v>0</v>
      </c>
      <c r="O311" s="39">
        <v>0</v>
      </c>
      <c r="Q311" s="39">
        <v>1</v>
      </c>
      <c r="R311" s="39">
        <v>0</v>
      </c>
      <c r="S311" s="39">
        <v>0</v>
      </c>
      <c r="U311" s="39">
        <v>0</v>
      </c>
      <c r="V311" s="39">
        <v>1</v>
      </c>
      <c r="W311" s="39">
        <v>0</v>
      </c>
      <c r="X311" s="39">
        <v>0</v>
      </c>
      <c r="Y311" s="39">
        <v>0</v>
      </c>
      <c r="Z311" s="39">
        <v>1</v>
      </c>
      <c r="AA311" s="39">
        <v>0</v>
      </c>
      <c r="AB311" s="39">
        <v>1</v>
      </c>
      <c r="AC311" s="39">
        <v>0</v>
      </c>
      <c r="AD311" s="39">
        <v>0</v>
      </c>
      <c r="AE311" s="39">
        <v>1</v>
      </c>
      <c r="AF311" s="39">
        <v>1</v>
      </c>
      <c r="AG311" s="39">
        <v>0</v>
      </c>
      <c r="AH311" s="39">
        <v>0</v>
      </c>
      <c r="AI311" s="39">
        <v>0</v>
      </c>
      <c r="AJ311" s="39">
        <v>0</v>
      </c>
      <c r="AK311" s="39">
        <v>0</v>
      </c>
      <c r="AL311" s="39">
        <v>1</v>
      </c>
      <c r="AM311" s="39">
        <v>0</v>
      </c>
      <c r="AN311" s="39">
        <v>0</v>
      </c>
      <c r="AO311" s="39">
        <v>1</v>
      </c>
      <c r="AP311" s="39">
        <v>0</v>
      </c>
      <c r="AQ311" s="39">
        <v>0</v>
      </c>
      <c r="AR311" s="39">
        <v>0</v>
      </c>
      <c r="AS311" s="39">
        <v>0</v>
      </c>
      <c r="AT311" s="39">
        <v>0</v>
      </c>
      <c r="AU311" s="39">
        <v>0</v>
      </c>
      <c r="AV311" s="39">
        <v>0</v>
      </c>
      <c r="AW311" s="39">
        <v>0</v>
      </c>
      <c r="AX311" s="39">
        <v>0</v>
      </c>
      <c r="AY311" s="39">
        <v>0</v>
      </c>
      <c r="AZ311" s="39">
        <v>0</v>
      </c>
      <c r="BB311" s="39">
        <v>0</v>
      </c>
      <c r="BC311" s="39">
        <v>0</v>
      </c>
      <c r="BD311" s="39">
        <v>0</v>
      </c>
      <c r="BE311" s="39">
        <v>0</v>
      </c>
      <c r="BF311" s="39">
        <v>0</v>
      </c>
      <c r="BG311" s="39">
        <v>0</v>
      </c>
      <c r="BH311" s="39">
        <v>0</v>
      </c>
      <c r="BI311" s="39">
        <v>0</v>
      </c>
      <c r="BJ311" s="39">
        <v>0</v>
      </c>
    </row>
    <row r="312" ht="28.399999999999999" customHeight="1">
      <c r="B312" s="316"/>
      <c r="C312" s="316"/>
      <c r="D312" s="316"/>
      <c r="E312" s="111" t="s">
        <v>964</v>
      </c>
      <c r="F312" s="39" t="s">
        <v>829</v>
      </c>
      <c r="G312" s="111" t="s">
        <v>498</v>
      </c>
      <c r="H312" s="313">
        <v>21890</v>
      </c>
      <c r="I312" s="313">
        <v>21912</v>
      </c>
      <c r="L312" s="39" t="s">
        <v>447</v>
      </c>
      <c r="M312" s="39">
        <v>0</v>
      </c>
      <c r="N312" s="39">
        <v>1</v>
      </c>
      <c r="O312" s="39">
        <v>0</v>
      </c>
      <c r="Q312" s="39">
        <v>0</v>
      </c>
      <c r="R312" s="39">
        <v>0</v>
      </c>
      <c r="S312" s="39">
        <v>0</v>
      </c>
      <c r="U312" s="39">
        <v>0</v>
      </c>
      <c r="V312" s="39">
        <v>1</v>
      </c>
      <c r="W312" s="39">
        <v>0</v>
      </c>
      <c r="X312" s="39">
        <v>1</v>
      </c>
      <c r="Y312" s="39">
        <v>1</v>
      </c>
      <c r="Z312" s="39">
        <v>0</v>
      </c>
      <c r="AA312" s="39">
        <v>1</v>
      </c>
      <c r="AB312" s="39">
        <v>0</v>
      </c>
      <c r="AC312" s="39">
        <v>0</v>
      </c>
      <c r="AD312" s="39">
        <v>0</v>
      </c>
      <c r="AE312" s="39">
        <v>1</v>
      </c>
      <c r="AF312" s="39">
        <v>1</v>
      </c>
      <c r="AG312" s="39">
        <v>1</v>
      </c>
      <c r="AH312" s="39">
        <v>1</v>
      </c>
      <c r="AI312" s="39">
        <v>1</v>
      </c>
      <c r="AJ312" s="39">
        <v>0</v>
      </c>
      <c r="AK312" s="39">
        <v>0</v>
      </c>
      <c r="AL312" s="39">
        <v>1</v>
      </c>
      <c r="AM312" s="39">
        <v>0</v>
      </c>
      <c r="AN312" s="39">
        <v>0</v>
      </c>
      <c r="AO312" s="39">
        <v>0</v>
      </c>
      <c r="AP312" s="39">
        <v>1</v>
      </c>
      <c r="AQ312" s="39">
        <v>1</v>
      </c>
      <c r="AR312" s="39">
        <v>0</v>
      </c>
      <c r="AS312" s="39">
        <v>0</v>
      </c>
      <c r="AT312" s="39">
        <v>0</v>
      </c>
      <c r="AU312" s="39">
        <v>1</v>
      </c>
      <c r="AV312" s="39">
        <v>0</v>
      </c>
      <c r="AW312" s="39">
        <v>1</v>
      </c>
      <c r="AX312" s="39">
        <v>0</v>
      </c>
      <c r="AY312" s="39">
        <v>0</v>
      </c>
      <c r="AZ312" s="39">
        <v>0</v>
      </c>
      <c r="BA312" s="39">
        <v>1</v>
      </c>
      <c r="BB312" s="39">
        <v>0</v>
      </c>
      <c r="BC312" s="39">
        <v>0</v>
      </c>
      <c r="BD312" s="39">
        <v>0</v>
      </c>
      <c r="BE312" s="39">
        <v>0</v>
      </c>
      <c r="BF312" s="39">
        <v>0</v>
      </c>
      <c r="BG312" s="39">
        <v>0</v>
      </c>
      <c r="BH312" s="39">
        <v>0</v>
      </c>
      <c r="BI312" s="39">
        <v>0</v>
      </c>
      <c r="BJ312" s="39">
        <v>0</v>
      </c>
    </row>
    <row r="313" ht="28.399999999999999" customHeight="1">
      <c r="B313" s="316"/>
      <c r="C313" s="316"/>
      <c r="D313" s="316"/>
      <c r="E313" s="111" t="s">
        <v>965</v>
      </c>
      <c r="F313" s="39" t="s">
        <v>529</v>
      </c>
      <c r="G313" s="111" t="s">
        <v>498</v>
      </c>
      <c r="H313" s="313">
        <v>27130</v>
      </c>
      <c r="I313" s="313">
        <v>27150</v>
      </c>
      <c r="L313" s="39" t="s">
        <v>492</v>
      </c>
      <c r="M313" s="39">
        <v>0</v>
      </c>
      <c r="N313" s="39">
        <v>0</v>
      </c>
      <c r="O313" s="39">
        <v>1</v>
      </c>
      <c r="Q313" s="39">
        <v>1</v>
      </c>
      <c r="R313" s="39">
        <v>0</v>
      </c>
      <c r="S313" s="39">
        <v>0</v>
      </c>
      <c r="U313" s="39">
        <v>0</v>
      </c>
      <c r="V313" s="39">
        <v>1</v>
      </c>
      <c r="W313" s="39">
        <v>0</v>
      </c>
      <c r="X313" s="39">
        <v>0</v>
      </c>
      <c r="Y313" s="39">
        <v>0</v>
      </c>
      <c r="Z313" s="39">
        <v>1</v>
      </c>
      <c r="AA313" s="39">
        <v>0</v>
      </c>
      <c r="AB313" s="39">
        <v>1</v>
      </c>
      <c r="AC313" s="39">
        <v>0</v>
      </c>
      <c r="AD313" s="39">
        <v>0</v>
      </c>
      <c r="AE313" s="39">
        <v>1</v>
      </c>
      <c r="AF313" s="39">
        <v>1</v>
      </c>
      <c r="AG313" s="39">
        <v>0</v>
      </c>
      <c r="AH313" s="39">
        <v>0</v>
      </c>
      <c r="AI313" s="39">
        <v>0</v>
      </c>
      <c r="AJ313" s="39">
        <v>0</v>
      </c>
      <c r="AK313" s="39">
        <v>0</v>
      </c>
      <c r="AL313" s="39">
        <v>0</v>
      </c>
      <c r="AM313" s="39">
        <v>1</v>
      </c>
      <c r="AN313" s="39">
        <v>0</v>
      </c>
      <c r="AO313" s="39">
        <v>1</v>
      </c>
      <c r="AP313" s="39">
        <v>0</v>
      </c>
      <c r="AQ313" s="39">
        <v>0</v>
      </c>
      <c r="AR313" s="39">
        <v>0</v>
      </c>
      <c r="AS313" s="39">
        <v>0</v>
      </c>
      <c r="AT313" s="39">
        <v>0</v>
      </c>
      <c r="AU313" s="39">
        <v>0</v>
      </c>
      <c r="AV313" s="39">
        <v>0</v>
      </c>
      <c r="AW313" s="39">
        <v>0</v>
      </c>
      <c r="AX313" s="39">
        <v>0</v>
      </c>
      <c r="AY313" s="39">
        <v>0</v>
      </c>
      <c r="AZ313" s="39">
        <v>0</v>
      </c>
      <c r="BB313" s="39">
        <v>0</v>
      </c>
      <c r="BC313" s="39">
        <v>0</v>
      </c>
      <c r="BD313" s="39">
        <v>0</v>
      </c>
      <c r="BE313" s="39">
        <v>0</v>
      </c>
      <c r="BF313" s="39">
        <v>0</v>
      </c>
      <c r="BG313" s="39">
        <v>0</v>
      </c>
      <c r="BH313" s="39">
        <v>0</v>
      </c>
      <c r="BI313" s="39">
        <v>0</v>
      </c>
      <c r="BJ313" s="39">
        <v>0</v>
      </c>
    </row>
    <row r="314" ht="41.75" customHeight="1">
      <c r="B314" s="316"/>
      <c r="C314" s="316"/>
      <c r="D314" s="316"/>
      <c r="E314" s="111" t="s">
        <v>966</v>
      </c>
      <c r="F314" s="39" t="s">
        <v>525</v>
      </c>
      <c r="G314" s="111" t="s">
        <v>498</v>
      </c>
      <c r="H314" s="313">
        <v>27374</v>
      </c>
      <c r="I314" s="313">
        <v>27397</v>
      </c>
      <c r="L314" s="39" t="s">
        <v>325</v>
      </c>
      <c r="M314" s="39">
        <v>0</v>
      </c>
      <c r="N314" s="39">
        <v>0</v>
      </c>
      <c r="O314" s="39">
        <v>0</v>
      </c>
      <c r="Q314" s="39">
        <v>0</v>
      </c>
      <c r="R314" s="39">
        <v>0</v>
      </c>
      <c r="S314" s="39">
        <v>0</v>
      </c>
      <c r="U314" s="39">
        <v>1</v>
      </c>
      <c r="V314" s="39">
        <v>0</v>
      </c>
      <c r="W314" s="39">
        <v>1</v>
      </c>
      <c r="X314" s="39">
        <v>1</v>
      </c>
      <c r="Y314" s="39">
        <v>1</v>
      </c>
      <c r="Z314" s="39">
        <v>0</v>
      </c>
      <c r="AA314" s="39">
        <v>0</v>
      </c>
      <c r="AB314" s="39">
        <v>0</v>
      </c>
      <c r="AC314" s="39">
        <v>0</v>
      </c>
      <c r="AD314" s="39">
        <v>1</v>
      </c>
      <c r="AE314" s="39">
        <v>1</v>
      </c>
      <c r="AF314" s="39">
        <v>1</v>
      </c>
      <c r="AG314" s="39">
        <v>0</v>
      </c>
      <c r="AH314" s="39">
        <v>0</v>
      </c>
      <c r="AI314" s="39">
        <v>0</v>
      </c>
      <c r="AJ314" s="39">
        <v>0</v>
      </c>
      <c r="AK314" s="39">
        <v>0</v>
      </c>
      <c r="AL314" s="39">
        <v>0</v>
      </c>
      <c r="AM314" s="39">
        <v>1</v>
      </c>
      <c r="AN314" s="39">
        <v>0</v>
      </c>
      <c r="AO314" s="39">
        <v>0</v>
      </c>
      <c r="AP314" s="39">
        <v>1</v>
      </c>
      <c r="AQ314" s="39">
        <v>0</v>
      </c>
      <c r="AR314" s="39">
        <v>0</v>
      </c>
      <c r="AS314" s="39">
        <v>0</v>
      </c>
      <c r="AT314" s="39">
        <v>0</v>
      </c>
      <c r="AU314" s="39">
        <v>0</v>
      </c>
      <c r="AV314" s="39">
        <v>0</v>
      </c>
      <c r="AW314" s="39">
        <v>0</v>
      </c>
      <c r="AX314" s="39">
        <v>0</v>
      </c>
      <c r="AY314" s="39">
        <v>0</v>
      </c>
      <c r="AZ314" s="39">
        <v>0</v>
      </c>
      <c r="BB314" s="39">
        <v>0</v>
      </c>
      <c r="BC314" s="39">
        <v>0</v>
      </c>
      <c r="BD314" s="39">
        <v>0</v>
      </c>
      <c r="BE314" s="39">
        <v>0</v>
      </c>
      <c r="BF314" s="39">
        <v>0</v>
      </c>
      <c r="BG314" s="39">
        <v>0</v>
      </c>
      <c r="BH314" s="39">
        <v>0</v>
      </c>
      <c r="BI314" s="39">
        <v>0</v>
      </c>
      <c r="BJ314" s="39">
        <v>0</v>
      </c>
    </row>
    <row r="315" ht="41.75" customHeight="1">
      <c r="B315" s="316"/>
      <c r="C315" s="316"/>
      <c r="D315" s="316"/>
      <c r="E315" s="111" t="s">
        <v>967</v>
      </c>
      <c r="F315" s="39" t="s">
        <v>525</v>
      </c>
      <c r="G315" s="111" t="s">
        <v>498</v>
      </c>
      <c r="H315" s="313">
        <v>27551</v>
      </c>
      <c r="I315" s="313">
        <v>27574</v>
      </c>
      <c r="L315" s="39" t="s">
        <v>325</v>
      </c>
      <c r="M315" s="39">
        <v>0</v>
      </c>
      <c r="N315" s="39">
        <v>0</v>
      </c>
      <c r="O315" s="39">
        <v>1</v>
      </c>
      <c r="Q315" s="39">
        <v>0</v>
      </c>
      <c r="R315" s="39">
        <v>0</v>
      </c>
      <c r="S315" s="39">
        <v>0</v>
      </c>
      <c r="U315" s="39">
        <v>0</v>
      </c>
      <c r="V315" s="39">
        <v>0</v>
      </c>
      <c r="W315" s="39">
        <v>1</v>
      </c>
      <c r="X315" s="39">
        <v>1</v>
      </c>
      <c r="Y315" s="39">
        <v>0</v>
      </c>
      <c r="Z315" s="39">
        <v>1</v>
      </c>
      <c r="AA315" s="39">
        <v>1</v>
      </c>
      <c r="AB315" s="39">
        <v>0</v>
      </c>
      <c r="AC315" s="39">
        <v>0</v>
      </c>
      <c r="AD315" s="39">
        <v>0</v>
      </c>
      <c r="AE315" s="39">
        <v>0</v>
      </c>
      <c r="AF315" s="39">
        <v>1</v>
      </c>
      <c r="AG315" s="39">
        <v>0</v>
      </c>
      <c r="AH315" s="39">
        <v>0</v>
      </c>
      <c r="AI315" s="39">
        <v>0</v>
      </c>
      <c r="AJ315" s="39">
        <v>0</v>
      </c>
      <c r="AK315" s="39">
        <v>0</v>
      </c>
      <c r="AL315" s="39">
        <v>1</v>
      </c>
      <c r="AM315" s="39">
        <v>0</v>
      </c>
      <c r="AN315" s="39">
        <v>0</v>
      </c>
      <c r="AO315" s="39">
        <v>1</v>
      </c>
      <c r="AP315" s="39">
        <v>0</v>
      </c>
      <c r="AQ315" s="39">
        <v>1</v>
      </c>
      <c r="AR315" s="39">
        <v>0</v>
      </c>
      <c r="AS315" s="39">
        <v>0</v>
      </c>
      <c r="AT315" s="39">
        <v>0</v>
      </c>
      <c r="AU315" s="39">
        <v>0</v>
      </c>
      <c r="AV315" s="39">
        <v>0</v>
      </c>
      <c r="AW315" s="39">
        <v>1</v>
      </c>
      <c r="AX315" s="39">
        <v>0</v>
      </c>
      <c r="AY315" s="39">
        <v>0</v>
      </c>
      <c r="AZ315" s="39">
        <v>0</v>
      </c>
      <c r="BB315" s="39">
        <v>1</v>
      </c>
      <c r="BC315" s="39">
        <v>0</v>
      </c>
      <c r="BD315" s="39">
        <v>0</v>
      </c>
      <c r="BE315" s="39">
        <v>0</v>
      </c>
      <c r="BF315" s="39">
        <v>0</v>
      </c>
      <c r="BG315" s="39">
        <v>0</v>
      </c>
      <c r="BH315" s="39">
        <v>0</v>
      </c>
      <c r="BI315" s="39">
        <v>0</v>
      </c>
      <c r="BJ315" s="39">
        <v>0</v>
      </c>
    </row>
    <row r="316" ht="28.399999999999999" customHeight="1">
      <c r="B316" s="316"/>
      <c r="C316" s="316"/>
      <c r="D316" s="316"/>
      <c r="E316" s="111" t="s">
        <v>968</v>
      </c>
      <c r="F316" s="39" t="s">
        <v>544</v>
      </c>
      <c r="G316" s="111" t="s">
        <v>498</v>
      </c>
      <c r="H316" s="313">
        <v>27620</v>
      </c>
      <c r="I316" s="313">
        <v>27635</v>
      </c>
      <c r="L316" s="39" t="s">
        <v>325</v>
      </c>
      <c r="M316" s="39">
        <v>1</v>
      </c>
      <c r="N316" s="39">
        <v>0</v>
      </c>
      <c r="O316" s="39">
        <v>0</v>
      </c>
      <c r="Q316" s="39">
        <v>0</v>
      </c>
      <c r="R316" s="39">
        <v>0</v>
      </c>
      <c r="S316" s="39">
        <v>0</v>
      </c>
      <c r="U316" s="39">
        <v>0</v>
      </c>
      <c r="V316" s="39">
        <v>0</v>
      </c>
      <c r="W316" s="39">
        <v>1</v>
      </c>
      <c r="X316" s="39">
        <v>0</v>
      </c>
      <c r="Y316" s="39">
        <v>0</v>
      </c>
      <c r="Z316" s="39">
        <v>1</v>
      </c>
      <c r="AA316" s="39">
        <v>1</v>
      </c>
      <c r="AB316" s="39">
        <v>0</v>
      </c>
      <c r="AC316" s="39">
        <v>0</v>
      </c>
      <c r="AD316" s="39">
        <v>0</v>
      </c>
      <c r="AE316" s="39">
        <v>1</v>
      </c>
      <c r="AF316" s="39">
        <v>0</v>
      </c>
      <c r="AG316" s="39">
        <v>0</v>
      </c>
      <c r="AH316" s="39">
        <v>0</v>
      </c>
      <c r="AI316" s="39">
        <v>0</v>
      </c>
      <c r="AJ316" s="39">
        <v>0</v>
      </c>
      <c r="AK316" s="39">
        <v>0</v>
      </c>
      <c r="AL316" s="39">
        <v>1</v>
      </c>
      <c r="AM316" s="39">
        <v>0</v>
      </c>
      <c r="AN316" s="39">
        <v>0</v>
      </c>
      <c r="AO316" s="39">
        <v>1</v>
      </c>
      <c r="AP316" s="39">
        <v>0</v>
      </c>
      <c r="AQ316" s="39">
        <v>0</v>
      </c>
      <c r="AR316" s="39">
        <v>0</v>
      </c>
      <c r="AS316" s="39">
        <v>0</v>
      </c>
      <c r="AT316" s="39">
        <v>0</v>
      </c>
      <c r="AU316" s="39">
        <v>0</v>
      </c>
      <c r="AV316" s="39">
        <v>0</v>
      </c>
      <c r="AW316" s="39">
        <v>0</v>
      </c>
      <c r="AX316" s="39">
        <v>0</v>
      </c>
      <c r="AY316" s="39">
        <v>0</v>
      </c>
      <c r="AZ316" s="39">
        <v>0</v>
      </c>
      <c r="BB316" s="39">
        <v>0</v>
      </c>
      <c r="BC316" s="39">
        <v>0</v>
      </c>
      <c r="BD316" s="39">
        <v>0</v>
      </c>
      <c r="BE316" s="39">
        <v>0</v>
      </c>
      <c r="BF316" s="39">
        <v>0</v>
      </c>
      <c r="BG316" s="39">
        <v>0</v>
      </c>
      <c r="BH316" s="39">
        <v>0</v>
      </c>
      <c r="BI316" s="39">
        <v>0</v>
      </c>
      <c r="BJ316" s="39">
        <v>0</v>
      </c>
    </row>
    <row r="317" ht="28.399999999999999" customHeight="1">
      <c r="B317" s="316"/>
      <c r="C317" s="316"/>
      <c r="D317" s="316"/>
      <c r="E317" s="111" t="s">
        <v>969</v>
      </c>
      <c r="F317" s="39" t="s">
        <v>542</v>
      </c>
      <c r="G317" s="111" t="s">
        <v>498</v>
      </c>
      <c r="H317" s="313">
        <v>28156</v>
      </c>
      <c r="I317" s="313">
        <v>28167</v>
      </c>
      <c r="L317" s="39" t="s">
        <v>66</v>
      </c>
      <c r="M317" s="39">
        <v>0</v>
      </c>
      <c r="N317" s="39">
        <v>1</v>
      </c>
      <c r="O317" s="39">
        <v>0</v>
      </c>
      <c r="Q317" s="39">
        <v>0</v>
      </c>
      <c r="R317" s="39">
        <v>0</v>
      </c>
      <c r="S317" s="39">
        <v>0</v>
      </c>
      <c r="U317" s="39">
        <v>0</v>
      </c>
      <c r="V317" s="39">
        <v>1</v>
      </c>
      <c r="W317" s="39">
        <v>0</v>
      </c>
      <c r="X317" s="39">
        <v>0</v>
      </c>
      <c r="Y317" s="39">
        <v>0</v>
      </c>
      <c r="Z317" s="39">
        <v>1</v>
      </c>
      <c r="AA317" s="39">
        <v>1</v>
      </c>
      <c r="AB317" s="39">
        <v>0</v>
      </c>
      <c r="AC317" s="39">
        <v>0</v>
      </c>
      <c r="AD317" s="39">
        <v>0</v>
      </c>
      <c r="AE317" s="39">
        <v>1</v>
      </c>
      <c r="AF317" s="39">
        <v>1</v>
      </c>
      <c r="AG317" s="39">
        <v>1</v>
      </c>
      <c r="AH317" s="39">
        <v>1</v>
      </c>
      <c r="AI317" s="39">
        <v>0</v>
      </c>
      <c r="AJ317" s="39">
        <v>0</v>
      </c>
      <c r="AK317" s="39">
        <v>0</v>
      </c>
      <c r="AL317" s="39">
        <v>1</v>
      </c>
      <c r="AM317" s="39">
        <v>0</v>
      </c>
      <c r="AN317" s="39">
        <v>0</v>
      </c>
      <c r="AO317" s="39">
        <v>0</v>
      </c>
      <c r="AP317" s="39">
        <v>1</v>
      </c>
      <c r="AQ317" s="39">
        <v>1</v>
      </c>
      <c r="AR317" s="39">
        <v>0</v>
      </c>
      <c r="AS317" s="39">
        <v>0</v>
      </c>
      <c r="AT317" s="39">
        <v>0</v>
      </c>
      <c r="AU317" s="39">
        <v>0</v>
      </c>
      <c r="AV317" s="39">
        <v>1</v>
      </c>
      <c r="AW317" s="39">
        <v>0</v>
      </c>
      <c r="AX317" s="39">
        <v>0</v>
      </c>
      <c r="AY317" s="39">
        <v>0</v>
      </c>
      <c r="AZ317" s="39">
        <v>0</v>
      </c>
      <c r="BB317" s="39">
        <v>0</v>
      </c>
      <c r="BC317" s="39">
        <v>0</v>
      </c>
      <c r="BD317" s="39">
        <v>0</v>
      </c>
      <c r="BE317" s="39">
        <v>0</v>
      </c>
      <c r="BF317" s="39">
        <v>0</v>
      </c>
      <c r="BG317" s="39">
        <v>0</v>
      </c>
      <c r="BH317" s="39">
        <v>0</v>
      </c>
      <c r="BI317" s="39">
        <v>1</v>
      </c>
      <c r="BJ317" s="39">
        <v>0</v>
      </c>
    </row>
    <row r="318" s="144" customFormat="1" ht="28.399999999999999" customHeight="1">
      <c r="B318" s="237"/>
      <c r="C318" s="237"/>
      <c r="D318" s="237"/>
      <c r="E318" s="197" t="s">
        <v>970</v>
      </c>
      <c r="F318" s="144" t="s">
        <v>733</v>
      </c>
      <c r="G318" s="197" t="s">
        <v>498</v>
      </c>
      <c r="H318" s="325">
        <v>28193</v>
      </c>
      <c r="I318" s="325">
        <v>28231</v>
      </c>
      <c r="J318" s="145"/>
      <c r="L318" s="144" t="s">
        <v>325</v>
      </c>
      <c r="M318" s="144">
        <v>0</v>
      </c>
      <c r="N318" s="144">
        <v>0</v>
      </c>
      <c r="O318" s="144">
        <v>0</v>
      </c>
      <c r="Q318" s="144">
        <v>0</v>
      </c>
      <c r="R318" s="144">
        <v>0</v>
      </c>
      <c r="S318" s="144">
        <v>0</v>
      </c>
      <c r="U318" s="144">
        <v>1</v>
      </c>
      <c r="V318" s="144">
        <v>1</v>
      </c>
      <c r="W318" s="144">
        <v>0</v>
      </c>
      <c r="X318" s="144">
        <v>1</v>
      </c>
      <c r="Y318" s="144">
        <v>1</v>
      </c>
      <c r="Z318" s="144">
        <v>0</v>
      </c>
      <c r="AA318" s="144">
        <v>0</v>
      </c>
      <c r="AB318" s="144">
        <v>0</v>
      </c>
      <c r="AC318" s="144">
        <v>0</v>
      </c>
      <c r="AD318" s="144">
        <v>1</v>
      </c>
      <c r="AE318" s="144">
        <v>1</v>
      </c>
      <c r="AF318" s="144">
        <v>1</v>
      </c>
      <c r="AG318" s="144">
        <v>1</v>
      </c>
      <c r="AH318" s="144">
        <v>1</v>
      </c>
      <c r="AI318" s="144">
        <v>0</v>
      </c>
      <c r="AJ318" s="144">
        <v>0</v>
      </c>
      <c r="AK318" s="144">
        <v>0</v>
      </c>
      <c r="AL318" s="144">
        <v>1</v>
      </c>
      <c r="AM318" s="144">
        <v>1</v>
      </c>
      <c r="AN318" s="144">
        <v>0</v>
      </c>
      <c r="AO318" s="144">
        <v>0</v>
      </c>
      <c r="AP318" s="144">
        <v>1</v>
      </c>
      <c r="AQ318" s="144">
        <v>0</v>
      </c>
      <c r="AR318" s="144">
        <v>0</v>
      </c>
      <c r="AS318" s="144">
        <v>0</v>
      </c>
      <c r="AT318" s="144">
        <v>0</v>
      </c>
      <c r="AU318" s="144">
        <v>0</v>
      </c>
      <c r="AV318" s="144">
        <v>0</v>
      </c>
      <c r="AW318" s="144">
        <v>0</v>
      </c>
      <c r="AX318" s="144">
        <v>0</v>
      </c>
      <c r="AY318" s="144">
        <v>0</v>
      </c>
      <c r="AZ318" s="144">
        <v>0</v>
      </c>
      <c r="BB318" s="144">
        <v>0</v>
      </c>
      <c r="BC318" s="144">
        <v>0</v>
      </c>
      <c r="BD318" s="144">
        <v>0</v>
      </c>
      <c r="BE318" s="144">
        <v>0</v>
      </c>
      <c r="BF318" s="144">
        <v>0</v>
      </c>
      <c r="BG318" s="144">
        <v>0</v>
      </c>
      <c r="BH318" s="144">
        <v>0</v>
      </c>
      <c r="BI318" s="144">
        <v>0</v>
      </c>
      <c r="BJ318" s="144">
        <v>0</v>
      </c>
    </row>
    <row r="319" ht="14.25" customHeight="1">
      <c r="A319" s="133" t="s">
        <v>481</v>
      </c>
      <c r="B319" s="356" t="s">
        <v>513</v>
      </c>
      <c r="C319" s="316" t="s">
        <v>395</v>
      </c>
      <c r="D319" s="316" t="s">
        <v>17</v>
      </c>
      <c r="E319" s="360" t="s">
        <v>971</v>
      </c>
      <c r="F319" s="39" t="s">
        <v>829</v>
      </c>
      <c r="G319" s="360" t="s">
        <v>498</v>
      </c>
      <c r="H319" s="326">
        <v>8620</v>
      </c>
      <c r="I319" s="326">
        <v>8642</v>
      </c>
      <c r="J319" s="170" t="s">
        <v>845</v>
      </c>
      <c r="K319" s="39">
        <v>2</v>
      </c>
      <c r="L319" s="39" t="s">
        <v>325</v>
      </c>
      <c r="M319" s="39">
        <v>0</v>
      </c>
      <c r="N319" s="39">
        <v>0</v>
      </c>
      <c r="O319" s="39">
        <v>1</v>
      </c>
      <c r="P319" s="39">
        <v>1</v>
      </c>
      <c r="Q319" s="39">
        <v>0</v>
      </c>
      <c r="R319" s="39">
        <v>0</v>
      </c>
      <c r="S319" s="39">
        <v>0</v>
      </c>
      <c r="U319" s="39">
        <v>0</v>
      </c>
      <c r="V319" s="39">
        <v>1</v>
      </c>
      <c r="W319" s="39">
        <v>0</v>
      </c>
      <c r="X319" s="39">
        <v>1</v>
      </c>
      <c r="Y319" s="39">
        <v>1</v>
      </c>
      <c r="Z319" s="39">
        <v>0</v>
      </c>
      <c r="AA319" s="39">
        <v>1</v>
      </c>
      <c r="AB319" s="39">
        <v>0</v>
      </c>
      <c r="AC319" s="39">
        <v>0</v>
      </c>
      <c r="AD319" s="39">
        <v>0</v>
      </c>
      <c r="AE319" s="39">
        <v>0</v>
      </c>
      <c r="AF319" s="39">
        <v>0</v>
      </c>
      <c r="AG319" s="39">
        <v>1</v>
      </c>
      <c r="AH319" s="39">
        <v>1</v>
      </c>
      <c r="AI319" s="39">
        <v>0</v>
      </c>
      <c r="AJ319" s="39">
        <v>0</v>
      </c>
      <c r="AK319" s="39">
        <v>0</v>
      </c>
      <c r="AL319" s="39">
        <v>0</v>
      </c>
      <c r="AM319" s="39">
        <v>0</v>
      </c>
      <c r="AN319" s="39">
        <v>1</v>
      </c>
      <c r="AO319" s="39">
        <v>0</v>
      </c>
      <c r="AP319" s="39">
        <v>1</v>
      </c>
      <c r="AQ319" s="39">
        <v>0</v>
      </c>
      <c r="AR319" s="39">
        <v>0</v>
      </c>
      <c r="AS319" s="39">
        <v>0</v>
      </c>
      <c r="AT319" s="39">
        <v>0</v>
      </c>
      <c r="AU319" s="39">
        <v>0</v>
      </c>
      <c r="AV319" s="39">
        <v>0</v>
      </c>
      <c r="AW319" s="39">
        <v>0</v>
      </c>
      <c r="AX319" s="39">
        <v>0</v>
      </c>
      <c r="AY319" s="39">
        <v>0</v>
      </c>
      <c r="AZ319" s="39">
        <v>0</v>
      </c>
      <c r="BB319" s="39">
        <v>0</v>
      </c>
      <c r="BC319" s="39">
        <v>0</v>
      </c>
      <c r="BD319" s="39">
        <v>0</v>
      </c>
      <c r="BE319" s="39">
        <v>0</v>
      </c>
      <c r="BF319" s="39">
        <v>0</v>
      </c>
      <c r="BG319" s="39">
        <v>0</v>
      </c>
      <c r="BH319" s="39">
        <v>0</v>
      </c>
      <c r="BI319" s="39">
        <v>0</v>
      </c>
      <c r="BJ319" s="39">
        <v>0</v>
      </c>
    </row>
    <row r="320" s="211" customFormat="1" ht="41.75" customHeight="1">
      <c r="B320" s="352"/>
      <c r="C320" s="237"/>
      <c r="D320" s="237"/>
      <c r="E320" s="360" t="s">
        <v>972</v>
      </c>
      <c r="F320" s="39" t="s">
        <v>539</v>
      </c>
      <c r="G320" s="361" t="s">
        <v>498</v>
      </c>
      <c r="H320" s="336">
        <v>19291</v>
      </c>
      <c r="I320" s="336">
        <v>19319</v>
      </c>
      <c r="J320" s="170" t="s">
        <v>845</v>
      </c>
      <c r="K320" s="144"/>
      <c r="L320" s="39" t="s">
        <v>447</v>
      </c>
      <c r="M320" s="39">
        <v>0</v>
      </c>
      <c r="O320" s="39">
        <v>1</v>
      </c>
      <c r="P320" s="39">
        <v>1</v>
      </c>
      <c r="Q320" s="39">
        <v>1</v>
      </c>
      <c r="R320" s="39">
        <v>0</v>
      </c>
      <c r="S320" s="39">
        <v>0</v>
      </c>
      <c r="T320" s="39">
        <v>1</v>
      </c>
      <c r="U320" s="39">
        <v>0</v>
      </c>
      <c r="V320" s="39">
        <v>1</v>
      </c>
      <c r="W320" s="39">
        <v>0</v>
      </c>
      <c r="X320" s="39">
        <v>1</v>
      </c>
      <c r="Y320" s="39">
        <v>1</v>
      </c>
      <c r="Z320" s="39">
        <v>0</v>
      </c>
      <c r="AA320" s="39">
        <v>0</v>
      </c>
      <c r="AB320" s="39">
        <v>1</v>
      </c>
      <c r="AC320" s="39">
        <v>0</v>
      </c>
      <c r="AD320" s="39">
        <v>0</v>
      </c>
      <c r="AE320" s="39">
        <v>1</v>
      </c>
      <c r="AF320" s="39">
        <v>0</v>
      </c>
      <c r="AG320" s="39">
        <v>1</v>
      </c>
      <c r="AH320" s="39">
        <v>1</v>
      </c>
      <c r="AI320" s="39">
        <v>1</v>
      </c>
      <c r="AJ320" s="39">
        <v>0</v>
      </c>
      <c r="AK320" s="39">
        <v>0</v>
      </c>
      <c r="AL320" s="39">
        <v>1</v>
      </c>
      <c r="AM320" s="39">
        <v>0</v>
      </c>
      <c r="AN320" s="39">
        <v>1</v>
      </c>
      <c r="AO320" s="39">
        <v>0</v>
      </c>
      <c r="AP320" s="39">
        <v>1</v>
      </c>
      <c r="AQ320" s="39">
        <v>0</v>
      </c>
      <c r="AR320" s="39">
        <v>0</v>
      </c>
      <c r="AS320" s="39">
        <v>0</v>
      </c>
      <c r="AT320" s="39">
        <v>0</v>
      </c>
      <c r="AU320" s="39">
        <v>0</v>
      </c>
      <c r="AV320" s="39">
        <v>0</v>
      </c>
      <c r="AW320" s="39">
        <v>0</v>
      </c>
      <c r="AX320" s="39">
        <v>0</v>
      </c>
      <c r="AY320" s="39">
        <v>0</v>
      </c>
      <c r="AZ320" s="39">
        <v>0</v>
      </c>
      <c r="BB320" s="39">
        <v>0</v>
      </c>
      <c r="BC320" s="39">
        <v>0</v>
      </c>
      <c r="BD320" s="39">
        <v>0</v>
      </c>
      <c r="BE320" s="39">
        <v>0</v>
      </c>
      <c r="BF320" s="39">
        <v>0</v>
      </c>
      <c r="BG320" s="39">
        <v>0</v>
      </c>
      <c r="BH320" s="39">
        <v>0</v>
      </c>
      <c r="BI320" s="39">
        <v>0</v>
      </c>
      <c r="BJ320" s="39">
        <v>0</v>
      </c>
    </row>
    <row r="321" ht="55.25" customHeight="1">
      <c r="A321" s="211"/>
      <c r="B321" s="356" t="s">
        <v>513</v>
      </c>
      <c r="C321" s="356" t="s">
        <v>246</v>
      </c>
      <c r="D321" s="211" t="s">
        <v>17</v>
      </c>
      <c r="E321" s="362" t="s">
        <v>973</v>
      </c>
      <c r="F321" s="356" t="s">
        <v>550</v>
      </c>
      <c r="G321" s="360" t="s">
        <v>498</v>
      </c>
      <c r="H321" s="326">
        <v>16500</v>
      </c>
      <c r="I321" s="326">
        <v>16530</v>
      </c>
      <c r="J321" s="355" t="s">
        <v>845</v>
      </c>
      <c r="K321" s="211">
        <v>5</v>
      </c>
      <c r="L321" s="211" t="s">
        <v>447</v>
      </c>
      <c r="M321" s="211">
        <v>0</v>
      </c>
      <c r="N321" s="211">
        <v>1</v>
      </c>
      <c r="O321" s="211">
        <v>0</v>
      </c>
      <c r="Q321" s="211">
        <v>0</v>
      </c>
      <c r="R321" s="211">
        <v>0</v>
      </c>
      <c r="S321" s="211">
        <v>0</v>
      </c>
      <c r="U321" s="211">
        <v>0</v>
      </c>
      <c r="V321" s="211">
        <v>1</v>
      </c>
      <c r="W321" s="211">
        <v>0</v>
      </c>
      <c r="X321" s="211">
        <v>1</v>
      </c>
      <c r="Y321" s="211">
        <v>1</v>
      </c>
      <c r="Z321" s="211">
        <v>0</v>
      </c>
      <c r="AA321" s="211">
        <v>1</v>
      </c>
      <c r="AB321" s="211">
        <v>0</v>
      </c>
      <c r="AC321" s="211">
        <v>0</v>
      </c>
      <c r="AD321" s="211">
        <v>0</v>
      </c>
      <c r="AE321" s="211">
        <v>1</v>
      </c>
      <c r="AF321" s="211">
        <v>1</v>
      </c>
      <c r="AG321" s="211">
        <v>1</v>
      </c>
      <c r="AH321" s="211">
        <v>1</v>
      </c>
      <c r="AI321" s="211">
        <v>1</v>
      </c>
      <c r="AJ321" s="211">
        <v>1</v>
      </c>
      <c r="AK321" s="211">
        <v>1</v>
      </c>
      <c r="AL321" s="211">
        <v>0</v>
      </c>
      <c r="AM321" s="211">
        <v>1</v>
      </c>
      <c r="AN321" s="211">
        <v>0</v>
      </c>
      <c r="AO321" s="211">
        <v>0</v>
      </c>
      <c r="AP321" s="211">
        <v>1</v>
      </c>
      <c r="AQ321" s="211">
        <v>1</v>
      </c>
      <c r="AR321" s="211">
        <v>0</v>
      </c>
      <c r="AS321" s="211">
        <v>0</v>
      </c>
      <c r="AT321" s="211">
        <v>1</v>
      </c>
      <c r="AU321" s="211">
        <v>0</v>
      </c>
      <c r="AV321" s="211">
        <v>0</v>
      </c>
      <c r="AW321" s="211">
        <v>1</v>
      </c>
      <c r="AX321" s="211">
        <v>0</v>
      </c>
      <c r="AY321" s="211">
        <v>0</v>
      </c>
      <c r="AZ321" s="211">
        <v>0</v>
      </c>
      <c r="BA321" s="211"/>
      <c r="BB321" s="211">
        <v>1</v>
      </c>
      <c r="BC321" s="211">
        <v>0</v>
      </c>
      <c r="BD321" s="211">
        <v>1</v>
      </c>
      <c r="BE321" s="211">
        <v>0</v>
      </c>
      <c r="BF321" s="211">
        <v>0</v>
      </c>
      <c r="BG321" s="211">
        <v>0</v>
      </c>
      <c r="BH321" s="211">
        <v>0</v>
      </c>
      <c r="BI321" s="211">
        <v>0</v>
      </c>
      <c r="BJ321" s="211">
        <v>0</v>
      </c>
    </row>
    <row r="322" s="211" customFormat="1" ht="28.399999999999999" customHeight="1">
      <c r="B322" s="356"/>
      <c r="C322" s="316"/>
      <c r="D322" s="39"/>
      <c r="E322" s="111" t="s">
        <v>974</v>
      </c>
      <c r="F322" s="39" t="s">
        <v>654</v>
      </c>
      <c r="G322" s="111" t="s">
        <v>498</v>
      </c>
      <c r="H322" s="313">
        <v>16820</v>
      </c>
      <c r="I322" s="313">
        <v>16844</v>
      </c>
      <c r="J322" s="170"/>
      <c r="L322" s="39" t="s">
        <v>325</v>
      </c>
      <c r="M322" s="39">
        <v>0</v>
      </c>
      <c r="N322" s="39">
        <v>1</v>
      </c>
      <c r="O322" s="39">
        <v>0</v>
      </c>
      <c r="P322" s="39"/>
      <c r="Q322" s="39">
        <v>0</v>
      </c>
      <c r="R322" s="39">
        <v>0</v>
      </c>
      <c r="S322" s="39">
        <v>0</v>
      </c>
      <c r="T322" s="39"/>
      <c r="U322" s="39">
        <v>0</v>
      </c>
      <c r="V322" s="39">
        <v>0</v>
      </c>
      <c r="W322" s="39">
        <v>1</v>
      </c>
      <c r="X322" s="39">
        <v>1</v>
      </c>
      <c r="Y322" s="39">
        <v>0</v>
      </c>
      <c r="Z322" s="39">
        <v>1</v>
      </c>
      <c r="AA322" s="39">
        <v>1</v>
      </c>
      <c r="AB322" s="39">
        <v>0</v>
      </c>
      <c r="AC322" s="39">
        <v>0</v>
      </c>
      <c r="AD322" s="39">
        <v>0</v>
      </c>
      <c r="AE322" s="39">
        <v>1</v>
      </c>
      <c r="AF322" s="39">
        <v>1</v>
      </c>
      <c r="AG322" s="39">
        <v>1</v>
      </c>
      <c r="AH322" s="39">
        <v>1</v>
      </c>
      <c r="AI322" s="39">
        <v>1</v>
      </c>
      <c r="AJ322" s="39">
        <v>1</v>
      </c>
      <c r="AK322" s="39">
        <v>0</v>
      </c>
      <c r="AL322" s="39">
        <v>0</v>
      </c>
      <c r="AM322" s="39">
        <v>1</v>
      </c>
      <c r="AN322" s="39">
        <v>0</v>
      </c>
      <c r="AO322" s="39">
        <v>0</v>
      </c>
      <c r="AP322" s="39">
        <v>1</v>
      </c>
      <c r="AQ322" s="39">
        <v>0</v>
      </c>
      <c r="AR322" s="39">
        <v>0</v>
      </c>
      <c r="AS322" s="39">
        <v>0</v>
      </c>
      <c r="AT322" s="39">
        <v>0</v>
      </c>
      <c r="AU322" s="39">
        <v>0</v>
      </c>
      <c r="AV322" s="39">
        <v>0</v>
      </c>
      <c r="AW322" s="39">
        <v>0</v>
      </c>
      <c r="AX322" s="39">
        <v>0</v>
      </c>
      <c r="AY322" s="39">
        <v>0</v>
      </c>
      <c r="AZ322" s="39">
        <v>0</v>
      </c>
      <c r="BB322" s="39">
        <v>0</v>
      </c>
      <c r="BC322" s="39">
        <v>0</v>
      </c>
      <c r="BD322" s="39">
        <v>0</v>
      </c>
      <c r="BE322" s="39">
        <v>0</v>
      </c>
      <c r="BF322" s="39">
        <v>0</v>
      </c>
      <c r="BG322" s="39">
        <v>0</v>
      </c>
      <c r="BH322" s="39">
        <v>0</v>
      </c>
      <c r="BI322" s="39">
        <v>0</v>
      </c>
      <c r="BJ322" s="39">
        <v>0</v>
      </c>
    </row>
    <row r="323" ht="14.25" customHeight="1">
      <c r="B323" s="316"/>
      <c r="C323" s="316"/>
      <c r="D323" s="39"/>
      <c r="E323" s="111" t="s">
        <v>975</v>
      </c>
      <c r="F323" s="39" t="s">
        <v>529</v>
      </c>
      <c r="G323" s="111" t="s">
        <v>498</v>
      </c>
      <c r="H323" s="313">
        <v>16959</v>
      </c>
      <c r="I323" s="313">
        <v>16979</v>
      </c>
      <c r="J323" s="170"/>
      <c r="L323" s="39" t="s">
        <v>325</v>
      </c>
      <c r="M323" s="39">
        <v>0</v>
      </c>
      <c r="N323" s="39">
        <v>0</v>
      </c>
      <c r="O323" s="39">
        <v>1</v>
      </c>
      <c r="Q323" s="39">
        <v>0</v>
      </c>
      <c r="R323" s="39">
        <v>0</v>
      </c>
      <c r="S323" s="39">
        <v>0</v>
      </c>
      <c r="U323" s="39">
        <v>0</v>
      </c>
      <c r="V323" s="39">
        <v>0</v>
      </c>
      <c r="W323" s="39">
        <v>1</v>
      </c>
      <c r="X323" s="39">
        <v>1</v>
      </c>
      <c r="Y323" s="39">
        <v>0</v>
      </c>
      <c r="Z323" s="39">
        <v>1</v>
      </c>
      <c r="AA323" s="39">
        <v>1</v>
      </c>
      <c r="AB323" s="39">
        <v>0</v>
      </c>
      <c r="AC323" s="39">
        <v>0</v>
      </c>
      <c r="AD323" s="39">
        <v>0</v>
      </c>
      <c r="AE323" s="39">
        <v>0</v>
      </c>
      <c r="AF323" s="39">
        <v>0</v>
      </c>
      <c r="AG323" s="39">
        <v>1</v>
      </c>
      <c r="AH323" s="39">
        <v>1</v>
      </c>
      <c r="AI323" s="39">
        <v>0</v>
      </c>
      <c r="AJ323" s="39">
        <v>0</v>
      </c>
      <c r="AK323" s="39">
        <v>0</v>
      </c>
      <c r="AL323" s="39">
        <v>1</v>
      </c>
      <c r="AM323" s="39">
        <v>0</v>
      </c>
      <c r="AN323" s="39">
        <v>0</v>
      </c>
      <c r="AO323" s="39">
        <v>1</v>
      </c>
      <c r="AP323" s="39">
        <v>0</v>
      </c>
      <c r="AQ323" s="39">
        <v>0</v>
      </c>
      <c r="AR323" s="39">
        <v>0</v>
      </c>
      <c r="AS323" s="39">
        <v>0</v>
      </c>
      <c r="AT323" s="39">
        <v>0</v>
      </c>
      <c r="AU323" s="39">
        <v>0</v>
      </c>
      <c r="AV323" s="39">
        <v>0</v>
      </c>
      <c r="AW323" s="39">
        <v>0</v>
      </c>
      <c r="AX323" s="39">
        <v>0</v>
      </c>
      <c r="AY323" s="39">
        <v>0</v>
      </c>
      <c r="AZ323" s="39">
        <v>0</v>
      </c>
      <c r="BB323" s="39">
        <v>0</v>
      </c>
      <c r="BC323" s="39">
        <v>0</v>
      </c>
      <c r="BD323" s="39">
        <v>0</v>
      </c>
      <c r="BE323" s="39">
        <v>0</v>
      </c>
      <c r="BF323" s="39">
        <v>0</v>
      </c>
      <c r="BG323" s="39">
        <v>0</v>
      </c>
      <c r="BH323" s="39">
        <v>0</v>
      </c>
      <c r="BI323" s="39">
        <v>0</v>
      </c>
      <c r="BJ323" s="39">
        <v>0</v>
      </c>
    </row>
    <row r="324" ht="68.650000000000006" customHeight="1">
      <c r="B324" s="316"/>
      <c r="C324" s="316"/>
      <c r="D324" s="39"/>
      <c r="E324" s="363" t="s">
        <v>976</v>
      </c>
      <c r="F324" s="39" t="s">
        <v>533</v>
      </c>
      <c r="G324" s="363" t="s">
        <v>498</v>
      </c>
      <c r="H324" s="291">
        <v>17160</v>
      </c>
      <c r="I324" s="291">
        <v>17181</v>
      </c>
      <c r="J324" s="170" t="s">
        <v>845</v>
      </c>
      <c r="L324" s="39" t="s">
        <v>447</v>
      </c>
      <c r="M324" s="39">
        <v>0</v>
      </c>
      <c r="N324" s="39">
        <v>0</v>
      </c>
      <c r="O324" s="39">
        <v>0</v>
      </c>
      <c r="Q324" s="39">
        <v>1</v>
      </c>
      <c r="R324" s="39">
        <v>0</v>
      </c>
      <c r="S324" s="39">
        <v>1</v>
      </c>
      <c r="U324" s="39">
        <v>0</v>
      </c>
      <c r="V324" s="39">
        <v>1</v>
      </c>
      <c r="W324" s="39">
        <v>0</v>
      </c>
      <c r="X324" s="39">
        <v>1</v>
      </c>
      <c r="Y324" s="39">
        <v>1</v>
      </c>
      <c r="Z324" s="39">
        <v>0</v>
      </c>
      <c r="AA324" s="39">
        <v>0</v>
      </c>
      <c r="AB324" s="39">
        <v>1</v>
      </c>
      <c r="AC324" s="39">
        <v>0</v>
      </c>
      <c r="AD324" s="39">
        <v>0</v>
      </c>
      <c r="AE324" s="39">
        <v>1</v>
      </c>
      <c r="AF324" s="39">
        <v>1</v>
      </c>
      <c r="AG324" s="39">
        <v>1</v>
      </c>
      <c r="AH324" s="39">
        <v>1</v>
      </c>
      <c r="AI324" s="39">
        <v>1</v>
      </c>
      <c r="AJ324" s="39">
        <v>1</v>
      </c>
      <c r="AK324" s="39">
        <v>1</v>
      </c>
      <c r="AL324" s="39">
        <v>0</v>
      </c>
      <c r="AM324" s="39">
        <v>1</v>
      </c>
      <c r="AN324" s="39">
        <v>0</v>
      </c>
      <c r="AO324" s="39">
        <v>0</v>
      </c>
      <c r="AP324" s="39">
        <v>1</v>
      </c>
      <c r="AQ324" s="39">
        <v>1</v>
      </c>
      <c r="AR324" s="39">
        <v>1</v>
      </c>
      <c r="AS324" s="39">
        <v>1</v>
      </c>
      <c r="AT324" s="39">
        <v>1</v>
      </c>
      <c r="AU324" s="39">
        <v>0</v>
      </c>
      <c r="AV324" s="39">
        <v>0</v>
      </c>
      <c r="AW324" s="39">
        <v>1</v>
      </c>
      <c r="AX324" s="39">
        <v>0</v>
      </c>
      <c r="AY324" s="39">
        <v>0</v>
      </c>
      <c r="AZ324" s="39">
        <v>0</v>
      </c>
      <c r="BB324" s="39">
        <v>1</v>
      </c>
      <c r="BC324" s="39">
        <v>0</v>
      </c>
      <c r="BD324" s="39">
        <v>1</v>
      </c>
      <c r="BE324" s="39">
        <v>0</v>
      </c>
      <c r="BF324" s="39">
        <v>0</v>
      </c>
      <c r="BG324" s="39">
        <v>0</v>
      </c>
      <c r="BH324" s="39">
        <v>0</v>
      </c>
      <c r="BI324" s="39">
        <v>0</v>
      </c>
      <c r="BJ324" s="39">
        <v>0</v>
      </c>
    </row>
    <row r="325" ht="14.25" customHeight="1">
      <c r="A325" s="144"/>
      <c r="B325" s="237"/>
      <c r="C325" s="237"/>
      <c r="D325" s="144"/>
      <c r="E325" s="364" t="s">
        <v>977</v>
      </c>
      <c r="F325" s="144" t="s">
        <v>654</v>
      </c>
      <c r="G325" s="364" t="s">
        <v>498</v>
      </c>
      <c r="H325" s="320">
        <v>17375</v>
      </c>
      <c r="I325" s="320">
        <v>17399</v>
      </c>
      <c r="J325" s="239"/>
      <c r="K325" s="144"/>
      <c r="L325" s="144" t="s">
        <v>325</v>
      </c>
      <c r="M325" s="144">
        <v>0</v>
      </c>
      <c r="N325" s="144">
        <v>0</v>
      </c>
      <c r="O325" s="144">
        <v>1</v>
      </c>
      <c r="Q325" s="144">
        <v>0</v>
      </c>
      <c r="R325" s="144">
        <v>0</v>
      </c>
      <c r="S325" s="144">
        <v>0</v>
      </c>
      <c r="U325" s="144">
        <v>0</v>
      </c>
      <c r="V325" s="144">
        <v>1</v>
      </c>
      <c r="W325" s="144">
        <v>0</v>
      </c>
      <c r="X325" s="144">
        <v>1</v>
      </c>
      <c r="Y325" s="144">
        <v>0</v>
      </c>
      <c r="Z325" s="144">
        <v>1</v>
      </c>
      <c r="AA325" s="144">
        <v>1</v>
      </c>
      <c r="AB325" s="144">
        <v>0</v>
      </c>
      <c r="AC325" s="144">
        <v>0</v>
      </c>
      <c r="AD325" s="144">
        <v>0</v>
      </c>
      <c r="AE325" s="144">
        <v>0</v>
      </c>
      <c r="AF325" s="144">
        <v>0</v>
      </c>
      <c r="AG325" s="144">
        <v>1</v>
      </c>
      <c r="AH325" s="144">
        <v>1</v>
      </c>
      <c r="AI325" s="144">
        <v>0</v>
      </c>
      <c r="AJ325" s="144">
        <v>0</v>
      </c>
      <c r="AK325" s="144">
        <v>0</v>
      </c>
      <c r="AL325" s="144">
        <v>0</v>
      </c>
      <c r="AM325" s="144">
        <v>1</v>
      </c>
      <c r="AN325" s="144">
        <v>0</v>
      </c>
      <c r="AO325" s="144">
        <v>0</v>
      </c>
      <c r="AP325" s="144">
        <v>1</v>
      </c>
      <c r="AQ325" s="144">
        <v>0</v>
      </c>
      <c r="AR325" s="144">
        <v>0</v>
      </c>
      <c r="AS325" s="144">
        <v>0</v>
      </c>
      <c r="AT325" s="144">
        <v>0</v>
      </c>
      <c r="AU325" s="144">
        <v>0</v>
      </c>
      <c r="AV325" s="144">
        <v>0</v>
      </c>
      <c r="AW325" s="144">
        <v>0</v>
      </c>
      <c r="AX325" s="144">
        <v>0</v>
      </c>
      <c r="AY325" s="144">
        <v>0</v>
      </c>
      <c r="AZ325" s="144">
        <v>0</v>
      </c>
      <c r="BA325" s="144"/>
      <c r="BB325" s="144">
        <v>0</v>
      </c>
      <c r="BC325" s="144">
        <v>0</v>
      </c>
      <c r="BD325" s="144">
        <v>0</v>
      </c>
      <c r="BE325" s="144">
        <v>0</v>
      </c>
      <c r="BF325" s="144">
        <v>0</v>
      </c>
      <c r="BG325" s="144">
        <v>0</v>
      </c>
      <c r="BH325" s="144">
        <v>0</v>
      </c>
      <c r="BI325" s="144">
        <v>0</v>
      </c>
      <c r="BJ325" s="144">
        <v>0</v>
      </c>
    </row>
    <row r="326" s="144" customFormat="1" ht="41.75" customHeight="1">
      <c r="B326" s="316" t="s">
        <v>513</v>
      </c>
      <c r="C326" s="356" t="s">
        <v>247</v>
      </c>
      <c r="D326" s="211" t="s">
        <v>248</v>
      </c>
      <c r="E326" s="196" t="s">
        <v>978</v>
      </c>
      <c r="F326" s="39" t="s">
        <v>625</v>
      </c>
      <c r="G326" s="196" t="s">
        <v>498</v>
      </c>
      <c r="H326" s="291">
        <v>5336</v>
      </c>
      <c r="I326" s="291">
        <v>5343</v>
      </c>
      <c r="J326" s="170"/>
      <c r="K326" s="211">
        <v>17</v>
      </c>
      <c r="L326" s="39" t="s">
        <v>447</v>
      </c>
      <c r="M326" s="39">
        <v>0</v>
      </c>
      <c r="N326" s="39">
        <v>0</v>
      </c>
      <c r="O326" s="39">
        <v>0</v>
      </c>
      <c r="P326" s="39"/>
      <c r="Q326" s="39">
        <v>1</v>
      </c>
      <c r="R326" s="39">
        <v>0</v>
      </c>
      <c r="S326" s="39">
        <v>0</v>
      </c>
      <c r="T326" s="39"/>
      <c r="U326" s="39">
        <v>0</v>
      </c>
      <c r="V326" s="39">
        <v>1</v>
      </c>
      <c r="W326" s="39">
        <v>0</v>
      </c>
      <c r="X326" s="39">
        <v>1</v>
      </c>
      <c r="Y326" s="39">
        <v>1</v>
      </c>
      <c r="Z326" s="39">
        <v>0</v>
      </c>
      <c r="AA326" s="39">
        <v>0</v>
      </c>
      <c r="AB326" s="39">
        <v>1</v>
      </c>
      <c r="AC326" s="39">
        <v>0</v>
      </c>
      <c r="AD326" s="39">
        <v>0</v>
      </c>
      <c r="AE326" s="39">
        <v>1</v>
      </c>
      <c r="AF326" s="39">
        <v>1</v>
      </c>
      <c r="AG326" s="39">
        <v>1</v>
      </c>
      <c r="AH326" s="39">
        <v>1</v>
      </c>
      <c r="AI326" s="39">
        <v>0</v>
      </c>
      <c r="AJ326" s="39">
        <v>0</v>
      </c>
      <c r="AK326" s="39">
        <v>0</v>
      </c>
      <c r="AL326" s="39">
        <v>0</v>
      </c>
      <c r="AM326" s="39">
        <v>1</v>
      </c>
      <c r="AN326" s="39">
        <v>0</v>
      </c>
      <c r="AO326" s="39">
        <v>0</v>
      </c>
      <c r="AP326" s="39">
        <v>1</v>
      </c>
      <c r="AQ326" s="39">
        <v>0</v>
      </c>
      <c r="AR326" s="39">
        <v>0</v>
      </c>
      <c r="AS326" s="39">
        <v>0</v>
      </c>
      <c r="AT326" s="39">
        <v>0</v>
      </c>
      <c r="AU326" s="39">
        <v>0</v>
      </c>
      <c r="AV326" s="39">
        <v>0</v>
      </c>
      <c r="AW326" s="39">
        <v>0</v>
      </c>
      <c r="AX326" s="39">
        <v>0</v>
      </c>
      <c r="AY326" s="39">
        <v>0</v>
      </c>
      <c r="AZ326" s="39">
        <v>0</v>
      </c>
      <c r="BB326" s="39">
        <v>0</v>
      </c>
      <c r="BC326" s="39">
        <v>0</v>
      </c>
      <c r="BD326" s="39">
        <v>0</v>
      </c>
      <c r="BE326" s="39">
        <v>0</v>
      </c>
      <c r="BF326" s="39">
        <v>0</v>
      </c>
      <c r="BG326" s="39">
        <v>0</v>
      </c>
      <c r="BH326" s="39">
        <v>0</v>
      </c>
      <c r="BI326" s="39">
        <v>0</v>
      </c>
      <c r="BJ326" s="39">
        <v>0</v>
      </c>
    </row>
    <row r="327" ht="28.399999999999999" customHeight="1">
      <c r="B327" s="316"/>
      <c r="C327" s="316"/>
      <c r="D327" s="39"/>
      <c r="E327" s="196" t="s">
        <v>979</v>
      </c>
      <c r="F327" s="39" t="s">
        <v>646</v>
      </c>
      <c r="G327" s="196" t="s">
        <v>498</v>
      </c>
      <c r="H327" s="291">
        <v>5919</v>
      </c>
      <c r="I327" s="291">
        <v>5935</v>
      </c>
      <c r="J327" s="170"/>
      <c r="L327" s="39" t="s">
        <v>325</v>
      </c>
      <c r="M327" s="39">
        <v>0</v>
      </c>
      <c r="N327" s="39">
        <v>0</v>
      </c>
      <c r="O327" s="39">
        <v>0</v>
      </c>
      <c r="Q327" s="39">
        <v>0</v>
      </c>
      <c r="R327" s="39">
        <v>0</v>
      </c>
      <c r="S327" s="39">
        <v>0</v>
      </c>
      <c r="U327" s="39">
        <v>1</v>
      </c>
      <c r="V327" s="39">
        <v>1</v>
      </c>
      <c r="W327" s="39">
        <v>0</v>
      </c>
      <c r="X327" s="39">
        <v>0</v>
      </c>
      <c r="Y327" s="39">
        <v>1</v>
      </c>
      <c r="Z327" s="39">
        <v>0</v>
      </c>
      <c r="AA327" s="39">
        <v>1</v>
      </c>
      <c r="AB327" s="39">
        <v>0</v>
      </c>
      <c r="AC327" s="39">
        <v>0</v>
      </c>
      <c r="AD327" s="39">
        <v>0</v>
      </c>
      <c r="AE327" s="39">
        <v>1</v>
      </c>
      <c r="AF327" s="39">
        <v>1</v>
      </c>
      <c r="AG327" s="39">
        <v>0</v>
      </c>
      <c r="AH327" s="39">
        <v>0</v>
      </c>
      <c r="AI327" s="39">
        <v>1</v>
      </c>
      <c r="AJ327" s="39">
        <v>1</v>
      </c>
      <c r="AK327" s="39">
        <v>0</v>
      </c>
      <c r="AL327" s="39">
        <v>0</v>
      </c>
      <c r="AM327" s="39">
        <v>1</v>
      </c>
      <c r="AN327" s="39">
        <v>0</v>
      </c>
      <c r="AO327" s="39">
        <v>1</v>
      </c>
      <c r="AP327" s="39">
        <v>0</v>
      </c>
      <c r="AQ327" s="39">
        <v>0</v>
      </c>
      <c r="AR327" s="39">
        <v>0</v>
      </c>
      <c r="AS327" s="39">
        <v>0</v>
      </c>
      <c r="AT327" s="39">
        <v>0</v>
      </c>
      <c r="AU327" s="39">
        <v>0</v>
      </c>
      <c r="AV327" s="39">
        <v>0</v>
      </c>
      <c r="AW327" s="39">
        <v>0</v>
      </c>
      <c r="AX327" s="39">
        <v>0</v>
      </c>
      <c r="AY327" s="39">
        <v>0</v>
      </c>
      <c r="AZ327" s="39">
        <v>0</v>
      </c>
      <c r="BB327" s="39">
        <v>0</v>
      </c>
      <c r="BC327" s="39">
        <v>0</v>
      </c>
      <c r="BD327" s="39">
        <v>0</v>
      </c>
      <c r="BE327" s="39">
        <v>0</v>
      </c>
      <c r="BF327" s="39">
        <v>0</v>
      </c>
      <c r="BG327" s="39">
        <v>0</v>
      </c>
      <c r="BH327" s="39">
        <v>0</v>
      </c>
      <c r="BI327" s="39">
        <v>0</v>
      </c>
      <c r="BJ327" s="39">
        <v>0</v>
      </c>
    </row>
    <row r="328" ht="28.399999999999999" customHeight="1">
      <c r="B328" s="316"/>
      <c r="C328" s="316"/>
      <c r="D328" s="39"/>
      <c r="E328" s="111" t="s">
        <v>980</v>
      </c>
      <c r="F328" s="39" t="s">
        <v>898</v>
      </c>
      <c r="G328" s="111" t="s">
        <v>498</v>
      </c>
      <c r="H328" s="313">
        <v>6277</v>
      </c>
      <c r="I328" s="313">
        <v>6296</v>
      </c>
      <c r="J328" s="170"/>
      <c r="L328" s="39" t="s">
        <v>447</v>
      </c>
      <c r="M328" s="39">
        <v>0</v>
      </c>
      <c r="N328" s="39">
        <v>0</v>
      </c>
      <c r="O328" s="39">
        <v>0</v>
      </c>
      <c r="Q328" s="39">
        <v>1</v>
      </c>
      <c r="R328" s="39">
        <v>0</v>
      </c>
      <c r="S328" s="39">
        <v>0</v>
      </c>
      <c r="U328" s="39">
        <v>0</v>
      </c>
      <c r="V328" s="39">
        <v>1</v>
      </c>
      <c r="W328" s="39">
        <v>0</v>
      </c>
      <c r="X328" s="39">
        <v>0</v>
      </c>
      <c r="Y328" s="39">
        <v>1</v>
      </c>
      <c r="Z328" s="39">
        <v>0</v>
      </c>
      <c r="AA328" s="39">
        <v>1</v>
      </c>
      <c r="AB328" s="39">
        <v>0</v>
      </c>
      <c r="AC328" s="39">
        <v>0</v>
      </c>
      <c r="AD328" s="39">
        <v>0</v>
      </c>
      <c r="AE328" s="39">
        <v>1</v>
      </c>
      <c r="AF328" s="39">
        <v>1</v>
      </c>
      <c r="AG328" s="39">
        <v>1</v>
      </c>
      <c r="AH328" s="39">
        <v>1</v>
      </c>
      <c r="AI328" s="39">
        <v>0</v>
      </c>
      <c r="AJ328" s="39">
        <v>0</v>
      </c>
      <c r="AK328" s="39">
        <v>0</v>
      </c>
      <c r="AL328" s="39">
        <v>0</v>
      </c>
      <c r="AM328" s="39">
        <v>1</v>
      </c>
      <c r="AN328" s="39">
        <v>0</v>
      </c>
      <c r="AO328" s="39">
        <v>1</v>
      </c>
      <c r="AP328" s="39">
        <v>0</v>
      </c>
      <c r="AQ328" s="39">
        <v>0</v>
      </c>
      <c r="AR328" s="39">
        <v>0</v>
      </c>
      <c r="AS328" s="39">
        <v>0</v>
      </c>
      <c r="AT328" s="39">
        <v>0</v>
      </c>
      <c r="AU328" s="39">
        <v>0</v>
      </c>
      <c r="AV328" s="39">
        <v>0</v>
      </c>
      <c r="AW328" s="39">
        <v>0</v>
      </c>
      <c r="AX328" s="39">
        <v>0</v>
      </c>
      <c r="AY328" s="39">
        <v>0</v>
      </c>
      <c r="AZ328" s="39">
        <v>0</v>
      </c>
      <c r="BB328" s="39">
        <v>0</v>
      </c>
      <c r="BC328" s="39">
        <v>0</v>
      </c>
      <c r="BD328" s="39">
        <v>0</v>
      </c>
      <c r="BE328" s="39">
        <v>0</v>
      </c>
      <c r="BF328" s="39">
        <v>0</v>
      </c>
      <c r="BG328" s="39">
        <v>0</v>
      </c>
      <c r="BH328" s="39">
        <v>0</v>
      </c>
      <c r="BI328" s="39">
        <v>0</v>
      </c>
      <c r="BJ328" s="39">
        <v>0</v>
      </c>
    </row>
    <row r="329" ht="14.25" customHeight="1">
      <c r="B329" s="316"/>
      <c r="C329" s="316"/>
      <c r="D329" s="39"/>
      <c r="E329" s="111" t="s">
        <v>981</v>
      </c>
      <c r="F329" s="39" t="s">
        <v>541</v>
      </c>
      <c r="G329" s="111" t="s">
        <v>498</v>
      </c>
      <c r="H329" s="313">
        <v>6393</v>
      </c>
      <c r="I329" s="313">
        <v>6401</v>
      </c>
      <c r="J329" s="170"/>
      <c r="L329" s="39" t="s">
        <v>325</v>
      </c>
      <c r="M329" s="39">
        <v>1</v>
      </c>
      <c r="N329" s="39">
        <v>0</v>
      </c>
      <c r="O329" s="39">
        <v>0</v>
      </c>
      <c r="Q329" s="39">
        <v>0</v>
      </c>
      <c r="R329" s="39">
        <v>0</v>
      </c>
      <c r="S329" s="39">
        <v>0</v>
      </c>
      <c r="U329" s="39">
        <v>0</v>
      </c>
      <c r="V329" s="39">
        <v>1</v>
      </c>
      <c r="W329" s="39">
        <v>0</v>
      </c>
      <c r="X329" s="39">
        <v>0</v>
      </c>
      <c r="Y329" s="39">
        <v>0</v>
      </c>
      <c r="Z329" s="39">
        <v>1</v>
      </c>
      <c r="AA329" s="39">
        <v>1</v>
      </c>
      <c r="AB329" s="39">
        <v>0</v>
      </c>
      <c r="AC329" s="39">
        <v>0</v>
      </c>
      <c r="AD329" s="39">
        <v>0</v>
      </c>
      <c r="AE329" s="39">
        <v>1</v>
      </c>
      <c r="AF329" s="39">
        <v>1</v>
      </c>
      <c r="AG329" s="39">
        <v>0</v>
      </c>
      <c r="AH329" s="39">
        <v>0</v>
      </c>
      <c r="AI329" s="39">
        <v>0</v>
      </c>
      <c r="AJ329" s="39">
        <v>1</v>
      </c>
      <c r="AK329" s="39">
        <v>0</v>
      </c>
      <c r="AL329" s="39">
        <v>1</v>
      </c>
      <c r="AM329" s="39">
        <v>0</v>
      </c>
      <c r="AN329" s="39">
        <v>0</v>
      </c>
      <c r="AO329" s="39">
        <v>0</v>
      </c>
      <c r="AP329" s="39">
        <v>1</v>
      </c>
      <c r="AQ329" s="39">
        <v>0</v>
      </c>
      <c r="AR329" s="39">
        <v>0</v>
      </c>
      <c r="AS329" s="39">
        <v>0</v>
      </c>
      <c r="AT329" s="39">
        <v>0</v>
      </c>
      <c r="AU329" s="39">
        <v>0</v>
      </c>
      <c r="AV329" s="39">
        <v>0</v>
      </c>
      <c r="AW329" s="39">
        <v>0</v>
      </c>
      <c r="AX329" s="39">
        <v>0</v>
      </c>
      <c r="AY329" s="39">
        <v>0</v>
      </c>
      <c r="AZ329" s="39">
        <v>0</v>
      </c>
      <c r="BB329" s="39">
        <v>0</v>
      </c>
      <c r="BC329" s="39">
        <v>0</v>
      </c>
      <c r="BD329" s="39">
        <v>0</v>
      </c>
      <c r="BE329" s="39">
        <v>0</v>
      </c>
      <c r="BF329" s="39">
        <v>0</v>
      </c>
      <c r="BG329" s="39">
        <v>0</v>
      </c>
      <c r="BH329" s="39">
        <v>0</v>
      </c>
      <c r="BI329" s="39">
        <v>0</v>
      </c>
      <c r="BJ329" s="39">
        <v>0</v>
      </c>
    </row>
    <row r="330" ht="28.399999999999999" customHeight="1">
      <c r="B330" s="316"/>
      <c r="C330" s="316"/>
      <c r="D330" s="39"/>
      <c r="E330" s="111" t="s">
        <v>982</v>
      </c>
      <c r="F330" s="39" t="s">
        <v>608</v>
      </c>
      <c r="G330" s="111" t="s">
        <v>498</v>
      </c>
      <c r="H330" s="313">
        <v>6451</v>
      </c>
      <c r="I330" s="313">
        <v>6463</v>
      </c>
      <c r="J330" s="170"/>
      <c r="L330" s="39" t="s">
        <v>325</v>
      </c>
      <c r="M330" s="39">
        <v>0</v>
      </c>
      <c r="N330" s="39">
        <v>1</v>
      </c>
      <c r="O330" s="39">
        <v>0</v>
      </c>
      <c r="Q330" s="39">
        <v>0</v>
      </c>
      <c r="R330" s="39">
        <v>0</v>
      </c>
      <c r="S330" s="39">
        <v>0</v>
      </c>
      <c r="U330" s="39">
        <v>0</v>
      </c>
      <c r="V330" s="39">
        <v>1</v>
      </c>
      <c r="W330" s="39">
        <v>0</v>
      </c>
      <c r="X330" s="39">
        <v>0</v>
      </c>
      <c r="Y330" s="39">
        <v>0</v>
      </c>
      <c r="Z330" s="39">
        <v>1</v>
      </c>
      <c r="AA330" s="39">
        <v>1</v>
      </c>
      <c r="AB330" s="39">
        <v>0</v>
      </c>
      <c r="AC330" s="39">
        <v>0</v>
      </c>
      <c r="AD330" s="39">
        <v>0</v>
      </c>
      <c r="AE330" s="39">
        <v>1</v>
      </c>
      <c r="AF330" s="39">
        <v>1</v>
      </c>
      <c r="AG330" s="39">
        <v>1</v>
      </c>
      <c r="AH330" s="39">
        <v>1</v>
      </c>
      <c r="AI330" s="39">
        <v>1</v>
      </c>
      <c r="AJ330" s="39">
        <v>1</v>
      </c>
      <c r="AK330" s="39">
        <v>0</v>
      </c>
      <c r="AL330" s="39">
        <v>1</v>
      </c>
      <c r="AM330" s="39">
        <v>0</v>
      </c>
      <c r="AN330" s="39">
        <v>0</v>
      </c>
      <c r="AO330" s="39">
        <v>0</v>
      </c>
      <c r="AP330" s="39">
        <v>1</v>
      </c>
      <c r="AQ330" s="39">
        <v>0</v>
      </c>
      <c r="AR330" s="39">
        <v>0</v>
      </c>
      <c r="AS330" s="39">
        <v>0</v>
      </c>
      <c r="AT330" s="39">
        <v>0</v>
      </c>
      <c r="AU330" s="39">
        <v>0</v>
      </c>
      <c r="AV330" s="39">
        <v>0</v>
      </c>
      <c r="AW330" s="39">
        <v>0</v>
      </c>
      <c r="AX330" s="39">
        <v>0</v>
      </c>
      <c r="AY330" s="39">
        <v>0</v>
      </c>
      <c r="AZ330" s="39">
        <v>0</v>
      </c>
      <c r="BB330" s="39">
        <v>0</v>
      </c>
      <c r="BC330" s="39">
        <v>0</v>
      </c>
      <c r="BD330" s="39">
        <v>0</v>
      </c>
      <c r="BE330" s="39">
        <v>0</v>
      </c>
      <c r="BF330" s="39">
        <v>0</v>
      </c>
      <c r="BG330" s="39">
        <v>0</v>
      </c>
      <c r="BH330" s="39">
        <v>0</v>
      </c>
      <c r="BI330" s="39">
        <v>0</v>
      </c>
      <c r="BJ330" s="39">
        <v>0</v>
      </c>
    </row>
    <row r="331" ht="28.399999999999999" customHeight="1">
      <c r="B331" s="316"/>
      <c r="C331" s="316"/>
      <c r="D331" s="39"/>
      <c r="E331" s="111" t="s">
        <v>983</v>
      </c>
      <c r="F331" s="39" t="s">
        <v>502</v>
      </c>
      <c r="G331" s="111" t="s">
        <v>498</v>
      </c>
      <c r="H331" s="313">
        <v>14551</v>
      </c>
      <c r="I331" s="313">
        <v>14568</v>
      </c>
      <c r="J331" s="170"/>
      <c r="L331" s="39" t="s">
        <v>325</v>
      </c>
      <c r="M331" s="39">
        <v>1</v>
      </c>
      <c r="N331" s="39">
        <v>0</v>
      </c>
      <c r="O331" s="39">
        <v>0</v>
      </c>
      <c r="Q331" s="39">
        <v>0</v>
      </c>
      <c r="R331" s="39">
        <v>0</v>
      </c>
      <c r="S331" s="39">
        <v>0</v>
      </c>
      <c r="U331" s="39">
        <v>0</v>
      </c>
      <c r="V331" s="39">
        <v>0</v>
      </c>
      <c r="W331" s="39">
        <v>1</v>
      </c>
      <c r="X331" s="39">
        <v>0</v>
      </c>
      <c r="Y331" s="39">
        <v>1</v>
      </c>
      <c r="Z331" s="39">
        <v>0</v>
      </c>
      <c r="AA331" s="39">
        <v>1</v>
      </c>
      <c r="AB331" s="39">
        <v>0</v>
      </c>
      <c r="AC331" s="39">
        <v>0</v>
      </c>
      <c r="AD331" s="39">
        <v>0</v>
      </c>
      <c r="AE331" s="39">
        <v>1</v>
      </c>
      <c r="AF331" s="39">
        <v>1</v>
      </c>
      <c r="AG331" s="39">
        <v>0</v>
      </c>
      <c r="AH331" s="39">
        <v>0</v>
      </c>
      <c r="AI331" s="39">
        <v>0</v>
      </c>
      <c r="AJ331" s="39">
        <v>0</v>
      </c>
      <c r="AK331" s="39">
        <v>0</v>
      </c>
      <c r="AL331" s="39">
        <v>1</v>
      </c>
      <c r="AM331" s="39">
        <v>0</v>
      </c>
      <c r="AN331" s="39">
        <v>0</v>
      </c>
      <c r="AO331" s="39">
        <v>0</v>
      </c>
      <c r="AP331" s="39">
        <v>1</v>
      </c>
      <c r="AQ331" s="39">
        <v>0</v>
      </c>
      <c r="AR331" s="39">
        <v>0</v>
      </c>
      <c r="AS331" s="39">
        <v>0</v>
      </c>
      <c r="AT331" s="39">
        <v>0</v>
      </c>
      <c r="AU331" s="39">
        <v>0</v>
      </c>
      <c r="AV331" s="39">
        <v>0</v>
      </c>
      <c r="AW331" s="39">
        <v>0</v>
      </c>
      <c r="AX331" s="39">
        <v>0</v>
      </c>
      <c r="AY331" s="39">
        <v>0</v>
      </c>
      <c r="AZ331" s="39">
        <v>0</v>
      </c>
      <c r="BB331" s="39">
        <v>0</v>
      </c>
      <c r="BC331" s="39">
        <v>0</v>
      </c>
      <c r="BD331" s="39">
        <v>0</v>
      </c>
      <c r="BE331" s="39">
        <v>0</v>
      </c>
      <c r="BF331" s="39">
        <v>0</v>
      </c>
      <c r="BG331" s="39">
        <v>0</v>
      </c>
      <c r="BH331" s="39">
        <v>0</v>
      </c>
      <c r="BI331" s="39">
        <v>0</v>
      </c>
      <c r="BJ331" s="39">
        <v>0</v>
      </c>
    </row>
    <row r="332" ht="41.75" customHeight="1">
      <c r="B332" s="316"/>
      <c r="C332" s="316"/>
      <c r="D332" s="39"/>
      <c r="E332" s="111" t="s">
        <v>984</v>
      </c>
      <c r="F332" s="39" t="s">
        <v>985</v>
      </c>
      <c r="G332" s="111" t="s">
        <v>498</v>
      </c>
      <c r="H332" s="313">
        <v>14641</v>
      </c>
      <c r="I332" s="313">
        <v>14713</v>
      </c>
      <c r="J332" s="170"/>
      <c r="L332" s="39" t="s">
        <v>325</v>
      </c>
      <c r="M332" s="39">
        <v>0</v>
      </c>
      <c r="N332" s="39">
        <v>0</v>
      </c>
      <c r="O332" s="39">
        <v>1</v>
      </c>
      <c r="Q332" s="39">
        <v>0</v>
      </c>
      <c r="R332" s="39">
        <v>0</v>
      </c>
      <c r="S332" s="39">
        <v>0</v>
      </c>
      <c r="U332" s="39">
        <v>0</v>
      </c>
      <c r="V332" s="39">
        <v>0</v>
      </c>
      <c r="W332" s="39">
        <v>1</v>
      </c>
      <c r="X332" s="39">
        <v>1</v>
      </c>
      <c r="Y332" s="39">
        <v>0</v>
      </c>
      <c r="Z332" s="39">
        <v>1</v>
      </c>
      <c r="AA332" s="39">
        <v>1</v>
      </c>
      <c r="AB332" s="39">
        <v>0</v>
      </c>
      <c r="AC332" s="39">
        <v>0</v>
      </c>
      <c r="AD332" s="39">
        <v>0</v>
      </c>
      <c r="AE332" s="39">
        <v>1</v>
      </c>
      <c r="AF332" s="39">
        <v>1</v>
      </c>
      <c r="AG332" s="39">
        <v>0</v>
      </c>
      <c r="AH332" s="39">
        <v>0</v>
      </c>
      <c r="AI332" s="39">
        <v>0</v>
      </c>
      <c r="AJ332" s="39">
        <v>0</v>
      </c>
      <c r="AK332" s="39">
        <v>0</v>
      </c>
      <c r="AL332" s="39">
        <v>1</v>
      </c>
      <c r="AM332" s="39">
        <v>0</v>
      </c>
      <c r="AN332" s="39">
        <v>0</v>
      </c>
      <c r="AO332" s="39">
        <v>0</v>
      </c>
      <c r="AP332" s="39">
        <v>1</v>
      </c>
      <c r="AQ332" s="39">
        <v>0</v>
      </c>
      <c r="AR332" s="39">
        <v>0</v>
      </c>
      <c r="AS332" s="39">
        <v>0</v>
      </c>
      <c r="AT332" s="39">
        <v>0</v>
      </c>
      <c r="AU332" s="39">
        <v>0</v>
      </c>
      <c r="AV332" s="39">
        <v>0</v>
      </c>
      <c r="AW332" s="39">
        <v>0</v>
      </c>
      <c r="AX332" s="39">
        <v>0</v>
      </c>
      <c r="AY332" s="39">
        <v>0</v>
      </c>
      <c r="AZ332" s="39">
        <v>0</v>
      </c>
      <c r="BB332" s="39">
        <v>0</v>
      </c>
      <c r="BC332" s="39">
        <v>0</v>
      </c>
      <c r="BD332" s="39">
        <v>0</v>
      </c>
      <c r="BE332" s="39">
        <v>0</v>
      </c>
      <c r="BF332" s="39">
        <v>0</v>
      </c>
      <c r="BG332" s="39">
        <v>0</v>
      </c>
      <c r="BH332" s="39">
        <v>0</v>
      </c>
      <c r="BI332" s="39">
        <v>0</v>
      </c>
      <c r="BJ332" s="39">
        <v>0</v>
      </c>
    </row>
    <row r="333" ht="41.75" customHeight="1">
      <c r="B333" s="316"/>
      <c r="C333" s="316"/>
      <c r="D333" s="39"/>
      <c r="E333" s="196" t="s">
        <v>986</v>
      </c>
      <c r="F333" s="39" t="s">
        <v>987</v>
      </c>
      <c r="G333" s="196" t="s">
        <v>498</v>
      </c>
      <c r="H333" s="291">
        <v>15152</v>
      </c>
      <c r="I333" s="291">
        <v>15194</v>
      </c>
      <c r="J333" s="170"/>
      <c r="L333" s="39" t="s">
        <v>325</v>
      </c>
      <c r="M333" s="39">
        <v>0</v>
      </c>
      <c r="N333" s="39">
        <v>0</v>
      </c>
      <c r="O333" s="39">
        <v>0</v>
      </c>
      <c r="Q333" s="39">
        <v>0</v>
      </c>
      <c r="R333" s="39">
        <v>0</v>
      </c>
      <c r="S333" s="39">
        <v>0</v>
      </c>
      <c r="U333" s="39">
        <v>1</v>
      </c>
      <c r="V333" s="39">
        <v>0</v>
      </c>
      <c r="W333" s="39">
        <v>1</v>
      </c>
      <c r="X333" s="39">
        <v>1</v>
      </c>
      <c r="Y333" s="39">
        <v>0</v>
      </c>
      <c r="Z333" s="39">
        <v>1</v>
      </c>
      <c r="AA333" s="39">
        <v>0</v>
      </c>
      <c r="AB333" s="39">
        <v>0</v>
      </c>
      <c r="AC333" s="39">
        <v>0</v>
      </c>
      <c r="AD333" s="39">
        <v>1</v>
      </c>
      <c r="AE333" s="39">
        <v>0</v>
      </c>
      <c r="AF333" s="39">
        <v>1</v>
      </c>
      <c r="AG333" s="39">
        <v>0</v>
      </c>
      <c r="AH333" s="39">
        <v>0</v>
      </c>
      <c r="AI333" s="39">
        <v>0</v>
      </c>
      <c r="AJ333" s="39">
        <v>0</v>
      </c>
      <c r="AK333" s="39">
        <v>0</v>
      </c>
      <c r="AL333" s="39">
        <v>1</v>
      </c>
      <c r="AM333" s="39">
        <v>0</v>
      </c>
      <c r="AN333" s="39">
        <v>0</v>
      </c>
      <c r="AO333" s="39">
        <v>1</v>
      </c>
      <c r="AP333" s="39">
        <v>0</v>
      </c>
      <c r="AQ333" s="39">
        <v>0</v>
      </c>
      <c r="AR333" s="39">
        <v>0</v>
      </c>
      <c r="AS333" s="39">
        <v>0</v>
      </c>
      <c r="AT333" s="39">
        <v>0</v>
      </c>
      <c r="AU333" s="39">
        <v>0</v>
      </c>
      <c r="AV333" s="39">
        <v>0</v>
      </c>
      <c r="AW333" s="39">
        <v>0</v>
      </c>
      <c r="AX333" s="39">
        <v>0</v>
      </c>
      <c r="AY333" s="39">
        <v>0</v>
      </c>
      <c r="AZ333" s="39">
        <v>0</v>
      </c>
      <c r="BB333" s="39">
        <v>0</v>
      </c>
      <c r="BC333" s="39">
        <v>0</v>
      </c>
      <c r="BD333" s="39">
        <v>0</v>
      </c>
      <c r="BE333" s="39">
        <v>0</v>
      </c>
      <c r="BF333" s="39">
        <v>0</v>
      </c>
      <c r="BG333" s="39">
        <v>0</v>
      </c>
      <c r="BH333" s="39">
        <v>0</v>
      </c>
      <c r="BI333" s="39">
        <v>0</v>
      </c>
      <c r="BJ333" s="39">
        <v>0</v>
      </c>
    </row>
    <row r="334" ht="28.399999999999999" customHeight="1">
      <c r="B334" s="316"/>
      <c r="C334" s="316"/>
      <c r="D334" s="39"/>
      <c r="E334" s="111" t="s">
        <v>988</v>
      </c>
      <c r="F334" s="39" t="s">
        <v>608</v>
      </c>
      <c r="G334" s="111" t="s">
        <v>498</v>
      </c>
      <c r="H334" s="313">
        <v>15560</v>
      </c>
      <c r="I334" s="313">
        <v>15572</v>
      </c>
      <c r="J334" s="170"/>
      <c r="L334" s="39" t="s">
        <v>325</v>
      </c>
      <c r="M334" s="39">
        <v>0</v>
      </c>
      <c r="N334" s="39">
        <v>0</v>
      </c>
      <c r="O334" s="39">
        <v>0</v>
      </c>
      <c r="Q334" s="39">
        <v>0</v>
      </c>
      <c r="R334" s="39">
        <v>0</v>
      </c>
      <c r="S334" s="39">
        <v>0</v>
      </c>
      <c r="U334" s="39">
        <v>1</v>
      </c>
      <c r="V334" s="39">
        <v>0</v>
      </c>
      <c r="W334" s="39">
        <v>1</v>
      </c>
      <c r="X334" s="39">
        <v>0</v>
      </c>
      <c r="Y334" s="39">
        <v>0</v>
      </c>
      <c r="Z334" s="39">
        <v>1</v>
      </c>
      <c r="AA334" s="39">
        <v>0</v>
      </c>
      <c r="AB334" s="39">
        <v>0</v>
      </c>
      <c r="AC334" s="39">
        <v>0</v>
      </c>
      <c r="AD334" s="39">
        <v>1</v>
      </c>
      <c r="AE334" s="39">
        <v>0</v>
      </c>
      <c r="AF334" s="39">
        <v>1</v>
      </c>
      <c r="AG334" s="39">
        <v>0</v>
      </c>
      <c r="AH334" s="39">
        <v>0</v>
      </c>
      <c r="AI334" s="39">
        <v>0</v>
      </c>
      <c r="AJ334" s="39">
        <v>0</v>
      </c>
      <c r="AK334" s="39">
        <v>0</v>
      </c>
      <c r="AL334" s="39">
        <v>1</v>
      </c>
      <c r="AM334" s="39">
        <v>0</v>
      </c>
      <c r="AN334" s="39">
        <v>0</v>
      </c>
      <c r="AO334" s="39">
        <v>1</v>
      </c>
      <c r="AP334" s="39">
        <v>0</v>
      </c>
      <c r="AQ334" s="39">
        <v>0</v>
      </c>
      <c r="AR334" s="39">
        <v>0</v>
      </c>
      <c r="AS334" s="39">
        <v>0</v>
      </c>
      <c r="AT334" s="39">
        <v>0</v>
      </c>
      <c r="AU334" s="39">
        <v>0</v>
      </c>
      <c r="AV334" s="39">
        <v>0</v>
      </c>
      <c r="AW334" s="39">
        <v>0</v>
      </c>
      <c r="AX334" s="39">
        <v>0</v>
      </c>
      <c r="AY334" s="39">
        <v>0</v>
      </c>
      <c r="AZ334" s="39">
        <v>0</v>
      </c>
      <c r="BB334" s="39">
        <v>0</v>
      </c>
      <c r="BC334" s="39">
        <v>0</v>
      </c>
      <c r="BD334" s="39">
        <v>0</v>
      </c>
      <c r="BE334" s="39">
        <v>0</v>
      </c>
      <c r="BF334" s="39">
        <v>0</v>
      </c>
      <c r="BG334" s="39">
        <v>0</v>
      </c>
      <c r="BH334" s="39">
        <v>0</v>
      </c>
      <c r="BI334" s="39">
        <v>0</v>
      </c>
      <c r="BJ334" s="39">
        <v>0</v>
      </c>
    </row>
    <row r="335" ht="14.25" customHeight="1">
      <c r="B335" s="316"/>
      <c r="C335" s="316"/>
      <c r="D335" s="39"/>
      <c r="E335" s="170" t="s">
        <v>989</v>
      </c>
      <c r="F335" s="39" t="s">
        <v>610</v>
      </c>
      <c r="G335" s="170" t="s">
        <v>498</v>
      </c>
      <c r="H335" s="326">
        <v>15670</v>
      </c>
      <c r="I335" s="326">
        <v>15683</v>
      </c>
      <c r="J335" s="170" t="s">
        <v>657</v>
      </c>
      <c r="L335" s="39" t="s">
        <v>325</v>
      </c>
      <c r="M335" s="39">
        <v>1</v>
      </c>
      <c r="N335" s="39">
        <v>0</v>
      </c>
      <c r="O335" s="39">
        <v>0</v>
      </c>
      <c r="Q335" s="39">
        <v>0</v>
      </c>
      <c r="R335" s="39">
        <v>0</v>
      </c>
      <c r="S335" s="39">
        <v>0</v>
      </c>
      <c r="U335" s="39">
        <v>0</v>
      </c>
      <c r="V335" s="39">
        <v>1</v>
      </c>
      <c r="W335" s="39">
        <v>0</v>
      </c>
      <c r="X335" s="39">
        <v>0</v>
      </c>
      <c r="Y335" s="39">
        <v>1</v>
      </c>
      <c r="Z335" s="39">
        <v>0</v>
      </c>
      <c r="AA335" s="39">
        <v>1</v>
      </c>
      <c r="AB335" s="39">
        <v>0</v>
      </c>
      <c r="AC335" s="39">
        <v>0</v>
      </c>
      <c r="AD335" s="39">
        <v>0</v>
      </c>
      <c r="AE335" s="39">
        <v>1</v>
      </c>
      <c r="AF335" s="39">
        <v>1</v>
      </c>
      <c r="AG335" s="39">
        <v>0</v>
      </c>
      <c r="AH335" s="39">
        <v>0</v>
      </c>
      <c r="AI335" s="39">
        <v>0</v>
      </c>
      <c r="AJ335" s="39">
        <v>0</v>
      </c>
      <c r="AK335" s="39">
        <v>0</v>
      </c>
      <c r="AL335" s="39">
        <v>1</v>
      </c>
      <c r="AM335" s="39">
        <v>0</v>
      </c>
      <c r="AN335" s="39">
        <v>0</v>
      </c>
      <c r="AO335" s="39">
        <v>1</v>
      </c>
      <c r="AP335" s="39">
        <v>0</v>
      </c>
      <c r="AQ335" s="39">
        <v>0</v>
      </c>
      <c r="AR335" s="39">
        <v>0</v>
      </c>
      <c r="AS335" s="39">
        <v>0</v>
      </c>
      <c r="AT335" s="39">
        <v>0</v>
      </c>
      <c r="AU335" s="39">
        <v>0</v>
      </c>
      <c r="AV335" s="39">
        <v>0</v>
      </c>
      <c r="AW335" s="39">
        <v>0</v>
      </c>
      <c r="AX335" s="39">
        <v>0</v>
      </c>
      <c r="AY335" s="39">
        <v>0</v>
      </c>
      <c r="AZ335" s="39">
        <v>0</v>
      </c>
      <c r="BB335" s="39">
        <v>0</v>
      </c>
      <c r="BC335" s="39">
        <v>0</v>
      </c>
      <c r="BD335" s="39">
        <v>0</v>
      </c>
      <c r="BE335" s="39">
        <v>0</v>
      </c>
      <c r="BF335" s="39">
        <v>0</v>
      </c>
      <c r="BG335" s="39">
        <v>0</v>
      </c>
      <c r="BH335" s="39">
        <v>0</v>
      </c>
      <c r="BI335" s="39">
        <v>0</v>
      </c>
      <c r="BJ335" s="39">
        <v>0</v>
      </c>
    </row>
    <row r="336" ht="28.399999999999999" customHeight="1">
      <c r="B336" s="316"/>
      <c r="C336" s="316"/>
      <c r="D336" s="39"/>
      <c r="E336" s="111" t="s">
        <v>990</v>
      </c>
      <c r="F336" s="39" t="s">
        <v>541</v>
      </c>
      <c r="G336" s="111" t="s">
        <v>498</v>
      </c>
      <c r="H336" s="313">
        <v>15713</v>
      </c>
      <c r="I336" s="313">
        <v>15721</v>
      </c>
      <c r="J336" s="111" t="s">
        <v>499</v>
      </c>
      <c r="L336" s="39" t="s">
        <v>325</v>
      </c>
      <c r="M336" s="39">
        <v>1</v>
      </c>
      <c r="N336" s="39">
        <v>0</v>
      </c>
      <c r="O336" s="39">
        <v>0</v>
      </c>
      <c r="Q336" s="39">
        <v>0</v>
      </c>
      <c r="R336" s="39">
        <v>0</v>
      </c>
      <c r="S336" s="39">
        <v>0</v>
      </c>
      <c r="U336" s="39">
        <v>0</v>
      </c>
      <c r="V336" s="39">
        <v>1</v>
      </c>
      <c r="W336" s="39">
        <v>0</v>
      </c>
      <c r="X336" s="39">
        <v>0</v>
      </c>
      <c r="Y336" s="39">
        <v>0</v>
      </c>
      <c r="Z336" s="39">
        <v>1</v>
      </c>
      <c r="AA336" s="39">
        <v>1</v>
      </c>
      <c r="AB336" s="39">
        <v>0</v>
      </c>
      <c r="AC336" s="39">
        <v>0</v>
      </c>
      <c r="AD336" s="39">
        <v>0</v>
      </c>
      <c r="AE336" s="39">
        <v>1</v>
      </c>
      <c r="AF336" s="39">
        <v>1</v>
      </c>
      <c r="AG336" s="39">
        <v>0</v>
      </c>
      <c r="AH336" s="39">
        <v>0</v>
      </c>
      <c r="AI336" s="39">
        <v>0</v>
      </c>
      <c r="AJ336" s="39">
        <v>0</v>
      </c>
      <c r="AK336" s="39">
        <v>0</v>
      </c>
      <c r="AL336" s="39">
        <v>1</v>
      </c>
      <c r="AM336" s="39">
        <v>0</v>
      </c>
      <c r="AN336" s="39">
        <v>0</v>
      </c>
      <c r="AO336" s="39">
        <v>0</v>
      </c>
      <c r="AP336" s="39">
        <v>1</v>
      </c>
      <c r="AQ336" s="39">
        <v>0</v>
      </c>
      <c r="AR336" s="39">
        <v>0</v>
      </c>
      <c r="AS336" s="39">
        <v>0</v>
      </c>
      <c r="AT336" s="39">
        <v>0</v>
      </c>
      <c r="AU336" s="39">
        <v>0</v>
      </c>
      <c r="AV336" s="39">
        <v>0</v>
      </c>
      <c r="AW336" s="39">
        <v>0</v>
      </c>
      <c r="AX336" s="39">
        <v>0</v>
      </c>
      <c r="AY336" s="39">
        <v>0</v>
      </c>
      <c r="AZ336" s="39">
        <v>0</v>
      </c>
      <c r="BB336" s="39">
        <v>0</v>
      </c>
      <c r="BC336" s="39">
        <v>0</v>
      </c>
      <c r="BD336" s="39">
        <v>0</v>
      </c>
      <c r="BE336" s="39">
        <v>0</v>
      </c>
      <c r="BF336" s="39">
        <v>0</v>
      </c>
      <c r="BG336" s="39">
        <v>0</v>
      </c>
      <c r="BH336" s="39">
        <v>0</v>
      </c>
      <c r="BI336" s="39">
        <v>0</v>
      </c>
      <c r="BJ336" s="39">
        <v>0</v>
      </c>
    </row>
    <row r="337" ht="15" customHeight="1">
      <c r="B337" s="316"/>
      <c r="C337" s="316"/>
      <c r="D337" s="39"/>
      <c r="E337" s="111" t="s">
        <v>991</v>
      </c>
      <c r="F337" s="39" t="s">
        <v>654</v>
      </c>
      <c r="G337" s="111" t="s">
        <v>498</v>
      </c>
      <c r="H337" s="313">
        <v>15751</v>
      </c>
      <c r="I337" s="313">
        <v>15775</v>
      </c>
      <c r="L337" s="39" t="s">
        <v>325</v>
      </c>
      <c r="M337" s="39">
        <v>0</v>
      </c>
      <c r="N337" s="39">
        <v>0</v>
      </c>
      <c r="O337" s="39">
        <v>0</v>
      </c>
      <c r="Q337" s="39">
        <v>0</v>
      </c>
      <c r="R337" s="39">
        <v>0</v>
      </c>
      <c r="S337" s="39">
        <v>0</v>
      </c>
      <c r="U337" s="39">
        <v>1</v>
      </c>
      <c r="V337" s="39">
        <v>0</v>
      </c>
      <c r="W337" s="39">
        <v>1</v>
      </c>
      <c r="X337" s="39">
        <v>1</v>
      </c>
      <c r="Y337" s="39">
        <v>1</v>
      </c>
      <c r="Z337" s="39">
        <v>0</v>
      </c>
      <c r="AA337" s="39">
        <v>1</v>
      </c>
      <c r="AB337" s="39">
        <v>0</v>
      </c>
      <c r="AC337" s="39">
        <v>0</v>
      </c>
      <c r="AD337" s="39">
        <v>0</v>
      </c>
      <c r="AE337" s="39">
        <v>0</v>
      </c>
      <c r="AF337" s="39">
        <v>1</v>
      </c>
      <c r="AG337" s="39">
        <v>0</v>
      </c>
      <c r="AH337" s="39">
        <v>0</v>
      </c>
      <c r="AI337" s="39">
        <v>0</v>
      </c>
      <c r="AJ337" s="39">
        <v>0</v>
      </c>
      <c r="AK337" s="39">
        <v>0</v>
      </c>
      <c r="AL337" s="39">
        <v>1</v>
      </c>
      <c r="AM337" s="39">
        <v>0</v>
      </c>
      <c r="AN337" s="39">
        <v>0</v>
      </c>
      <c r="AO337" s="39">
        <v>1</v>
      </c>
      <c r="AP337" s="39">
        <v>0</v>
      </c>
      <c r="AQ337" s="39">
        <v>0</v>
      </c>
      <c r="AR337" s="39">
        <v>0</v>
      </c>
      <c r="AS337" s="39">
        <v>0</v>
      </c>
      <c r="AT337" s="39">
        <v>0</v>
      </c>
      <c r="AU337" s="39">
        <v>0</v>
      </c>
      <c r="AV337" s="39">
        <v>0</v>
      </c>
      <c r="AW337" s="39">
        <v>0</v>
      </c>
      <c r="AX337" s="39">
        <v>0</v>
      </c>
      <c r="AY337" s="39">
        <v>0</v>
      </c>
      <c r="AZ337" s="39">
        <v>0</v>
      </c>
      <c r="BB337" s="39">
        <v>0</v>
      </c>
      <c r="BC337" s="39">
        <v>0</v>
      </c>
      <c r="BD337" s="39">
        <v>0</v>
      </c>
      <c r="BE337" s="39">
        <v>0</v>
      </c>
      <c r="BF337" s="39">
        <v>0</v>
      </c>
      <c r="BG337" s="39">
        <v>0</v>
      </c>
      <c r="BH337" s="39">
        <v>0</v>
      </c>
      <c r="BI337" s="39">
        <v>0</v>
      </c>
      <c r="BJ337" s="39">
        <v>0</v>
      </c>
    </row>
    <row r="338" ht="28.399999999999999" customHeight="1">
      <c r="B338" s="316"/>
      <c r="C338" s="316"/>
      <c r="D338" s="39"/>
      <c r="E338" s="111" t="s">
        <v>992</v>
      </c>
      <c r="F338" s="39" t="s">
        <v>529</v>
      </c>
      <c r="G338" s="111" t="s">
        <v>498</v>
      </c>
      <c r="H338" s="313">
        <v>15871</v>
      </c>
      <c r="I338" s="313">
        <v>15891</v>
      </c>
      <c r="J338" s="111" t="s">
        <v>499</v>
      </c>
      <c r="L338" s="39" t="s">
        <v>325</v>
      </c>
      <c r="M338" s="39">
        <v>0</v>
      </c>
      <c r="N338" s="39">
        <v>0</v>
      </c>
      <c r="O338" s="39">
        <v>0</v>
      </c>
      <c r="Q338" s="39">
        <v>0</v>
      </c>
      <c r="R338" s="39">
        <v>0</v>
      </c>
      <c r="S338" s="39">
        <v>0</v>
      </c>
      <c r="U338" s="39">
        <v>1</v>
      </c>
      <c r="V338" s="39">
        <v>1</v>
      </c>
      <c r="W338" s="39">
        <v>0</v>
      </c>
      <c r="X338" s="39">
        <v>0</v>
      </c>
      <c r="Y338" s="39">
        <v>1</v>
      </c>
      <c r="Z338" s="39">
        <v>0</v>
      </c>
      <c r="AA338" s="39">
        <v>1</v>
      </c>
      <c r="AB338" s="39">
        <v>0</v>
      </c>
      <c r="AC338" s="39">
        <v>0</v>
      </c>
      <c r="AD338" s="39">
        <v>0</v>
      </c>
      <c r="AE338" s="39">
        <v>1</v>
      </c>
      <c r="AF338" s="39">
        <v>1</v>
      </c>
      <c r="AG338" s="39">
        <v>1</v>
      </c>
      <c r="AH338" s="39">
        <v>1</v>
      </c>
      <c r="AI338" s="39">
        <v>1</v>
      </c>
      <c r="AJ338" s="39">
        <v>1</v>
      </c>
      <c r="AK338" s="39">
        <v>0</v>
      </c>
      <c r="AL338" s="39">
        <v>1</v>
      </c>
      <c r="AM338" s="39">
        <v>0</v>
      </c>
      <c r="AN338" s="39">
        <v>1</v>
      </c>
      <c r="AO338" s="39">
        <v>0</v>
      </c>
      <c r="AP338" s="39">
        <v>1</v>
      </c>
      <c r="AQ338" s="39">
        <v>0</v>
      </c>
      <c r="AR338" s="39">
        <v>0</v>
      </c>
      <c r="AS338" s="39">
        <v>0</v>
      </c>
      <c r="AT338" s="39">
        <v>0</v>
      </c>
      <c r="AU338" s="39">
        <v>0</v>
      </c>
      <c r="AV338" s="39">
        <v>0</v>
      </c>
      <c r="AW338" s="39">
        <v>0</v>
      </c>
      <c r="AX338" s="39">
        <v>0</v>
      </c>
      <c r="AY338" s="39">
        <v>0</v>
      </c>
      <c r="AZ338" s="39">
        <v>0</v>
      </c>
      <c r="BB338" s="39">
        <v>0</v>
      </c>
      <c r="BC338" s="39">
        <v>0</v>
      </c>
      <c r="BD338" s="39">
        <v>0</v>
      </c>
      <c r="BE338" s="39">
        <v>0</v>
      </c>
      <c r="BF338" s="39">
        <v>0</v>
      </c>
      <c r="BG338" s="39">
        <v>0</v>
      </c>
      <c r="BH338" s="39">
        <v>0</v>
      </c>
      <c r="BI338" s="39">
        <v>0</v>
      </c>
      <c r="BJ338" s="39">
        <v>0</v>
      </c>
    </row>
    <row r="339" ht="14.25" customHeight="1">
      <c r="B339" s="316"/>
      <c r="C339" s="316"/>
      <c r="D339" s="39"/>
      <c r="E339" s="111" t="s">
        <v>993</v>
      </c>
      <c r="F339" s="39" t="s">
        <v>512</v>
      </c>
      <c r="G339" s="111" t="s">
        <v>498</v>
      </c>
      <c r="H339" s="313">
        <v>17117</v>
      </c>
      <c r="I339" s="313">
        <v>17131</v>
      </c>
      <c r="L339" s="39" t="s">
        <v>325</v>
      </c>
      <c r="M339" s="39">
        <v>1</v>
      </c>
      <c r="N339" s="39">
        <v>0</v>
      </c>
      <c r="O339" s="39">
        <v>0</v>
      </c>
      <c r="Q339" s="39">
        <v>0</v>
      </c>
      <c r="R339" s="39">
        <v>0</v>
      </c>
      <c r="S339" s="39">
        <v>0</v>
      </c>
      <c r="U339" s="39">
        <v>0</v>
      </c>
      <c r="V339" s="39">
        <v>0</v>
      </c>
      <c r="W339" s="39">
        <v>1</v>
      </c>
      <c r="X339" s="39">
        <v>1</v>
      </c>
      <c r="Y339" s="39">
        <v>0</v>
      </c>
      <c r="Z339" s="39">
        <v>1</v>
      </c>
      <c r="AA339" s="39">
        <v>1</v>
      </c>
      <c r="AB339" s="39">
        <v>0</v>
      </c>
      <c r="AC339" s="39">
        <v>0</v>
      </c>
      <c r="AD339" s="39">
        <v>0</v>
      </c>
      <c r="AE339" s="39">
        <v>1</v>
      </c>
      <c r="AF339" s="39">
        <v>1</v>
      </c>
      <c r="AG339" s="39">
        <v>0</v>
      </c>
      <c r="AH339" s="39">
        <v>0</v>
      </c>
      <c r="AI339" s="39">
        <v>0</v>
      </c>
      <c r="AJ339" s="39">
        <v>0</v>
      </c>
      <c r="AK339" s="39">
        <v>0</v>
      </c>
      <c r="AL339" s="39">
        <v>1</v>
      </c>
      <c r="AM339" s="39">
        <v>0</v>
      </c>
      <c r="AN339" s="39">
        <v>0</v>
      </c>
      <c r="AO339" s="39">
        <v>1</v>
      </c>
      <c r="AP339" s="39">
        <v>0</v>
      </c>
      <c r="AQ339" s="39">
        <v>0</v>
      </c>
      <c r="AR339" s="39">
        <v>0</v>
      </c>
      <c r="AS339" s="39">
        <v>0</v>
      </c>
      <c r="AT339" s="39">
        <v>0</v>
      </c>
      <c r="AU339" s="39">
        <v>0</v>
      </c>
      <c r="AV339" s="39">
        <v>0</v>
      </c>
      <c r="AW339" s="39">
        <v>0</v>
      </c>
      <c r="AX339" s="39">
        <v>0</v>
      </c>
      <c r="AY339" s="39">
        <v>0</v>
      </c>
      <c r="AZ339" s="39">
        <v>0</v>
      </c>
      <c r="BB339" s="39">
        <v>0</v>
      </c>
      <c r="BC339" s="39">
        <v>0</v>
      </c>
      <c r="BD339" s="39">
        <v>0</v>
      </c>
      <c r="BE339" s="39">
        <v>0</v>
      </c>
      <c r="BF339" s="39">
        <v>0</v>
      </c>
      <c r="BG339" s="39">
        <v>0</v>
      </c>
      <c r="BH339" s="39">
        <v>0</v>
      </c>
      <c r="BI339" s="39">
        <v>0</v>
      </c>
      <c r="BJ339" s="39">
        <v>0</v>
      </c>
    </row>
    <row r="340" ht="14.25" customHeight="1">
      <c r="B340" s="316"/>
      <c r="C340" s="316"/>
      <c r="D340" s="39"/>
      <c r="E340" s="111" t="s">
        <v>994</v>
      </c>
      <c r="F340" s="39" t="s">
        <v>535</v>
      </c>
      <c r="G340" s="111" t="s">
        <v>498</v>
      </c>
      <c r="H340" s="313">
        <v>17929</v>
      </c>
      <c r="I340" s="313">
        <v>17938</v>
      </c>
      <c r="L340" s="39" t="s">
        <v>447</v>
      </c>
      <c r="M340" s="39">
        <v>0</v>
      </c>
      <c r="N340" s="39">
        <v>0</v>
      </c>
      <c r="O340" s="39">
        <v>0</v>
      </c>
      <c r="Q340" s="39">
        <v>0</v>
      </c>
      <c r="R340" s="39">
        <v>0</v>
      </c>
      <c r="S340" s="39">
        <v>1</v>
      </c>
      <c r="U340" s="39">
        <v>0</v>
      </c>
      <c r="V340" s="39">
        <v>1</v>
      </c>
      <c r="W340" s="39">
        <v>0</v>
      </c>
      <c r="X340" s="39">
        <v>0</v>
      </c>
      <c r="Y340" s="39">
        <v>1</v>
      </c>
      <c r="Z340" s="39">
        <v>0</v>
      </c>
      <c r="AA340" s="39">
        <v>0</v>
      </c>
      <c r="AB340" s="39">
        <v>1</v>
      </c>
      <c r="AC340" s="39">
        <v>0</v>
      </c>
      <c r="AD340" s="39">
        <v>0</v>
      </c>
      <c r="AE340" s="39">
        <v>1</v>
      </c>
      <c r="AF340" s="39">
        <v>1</v>
      </c>
      <c r="AG340" s="39">
        <v>0</v>
      </c>
      <c r="AH340" s="39">
        <v>0</v>
      </c>
      <c r="AI340" s="39">
        <v>0</v>
      </c>
      <c r="AJ340" s="39">
        <v>0</v>
      </c>
      <c r="AK340" s="39">
        <v>0</v>
      </c>
      <c r="AL340" s="39">
        <v>0</v>
      </c>
      <c r="AM340" s="39">
        <v>1</v>
      </c>
      <c r="AN340" s="39">
        <v>0</v>
      </c>
      <c r="AO340" s="39">
        <v>0</v>
      </c>
      <c r="AP340" s="39">
        <v>1</v>
      </c>
      <c r="AQ340" s="39">
        <v>0</v>
      </c>
      <c r="AR340" s="39">
        <v>0</v>
      </c>
      <c r="AS340" s="39">
        <v>0</v>
      </c>
      <c r="AT340" s="39">
        <v>0</v>
      </c>
      <c r="AU340" s="39">
        <v>0</v>
      </c>
      <c r="AV340" s="39">
        <v>0</v>
      </c>
      <c r="AW340" s="39">
        <v>0</v>
      </c>
      <c r="AX340" s="39">
        <v>0</v>
      </c>
      <c r="AY340" s="39">
        <v>0</v>
      </c>
      <c r="AZ340" s="39">
        <v>0</v>
      </c>
      <c r="BB340" s="39">
        <v>0</v>
      </c>
      <c r="BC340" s="39">
        <v>0</v>
      </c>
      <c r="BD340" s="39">
        <v>0</v>
      </c>
      <c r="BE340" s="39">
        <v>0</v>
      </c>
      <c r="BF340" s="39">
        <v>0</v>
      </c>
      <c r="BG340" s="39">
        <v>0</v>
      </c>
      <c r="BH340" s="39">
        <v>0</v>
      </c>
      <c r="BI340" s="39">
        <v>0</v>
      </c>
      <c r="BJ340" s="39">
        <v>0</v>
      </c>
    </row>
    <row r="341" ht="41.75" customHeight="1">
      <c r="B341" s="316"/>
      <c r="C341" s="316"/>
      <c r="D341" s="39"/>
      <c r="E341" s="111" t="s">
        <v>995</v>
      </c>
      <c r="F341" s="39" t="s">
        <v>544</v>
      </c>
      <c r="G341" s="111" t="s">
        <v>498</v>
      </c>
      <c r="H341" s="313">
        <v>18121</v>
      </c>
      <c r="I341" s="313">
        <v>18136</v>
      </c>
      <c r="L341" s="39" t="s">
        <v>325</v>
      </c>
      <c r="M341" s="39">
        <v>1</v>
      </c>
      <c r="N341" s="39">
        <v>0</v>
      </c>
      <c r="O341" s="39">
        <v>0</v>
      </c>
      <c r="Q341" s="39">
        <v>0</v>
      </c>
      <c r="R341" s="39">
        <v>0</v>
      </c>
      <c r="S341" s="39">
        <v>0</v>
      </c>
      <c r="U341" s="39">
        <v>0</v>
      </c>
      <c r="V341" s="39">
        <v>0</v>
      </c>
      <c r="W341" s="39">
        <v>1</v>
      </c>
      <c r="X341" s="39">
        <v>0</v>
      </c>
      <c r="Y341" s="39">
        <v>1</v>
      </c>
      <c r="Z341" s="39">
        <v>0</v>
      </c>
      <c r="AA341" s="39">
        <v>1</v>
      </c>
      <c r="AB341" s="39">
        <v>0</v>
      </c>
      <c r="AC341" s="39">
        <v>0</v>
      </c>
      <c r="AD341" s="39">
        <v>0</v>
      </c>
      <c r="AE341" s="39">
        <v>1</v>
      </c>
      <c r="AF341" s="39">
        <v>1</v>
      </c>
      <c r="AG341" s="39">
        <v>0</v>
      </c>
      <c r="AH341" s="39">
        <v>0</v>
      </c>
      <c r="AI341" s="39">
        <v>0</v>
      </c>
      <c r="AJ341" s="39">
        <v>0</v>
      </c>
      <c r="AK341" s="39">
        <v>0</v>
      </c>
      <c r="AL341" s="39">
        <v>0</v>
      </c>
      <c r="AM341" s="39">
        <v>1</v>
      </c>
      <c r="AN341" s="39">
        <v>0</v>
      </c>
      <c r="AO341" s="39">
        <v>1</v>
      </c>
      <c r="AP341" s="39">
        <v>0</v>
      </c>
      <c r="AQ341" s="39">
        <v>0</v>
      </c>
      <c r="AR341" s="39">
        <v>0</v>
      </c>
      <c r="AS341" s="39">
        <v>0</v>
      </c>
      <c r="AT341" s="39">
        <v>0</v>
      </c>
      <c r="AU341" s="39">
        <v>0</v>
      </c>
      <c r="AV341" s="39">
        <v>0</v>
      </c>
      <c r="AW341" s="39">
        <v>0</v>
      </c>
      <c r="AX341" s="39">
        <v>0</v>
      </c>
      <c r="AY341" s="39">
        <v>0</v>
      </c>
      <c r="AZ341" s="39">
        <v>0</v>
      </c>
      <c r="BB341" s="39">
        <v>0</v>
      </c>
      <c r="BC341" s="39">
        <v>0</v>
      </c>
      <c r="BD341" s="39">
        <v>0</v>
      </c>
      <c r="BE341" s="39">
        <v>0</v>
      </c>
      <c r="BF341" s="39">
        <v>0</v>
      </c>
      <c r="BG341" s="39">
        <v>0</v>
      </c>
      <c r="BH341" s="39">
        <v>0</v>
      </c>
      <c r="BI341" s="39">
        <v>0</v>
      </c>
      <c r="BJ341" s="39">
        <v>0</v>
      </c>
    </row>
    <row r="342" ht="28.399999999999999" customHeight="1">
      <c r="B342" s="237"/>
      <c r="C342" s="316"/>
      <c r="D342" s="39"/>
      <c r="E342" s="111" t="s">
        <v>996</v>
      </c>
      <c r="F342" s="39" t="s">
        <v>512</v>
      </c>
      <c r="G342" s="145" t="s">
        <v>498</v>
      </c>
      <c r="H342" s="320">
        <v>18324</v>
      </c>
      <c r="I342" s="320">
        <v>18338</v>
      </c>
      <c r="L342" s="39" t="s">
        <v>325</v>
      </c>
      <c r="M342" s="39">
        <v>0</v>
      </c>
      <c r="N342" s="39">
        <v>0</v>
      </c>
      <c r="O342" s="39">
        <v>0</v>
      </c>
      <c r="Q342" s="39">
        <v>0</v>
      </c>
      <c r="R342" s="39">
        <v>0</v>
      </c>
      <c r="S342" s="39">
        <v>0</v>
      </c>
      <c r="U342" s="39">
        <v>1</v>
      </c>
      <c r="V342" s="39">
        <v>1</v>
      </c>
      <c r="W342" s="39">
        <v>0</v>
      </c>
      <c r="X342" s="39">
        <v>1</v>
      </c>
      <c r="Y342" s="39">
        <v>0</v>
      </c>
      <c r="Z342" s="39">
        <v>1</v>
      </c>
      <c r="AA342" s="39">
        <v>0</v>
      </c>
      <c r="AB342" s="39">
        <v>0</v>
      </c>
      <c r="AC342" s="39">
        <v>0</v>
      </c>
      <c r="AD342" s="39">
        <v>1</v>
      </c>
      <c r="AE342" s="39">
        <v>1</v>
      </c>
      <c r="AF342" s="39">
        <v>1</v>
      </c>
      <c r="AG342" s="39">
        <v>0</v>
      </c>
      <c r="AH342" s="39">
        <v>0</v>
      </c>
      <c r="AI342" s="39">
        <v>0</v>
      </c>
      <c r="AJ342" s="39">
        <v>0</v>
      </c>
      <c r="AK342" s="39">
        <v>0</v>
      </c>
      <c r="AL342" s="39">
        <v>1</v>
      </c>
      <c r="AM342" s="39">
        <v>0</v>
      </c>
      <c r="AN342" s="39">
        <v>0</v>
      </c>
      <c r="AO342" s="39">
        <v>1</v>
      </c>
      <c r="AP342" s="39">
        <v>0</v>
      </c>
      <c r="AQ342" s="39">
        <v>0</v>
      </c>
      <c r="AR342" s="39">
        <v>0</v>
      </c>
      <c r="AS342" s="39">
        <v>0</v>
      </c>
      <c r="AT342" s="39">
        <v>0</v>
      </c>
      <c r="AU342" s="39">
        <v>0</v>
      </c>
      <c r="AV342" s="39">
        <v>0</v>
      </c>
      <c r="AW342" s="39">
        <v>0</v>
      </c>
      <c r="AX342" s="39">
        <v>0</v>
      </c>
      <c r="AY342" s="39">
        <v>0</v>
      </c>
      <c r="AZ342" s="39">
        <v>0</v>
      </c>
      <c r="BB342" s="39">
        <v>0</v>
      </c>
      <c r="BC342" s="39">
        <v>0</v>
      </c>
      <c r="BD342" s="39">
        <v>0</v>
      </c>
      <c r="BE342" s="39">
        <v>0</v>
      </c>
      <c r="BF342" s="39">
        <v>0</v>
      </c>
      <c r="BG342" s="39">
        <v>0</v>
      </c>
      <c r="BH342" s="39">
        <v>0</v>
      </c>
      <c r="BI342" s="39">
        <v>0</v>
      </c>
      <c r="BJ342" s="39">
        <v>0</v>
      </c>
    </row>
    <row r="343" s="211" customFormat="1" ht="28.399999999999999" customHeight="1">
      <c r="A343" s="365" t="s">
        <v>720</v>
      </c>
      <c r="B343" s="316" t="s">
        <v>513</v>
      </c>
      <c r="C343" s="356" t="s">
        <v>250</v>
      </c>
      <c r="D343" s="356" t="s">
        <v>17</v>
      </c>
      <c r="E343" s="355" t="s">
        <v>997</v>
      </c>
      <c r="F343" s="211" t="s">
        <v>550</v>
      </c>
      <c r="G343" s="170" t="s">
        <v>498</v>
      </c>
      <c r="H343" s="326">
        <v>5147</v>
      </c>
      <c r="I343" s="326">
        <v>5177</v>
      </c>
      <c r="J343" s="366" t="s">
        <v>998</v>
      </c>
      <c r="K343" s="211">
        <v>2</v>
      </c>
      <c r="L343" s="211" t="s">
        <v>325</v>
      </c>
      <c r="M343" s="211">
        <v>1</v>
      </c>
      <c r="N343" s="211">
        <v>0</v>
      </c>
      <c r="O343" s="211">
        <v>0</v>
      </c>
      <c r="P343" s="211">
        <v>1</v>
      </c>
      <c r="Q343" s="211">
        <v>0</v>
      </c>
      <c r="R343" s="211">
        <v>0</v>
      </c>
      <c r="S343" s="211">
        <v>0</v>
      </c>
      <c r="T343" s="211">
        <v>0</v>
      </c>
      <c r="U343" s="211">
        <v>0</v>
      </c>
      <c r="V343" s="211">
        <v>0</v>
      </c>
      <c r="W343" s="211">
        <v>1</v>
      </c>
      <c r="X343" s="211">
        <v>0</v>
      </c>
      <c r="Y343" s="211">
        <v>0</v>
      </c>
      <c r="Z343" s="211">
        <v>1</v>
      </c>
      <c r="AA343" s="211">
        <v>1</v>
      </c>
      <c r="AB343" s="211">
        <v>0</v>
      </c>
      <c r="AC343" s="211">
        <v>0</v>
      </c>
      <c r="AD343" s="211">
        <v>0</v>
      </c>
      <c r="AE343" s="211">
        <v>1</v>
      </c>
      <c r="AF343" s="211">
        <v>0</v>
      </c>
      <c r="AG343" s="211">
        <v>0</v>
      </c>
      <c r="AH343" s="211">
        <v>0</v>
      </c>
      <c r="AI343" s="211">
        <v>0</v>
      </c>
      <c r="AJ343" s="211">
        <v>0</v>
      </c>
      <c r="AK343" s="211">
        <v>0</v>
      </c>
      <c r="AL343" s="211">
        <v>0</v>
      </c>
      <c r="AM343" s="211">
        <v>0</v>
      </c>
      <c r="AN343" s="211">
        <v>1</v>
      </c>
      <c r="AO343" s="211">
        <v>1</v>
      </c>
      <c r="AP343" s="211">
        <v>0</v>
      </c>
      <c r="AQ343" s="211">
        <v>1</v>
      </c>
      <c r="AR343" s="211">
        <v>0</v>
      </c>
      <c r="AS343" s="211">
        <v>0</v>
      </c>
      <c r="AT343" s="211">
        <v>1</v>
      </c>
      <c r="AU343" s="211">
        <v>0</v>
      </c>
      <c r="AV343" s="211">
        <v>0</v>
      </c>
      <c r="AW343" s="211">
        <v>0</v>
      </c>
      <c r="AX343" s="211">
        <v>1</v>
      </c>
      <c r="AY343" s="211">
        <v>0</v>
      </c>
      <c r="AZ343" s="211">
        <v>0</v>
      </c>
      <c r="BB343" s="211">
        <v>0</v>
      </c>
      <c r="BC343" s="211">
        <v>0</v>
      </c>
      <c r="BD343" s="211">
        <v>0</v>
      </c>
      <c r="BE343" s="211">
        <v>0</v>
      </c>
      <c r="BF343" s="211">
        <v>0</v>
      </c>
      <c r="BG343" s="211">
        <v>0</v>
      </c>
      <c r="BH343" s="211">
        <v>0</v>
      </c>
      <c r="BI343" s="211">
        <v>0</v>
      </c>
      <c r="BJ343" s="211">
        <v>0</v>
      </c>
    </row>
    <row r="344" ht="41.75" customHeight="1">
      <c r="A344" s="266" t="s">
        <v>720</v>
      </c>
      <c r="B344" s="254"/>
      <c r="C344" s="254"/>
      <c r="D344" s="254"/>
      <c r="E344" s="239" t="s">
        <v>999</v>
      </c>
      <c r="F344" s="237" t="s">
        <v>546</v>
      </c>
      <c r="G344" s="239" t="s">
        <v>498</v>
      </c>
      <c r="H344" s="336">
        <v>18661</v>
      </c>
      <c r="I344" s="336">
        <v>18671</v>
      </c>
      <c r="J344" s="239" t="s">
        <v>1000</v>
      </c>
      <c r="K344" s="144"/>
      <c r="L344" s="144" t="s">
        <v>325</v>
      </c>
      <c r="M344" s="144">
        <v>0</v>
      </c>
      <c r="N344" s="144">
        <v>0</v>
      </c>
      <c r="O344" s="144">
        <v>0</v>
      </c>
      <c r="P344" s="39">
        <v>0</v>
      </c>
      <c r="Q344" s="144">
        <v>0</v>
      </c>
      <c r="R344" s="144">
        <v>0</v>
      </c>
      <c r="S344" s="144">
        <v>0</v>
      </c>
      <c r="T344" s="39">
        <v>0</v>
      </c>
      <c r="U344" s="144">
        <v>1</v>
      </c>
      <c r="V344" s="144">
        <v>1</v>
      </c>
      <c r="W344" s="144">
        <v>0</v>
      </c>
      <c r="X344" s="144">
        <v>0</v>
      </c>
      <c r="Y344" s="144">
        <v>1</v>
      </c>
      <c r="Z344" s="144">
        <v>0</v>
      </c>
      <c r="AA344" s="144">
        <v>0</v>
      </c>
      <c r="AB344" s="144">
        <v>0</v>
      </c>
      <c r="AC344" s="144">
        <v>0</v>
      </c>
      <c r="AD344" s="144">
        <v>1</v>
      </c>
      <c r="AE344" s="144">
        <v>1</v>
      </c>
      <c r="AF344" s="144">
        <v>1</v>
      </c>
      <c r="AG344" s="144">
        <v>1</v>
      </c>
      <c r="AH344" s="144">
        <v>1</v>
      </c>
      <c r="AI344" s="144">
        <v>1</v>
      </c>
      <c r="AJ344" s="144">
        <v>1</v>
      </c>
      <c r="AK344" s="144">
        <v>0</v>
      </c>
      <c r="AL344" s="144">
        <v>1</v>
      </c>
      <c r="AM344" s="144">
        <v>0</v>
      </c>
      <c r="AN344" s="144">
        <v>1</v>
      </c>
      <c r="AO344" s="144">
        <v>0</v>
      </c>
      <c r="AP344" s="144">
        <v>1</v>
      </c>
      <c r="AQ344" s="144">
        <v>0</v>
      </c>
      <c r="AR344" s="144">
        <v>0</v>
      </c>
      <c r="AS344" s="144">
        <v>0</v>
      </c>
      <c r="AT344" s="144">
        <v>0</v>
      </c>
      <c r="AU344" s="144">
        <v>0</v>
      </c>
      <c r="AV344" s="144">
        <v>0</v>
      </c>
      <c r="AW344" s="144">
        <v>0</v>
      </c>
      <c r="AX344" s="144">
        <v>0</v>
      </c>
      <c r="AY344" s="144">
        <v>0</v>
      </c>
      <c r="AZ344" s="144">
        <v>0</v>
      </c>
      <c r="BA344" s="144">
        <v>0</v>
      </c>
      <c r="BB344" s="144">
        <v>0</v>
      </c>
      <c r="BC344" s="144">
        <v>0</v>
      </c>
      <c r="BD344" s="144">
        <v>0</v>
      </c>
      <c r="BE344" s="144">
        <v>0</v>
      </c>
      <c r="BF344" s="144">
        <v>0</v>
      </c>
      <c r="BG344" s="144">
        <v>0</v>
      </c>
      <c r="BH344" s="144">
        <v>0</v>
      </c>
      <c r="BI344" s="144">
        <v>0</v>
      </c>
      <c r="BJ344" s="144">
        <v>0</v>
      </c>
    </row>
    <row r="345" s="144" customFormat="1" ht="41.75" customHeight="1">
      <c r="B345" s="316" t="s">
        <v>513</v>
      </c>
      <c r="C345" s="356" t="s">
        <v>252</v>
      </c>
      <c r="D345" s="211" t="s">
        <v>17</v>
      </c>
      <c r="E345" s="196" t="s">
        <v>1001</v>
      </c>
      <c r="F345" s="39" t="s">
        <v>646</v>
      </c>
      <c r="G345" s="196" t="s">
        <v>498</v>
      </c>
      <c r="H345" s="291">
        <v>15494</v>
      </c>
      <c r="I345" s="291">
        <v>15510</v>
      </c>
      <c r="J345" s="145"/>
      <c r="K345" s="211">
        <v>2</v>
      </c>
      <c r="L345" s="39" t="s">
        <v>447</v>
      </c>
      <c r="M345" s="39">
        <v>1</v>
      </c>
      <c r="N345" s="39">
        <v>0</v>
      </c>
      <c r="O345" s="39">
        <v>0</v>
      </c>
      <c r="P345" s="39">
        <v>1</v>
      </c>
      <c r="Q345" s="39">
        <v>0</v>
      </c>
      <c r="R345" s="39">
        <v>0</v>
      </c>
      <c r="S345" s="39">
        <v>0</v>
      </c>
      <c r="T345" s="39">
        <v>0</v>
      </c>
      <c r="U345" s="39">
        <v>0</v>
      </c>
      <c r="V345" s="39">
        <v>1</v>
      </c>
      <c r="W345" s="39">
        <v>0</v>
      </c>
      <c r="X345" s="39">
        <v>0</v>
      </c>
      <c r="Y345" s="39">
        <v>1</v>
      </c>
      <c r="Z345" s="39">
        <v>0</v>
      </c>
      <c r="AA345" s="39">
        <v>1</v>
      </c>
      <c r="AB345" s="39">
        <v>0</v>
      </c>
      <c r="AC345" s="39">
        <v>0</v>
      </c>
      <c r="AD345" s="39">
        <v>0</v>
      </c>
      <c r="AE345" s="39">
        <v>1</v>
      </c>
      <c r="AF345" s="39">
        <v>1</v>
      </c>
      <c r="AG345" s="39">
        <v>0</v>
      </c>
      <c r="AH345" s="39">
        <v>0</v>
      </c>
      <c r="AI345" s="39">
        <v>0</v>
      </c>
      <c r="AJ345" s="39">
        <v>1</v>
      </c>
      <c r="AK345" s="39">
        <v>1</v>
      </c>
      <c r="AL345" s="39">
        <v>1</v>
      </c>
      <c r="AM345" s="39">
        <v>0</v>
      </c>
      <c r="AN345" s="39">
        <v>0</v>
      </c>
      <c r="AO345" s="39">
        <v>1</v>
      </c>
      <c r="AP345" s="39">
        <v>0</v>
      </c>
      <c r="AQ345" s="39">
        <v>1</v>
      </c>
      <c r="AR345" s="39">
        <v>0</v>
      </c>
      <c r="AS345" s="39">
        <v>1</v>
      </c>
      <c r="AT345" s="39">
        <v>0</v>
      </c>
      <c r="AU345" s="39">
        <v>0</v>
      </c>
      <c r="AV345" s="39">
        <v>0</v>
      </c>
      <c r="AW345" s="39">
        <v>1</v>
      </c>
      <c r="AX345" s="39">
        <v>0</v>
      </c>
      <c r="AY345" s="39">
        <v>0</v>
      </c>
      <c r="AZ345" s="39">
        <v>0</v>
      </c>
      <c r="BA345" s="39">
        <v>0</v>
      </c>
      <c r="BB345" s="39">
        <v>1</v>
      </c>
      <c r="BC345" s="39">
        <v>0</v>
      </c>
      <c r="BD345" s="39">
        <v>0</v>
      </c>
      <c r="BE345" s="39">
        <v>0</v>
      </c>
      <c r="BF345" s="39">
        <v>0</v>
      </c>
      <c r="BG345" s="39">
        <v>0</v>
      </c>
      <c r="BH345" s="39">
        <v>0</v>
      </c>
      <c r="BI345" s="39">
        <v>0</v>
      </c>
      <c r="BJ345" s="39">
        <v>0</v>
      </c>
    </row>
    <row r="346" s="144" customFormat="1" ht="14.25" customHeight="1">
      <c r="A346" s="351" t="s">
        <v>720</v>
      </c>
      <c r="B346" s="237"/>
      <c r="C346" s="237"/>
      <c r="E346" s="239" t="s">
        <v>1002</v>
      </c>
      <c r="F346" s="144" t="s">
        <v>516</v>
      </c>
      <c r="G346" s="239" t="s">
        <v>498</v>
      </c>
      <c r="H346" s="336">
        <v>21150</v>
      </c>
      <c r="I346" s="336">
        <v>21153</v>
      </c>
      <c r="J346" s="192" t="s">
        <v>1003</v>
      </c>
      <c r="L346" s="144" t="s">
        <v>325</v>
      </c>
      <c r="M346" s="144">
        <v>0</v>
      </c>
      <c r="N346" s="144">
        <v>0</v>
      </c>
      <c r="O346" s="144">
        <v>0</v>
      </c>
      <c r="P346" s="144">
        <v>0</v>
      </c>
      <c r="Q346" s="144">
        <v>0</v>
      </c>
      <c r="R346" s="144">
        <v>0</v>
      </c>
      <c r="S346" s="144">
        <v>0</v>
      </c>
      <c r="T346" s="144">
        <v>0</v>
      </c>
      <c r="U346" s="144">
        <v>0</v>
      </c>
      <c r="V346" s="144">
        <v>0</v>
      </c>
      <c r="W346" s="144">
        <v>0</v>
      </c>
      <c r="X346" s="144">
        <v>0</v>
      </c>
      <c r="Y346" s="144">
        <v>0</v>
      </c>
      <c r="Z346" s="144">
        <v>0</v>
      </c>
      <c r="AA346" s="144">
        <v>0</v>
      </c>
      <c r="AB346" s="144">
        <v>0</v>
      </c>
      <c r="AC346" s="144">
        <v>0</v>
      </c>
      <c r="AD346" s="144">
        <v>0</v>
      </c>
      <c r="AE346" s="144">
        <v>0</v>
      </c>
      <c r="AF346" s="144">
        <v>0</v>
      </c>
      <c r="AG346" s="144">
        <v>0</v>
      </c>
      <c r="AH346" s="144">
        <v>0</v>
      </c>
      <c r="AI346" s="144">
        <v>0</v>
      </c>
      <c r="AJ346" s="144">
        <v>0</v>
      </c>
      <c r="AK346" s="144">
        <v>0</v>
      </c>
      <c r="AL346" s="144">
        <v>0</v>
      </c>
      <c r="AM346" s="144">
        <v>0</v>
      </c>
      <c r="AN346" s="144">
        <v>0</v>
      </c>
      <c r="AO346" s="144">
        <v>0</v>
      </c>
      <c r="AP346" s="144">
        <v>0</v>
      </c>
      <c r="AQ346" s="144">
        <v>1</v>
      </c>
      <c r="AR346" s="144">
        <v>0</v>
      </c>
      <c r="AS346" s="144">
        <v>0</v>
      </c>
      <c r="AT346" s="144">
        <v>0</v>
      </c>
      <c r="AU346" s="144">
        <v>1</v>
      </c>
      <c r="AV346" s="144">
        <v>0</v>
      </c>
      <c r="AW346" s="144">
        <v>0</v>
      </c>
      <c r="AX346" s="144">
        <v>1</v>
      </c>
      <c r="AY346" s="144">
        <v>0</v>
      </c>
      <c r="AZ346" s="144">
        <v>0</v>
      </c>
      <c r="BA346" s="144">
        <v>0</v>
      </c>
      <c r="BB346" s="144">
        <v>0</v>
      </c>
      <c r="BC346" s="144">
        <v>0</v>
      </c>
      <c r="BD346" s="144">
        <v>0</v>
      </c>
      <c r="BE346" s="144">
        <v>0</v>
      </c>
      <c r="BF346" s="144">
        <v>0</v>
      </c>
      <c r="BG346" s="144">
        <v>0</v>
      </c>
      <c r="BH346" s="144">
        <v>0</v>
      </c>
      <c r="BI346" s="144">
        <v>0</v>
      </c>
      <c r="BJ346" s="144">
        <v>0</v>
      </c>
    </row>
    <row r="347" ht="28.399999999999999" customHeight="1">
      <c r="A347" s="144"/>
      <c r="B347" s="160" t="s">
        <v>513</v>
      </c>
      <c r="C347" s="144" t="s">
        <v>253</v>
      </c>
      <c r="D347" s="144" t="s">
        <v>17</v>
      </c>
      <c r="E347" s="364" t="s">
        <v>1004</v>
      </c>
      <c r="F347" s="144" t="s">
        <v>502</v>
      </c>
      <c r="G347" s="367" t="s">
        <v>498</v>
      </c>
      <c r="H347" s="321">
        <v>2880</v>
      </c>
      <c r="I347" s="321">
        <v>2897</v>
      </c>
      <c r="J347" s="145" t="s">
        <v>1005</v>
      </c>
      <c r="K347" s="144">
        <v>1</v>
      </c>
      <c r="L347" s="144" t="s">
        <v>325</v>
      </c>
      <c r="M347" s="144">
        <v>1</v>
      </c>
      <c r="N347" s="144">
        <v>0</v>
      </c>
      <c r="O347" s="144">
        <v>0</v>
      </c>
      <c r="P347" s="144">
        <v>1</v>
      </c>
      <c r="Q347" s="144">
        <v>0</v>
      </c>
      <c r="R347" s="144">
        <v>0</v>
      </c>
      <c r="S347" s="144">
        <v>0</v>
      </c>
      <c r="T347" s="144">
        <v>0</v>
      </c>
      <c r="U347" s="144">
        <v>0</v>
      </c>
      <c r="V347" s="144">
        <v>1</v>
      </c>
      <c r="W347" s="144">
        <v>0</v>
      </c>
      <c r="X347" s="144">
        <v>0</v>
      </c>
      <c r="Y347" s="144">
        <v>0</v>
      </c>
      <c r="Z347" s="144">
        <v>1</v>
      </c>
      <c r="AA347" s="144">
        <v>1</v>
      </c>
      <c r="AB347" s="144">
        <v>0</v>
      </c>
      <c r="AC347" s="144">
        <v>0</v>
      </c>
      <c r="AD347" s="144">
        <v>0</v>
      </c>
      <c r="AE347" s="144">
        <v>0</v>
      </c>
      <c r="AF347" s="144">
        <v>1</v>
      </c>
      <c r="AG347" s="144">
        <v>1</v>
      </c>
      <c r="AH347" s="144">
        <v>1</v>
      </c>
      <c r="AI347" s="144">
        <v>0</v>
      </c>
      <c r="AJ347" s="144">
        <v>0</v>
      </c>
      <c r="AK347" s="144">
        <v>0</v>
      </c>
      <c r="AL347" s="144">
        <v>1</v>
      </c>
      <c r="AM347" s="144">
        <v>0</v>
      </c>
      <c r="AN347" s="144">
        <v>1</v>
      </c>
      <c r="AO347" s="144">
        <v>0</v>
      </c>
      <c r="AP347" s="144">
        <v>1</v>
      </c>
      <c r="AQ347" s="144">
        <v>0</v>
      </c>
      <c r="AR347" s="144">
        <v>0</v>
      </c>
      <c r="AS347" s="144">
        <v>0</v>
      </c>
      <c r="AT347" s="144">
        <v>0</v>
      </c>
      <c r="AU347" s="144">
        <v>0</v>
      </c>
      <c r="AV347" s="144">
        <v>0</v>
      </c>
      <c r="AW347" s="144">
        <v>0</v>
      </c>
      <c r="AX347" s="144">
        <v>0</v>
      </c>
      <c r="AY347" s="144">
        <v>0</v>
      </c>
      <c r="AZ347" s="144">
        <v>0</v>
      </c>
      <c r="BA347" s="144">
        <v>0</v>
      </c>
      <c r="BB347" s="144">
        <v>0</v>
      </c>
      <c r="BC347" s="144">
        <v>0</v>
      </c>
      <c r="BD347" s="144">
        <v>0</v>
      </c>
      <c r="BE347" s="144">
        <v>0</v>
      </c>
      <c r="BF347" s="144">
        <v>0</v>
      </c>
      <c r="BG347" s="144">
        <v>0</v>
      </c>
      <c r="BH347" s="144">
        <v>0</v>
      </c>
      <c r="BI347" s="144">
        <v>0</v>
      </c>
      <c r="BJ347" s="144">
        <v>0</v>
      </c>
    </row>
    <row r="348" s="144" customFormat="1" ht="28.399999999999999" customHeight="1">
      <c r="B348" s="39" t="s">
        <v>513</v>
      </c>
      <c r="C348" s="39" t="s">
        <v>255</v>
      </c>
      <c r="D348" s="39" t="s">
        <v>218</v>
      </c>
      <c r="E348" s="358" t="s">
        <v>1006</v>
      </c>
      <c r="F348" s="39" t="s">
        <v>646</v>
      </c>
      <c r="G348" s="358" t="s">
        <v>498</v>
      </c>
      <c r="H348" s="313">
        <v>19529</v>
      </c>
      <c r="I348" s="313">
        <v>19545</v>
      </c>
      <c r="J348" s="111" t="s">
        <v>1007</v>
      </c>
      <c r="K348" s="39">
        <v>2</v>
      </c>
      <c r="L348" s="144" t="s">
        <v>325</v>
      </c>
      <c r="M348" s="144">
        <v>0</v>
      </c>
      <c r="N348" s="144">
        <v>1</v>
      </c>
      <c r="O348" s="144">
        <v>0</v>
      </c>
      <c r="P348" s="39">
        <v>1</v>
      </c>
      <c r="Q348" s="144">
        <v>0</v>
      </c>
      <c r="R348" s="144">
        <v>0</v>
      </c>
      <c r="S348" s="144">
        <v>0</v>
      </c>
      <c r="T348" s="39">
        <v>0</v>
      </c>
      <c r="U348" s="144">
        <v>0</v>
      </c>
      <c r="V348" s="144">
        <v>0</v>
      </c>
      <c r="W348" s="144">
        <v>1</v>
      </c>
      <c r="X348" s="144">
        <v>0</v>
      </c>
      <c r="Y348" s="144">
        <v>1</v>
      </c>
      <c r="Z348" s="144">
        <v>0</v>
      </c>
      <c r="AA348" s="144">
        <v>1</v>
      </c>
      <c r="AB348" s="144">
        <v>0</v>
      </c>
      <c r="AC348" s="144">
        <v>0</v>
      </c>
      <c r="AD348" s="144">
        <v>0</v>
      </c>
      <c r="AE348" s="144">
        <v>1</v>
      </c>
      <c r="AF348" s="144">
        <v>1</v>
      </c>
      <c r="AL348" s="144">
        <v>1</v>
      </c>
      <c r="AM348" s="144">
        <v>1</v>
      </c>
      <c r="AO348" s="39">
        <v>1</v>
      </c>
      <c r="AQ348" s="39">
        <v>1</v>
      </c>
      <c r="AU348" s="39">
        <v>1</v>
      </c>
      <c r="AX348" s="39">
        <v>1</v>
      </c>
    </row>
    <row r="349" ht="28.399999999999999" customHeight="1">
      <c r="A349" s="266" t="s">
        <v>720</v>
      </c>
      <c r="B349" s="144"/>
      <c r="C349" s="144"/>
      <c r="D349" s="144"/>
      <c r="E349" s="145" t="s">
        <v>1008</v>
      </c>
      <c r="F349" s="144" t="s">
        <v>644</v>
      </c>
      <c r="G349" s="145" t="s">
        <v>498</v>
      </c>
      <c r="H349" s="320">
        <v>1094</v>
      </c>
      <c r="I349" s="320">
        <v>1121</v>
      </c>
      <c r="J349" s="192" t="s">
        <v>1009</v>
      </c>
      <c r="K349" s="144"/>
      <c r="L349" s="144" t="s">
        <v>325</v>
      </c>
      <c r="M349" s="144">
        <v>1</v>
      </c>
      <c r="N349" s="144"/>
      <c r="O349" s="144"/>
      <c r="P349" s="144">
        <v>1</v>
      </c>
      <c r="Q349" s="144"/>
      <c r="R349" s="144"/>
      <c r="S349" s="144"/>
      <c r="T349" s="144"/>
      <c r="U349" s="144"/>
      <c r="V349" s="144">
        <v>1</v>
      </c>
      <c r="W349" s="144"/>
      <c r="X349" s="144">
        <v>0</v>
      </c>
      <c r="Y349" s="144"/>
      <c r="Z349" s="144">
        <v>1</v>
      </c>
      <c r="AA349" s="144">
        <v>1</v>
      </c>
      <c r="AB349" s="144"/>
      <c r="AC349" s="144"/>
      <c r="AD349" s="144"/>
      <c r="AE349" s="144">
        <v>1</v>
      </c>
      <c r="AF349" s="144">
        <v>1</v>
      </c>
      <c r="AG349" s="144"/>
      <c r="AH349" s="144"/>
      <c r="AI349" s="144"/>
      <c r="AJ349" s="144">
        <v>1</v>
      </c>
      <c r="AK349" s="144"/>
      <c r="AL349" s="144">
        <v>1</v>
      </c>
      <c r="AM349" s="144">
        <v>1</v>
      </c>
      <c r="AN349" s="144"/>
      <c r="AO349" s="144"/>
      <c r="AP349" s="144">
        <v>1</v>
      </c>
      <c r="AQ349" s="144">
        <v>1</v>
      </c>
      <c r="AR349" s="144"/>
      <c r="AS349" s="144"/>
      <c r="AT349" s="144"/>
      <c r="AU349" s="144">
        <v>1</v>
      </c>
      <c r="AV349" s="144"/>
      <c r="AW349" s="144"/>
      <c r="AX349" s="144">
        <v>1</v>
      </c>
      <c r="AY349" s="144"/>
      <c r="AZ349" s="144"/>
      <c r="BA349" s="144"/>
      <c r="BB349" s="144"/>
      <c r="BC349" s="144"/>
      <c r="BD349" s="144"/>
      <c r="BE349" s="144"/>
      <c r="BF349" s="144"/>
      <c r="BG349" s="144"/>
      <c r="BH349" s="144"/>
      <c r="BI349" s="144"/>
      <c r="BJ349" s="144"/>
    </row>
    <row r="350" ht="28.399999999999999" customHeight="1">
      <c r="A350" s="39"/>
      <c r="B350" s="39"/>
      <c r="C350" s="39"/>
      <c r="D350" s="111"/>
      <c r="E350" s="111" t="s">
        <v>1010</v>
      </c>
      <c r="F350" s="39" t="s">
        <v>541</v>
      </c>
      <c r="G350" s="111" t="s">
        <v>498</v>
      </c>
      <c r="H350" s="313">
        <v>14212</v>
      </c>
      <c r="I350" s="313">
        <v>14220</v>
      </c>
      <c r="J350" s="111"/>
      <c r="K350" s="39">
        <v>2</v>
      </c>
      <c r="L350" s="39" t="s">
        <v>325</v>
      </c>
      <c r="M350" s="39"/>
      <c r="N350" s="39">
        <v>1</v>
      </c>
      <c r="O350" s="39"/>
      <c r="P350" s="39">
        <v>1</v>
      </c>
      <c r="Q350" s="39"/>
      <c r="R350" s="39"/>
      <c r="S350" s="39"/>
      <c r="T350" s="39"/>
      <c r="U350" s="39"/>
      <c r="V350" s="39"/>
      <c r="W350" s="39">
        <v>1</v>
      </c>
      <c r="X350" s="39">
        <v>1</v>
      </c>
      <c r="Y350" s="39">
        <v>1</v>
      </c>
      <c r="Z350" s="39"/>
      <c r="AA350" s="39">
        <v>1</v>
      </c>
      <c r="AB350" s="39"/>
      <c r="AC350" s="39"/>
      <c r="AD350" s="39"/>
      <c r="AE350" s="39"/>
      <c r="AF350" s="39"/>
      <c r="AG350" s="39">
        <v>1</v>
      </c>
      <c r="AH350" s="39">
        <v>1</v>
      </c>
      <c r="AI350" s="39"/>
      <c r="AJ350" s="39"/>
      <c r="AK350" s="39"/>
      <c r="AL350" s="39">
        <v>1</v>
      </c>
      <c r="AM350" s="39"/>
      <c r="AN350" s="39">
        <v>1</v>
      </c>
      <c r="AO350" s="39"/>
      <c r="AP350" s="39">
        <v>1</v>
      </c>
      <c r="AQ350" s="39"/>
      <c r="AR350" s="39"/>
      <c r="AS350" s="39"/>
      <c r="AT350" s="39"/>
      <c r="AU350" s="39"/>
      <c r="AV350" s="39"/>
      <c r="AW350" s="39"/>
      <c r="AX350" s="39"/>
      <c r="AY350" s="39"/>
      <c r="AZ350" s="39"/>
      <c r="BA350" s="39"/>
      <c r="BB350" s="39"/>
      <c r="BC350" s="39"/>
      <c r="BD350" s="39"/>
      <c r="BE350" s="39"/>
      <c r="BF350" s="39"/>
      <c r="BG350" s="39"/>
      <c r="BH350" s="39"/>
      <c r="BI350" s="39"/>
      <c r="BJ350" s="39"/>
    </row>
    <row r="351" ht="28.399999999999999" customHeight="1">
      <c r="A351" s="39"/>
      <c r="E351" s="111" t="s">
        <v>1011</v>
      </c>
      <c r="F351" s="39" t="s">
        <v>491</v>
      </c>
      <c r="G351" s="111" t="s">
        <v>498</v>
      </c>
      <c r="H351" s="313">
        <v>16745</v>
      </c>
      <c r="I351" s="313">
        <v>16770</v>
      </c>
      <c r="J351" s="111"/>
      <c r="L351" s="39" t="s">
        <v>325</v>
      </c>
      <c r="M351" s="39">
        <v>1</v>
      </c>
      <c r="P351" s="39">
        <v>1</v>
      </c>
      <c r="V351" s="39">
        <v>1</v>
      </c>
      <c r="W351" s="39"/>
      <c r="X351" s="39">
        <v>1</v>
      </c>
      <c r="Y351" s="39"/>
      <c r="Z351" s="39">
        <v>1</v>
      </c>
      <c r="AA351" s="39">
        <v>1</v>
      </c>
      <c r="AE351" s="39"/>
      <c r="AF351" s="39"/>
      <c r="AG351" s="39">
        <v>1</v>
      </c>
      <c r="AH351" s="39">
        <v>1</v>
      </c>
      <c r="AI351" s="39"/>
      <c r="AL351" s="39">
        <v>1</v>
      </c>
      <c r="AM351" s="39"/>
      <c r="AN351" s="39">
        <v>1</v>
      </c>
      <c r="AP351" s="39">
        <v>1</v>
      </c>
    </row>
    <row r="352" s="144" customFormat="1" ht="14.25" customHeight="1">
      <c r="A352" s="144"/>
      <c r="B352" s="39" t="s">
        <v>513</v>
      </c>
      <c r="C352" s="39" t="s">
        <v>258</v>
      </c>
      <c r="D352" s="39" t="s">
        <v>17</v>
      </c>
      <c r="E352" s="111" t="s">
        <v>1012</v>
      </c>
      <c r="F352" s="39" t="s">
        <v>510</v>
      </c>
      <c r="G352" s="111" t="s">
        <v>498</v>
      </c>
      <c r="H352" s="313">
        <v>11016</v>
      </c>
      <c r="I352" s="313">
        <v>11020</v>
      </c>
      <c r="J352" s="145"/>
      <c r="K352" s="39"/>
      <c r="L352" s="39" t="s">
        <v>325</v>
      </c>
      <c r="M352" s="144"/>
      <c r="P352" s="39"/>
      <c r="T352" s="39"/>
      <c r="V352" s="144"/>
      <c r="W352" s="144"/>
      <c r="Z352" s="144"/>
      <c r="AA352" s="144"/>
      <c r="AE352" s="144"/>
      <c r="AF352" s="144"/>
      <c r="AG352" s="144"/>
      <c r="AI352" s="144"/>
      <c r="AL352" s="144"/>
      <c r="AM352" s="144"/>
      <c r="AN352" s="144"/>
      <c r="AO352" s="144"/>
      <c r="AP352" s="144"/>
      <c r="AQ352" s="144">
        <v>1</v>
      </c>
      <c r="AT352" s="144">
        <v>1</v>
      </c>
      <c r="AX352" s="144">
        <v>1</v>
      </c>
    </row>
    <row r="353" ht="28.399999999999999" customHeight="1">
      <c r="A353" s="39"/>
      <c r="B353" s="39"/>
      <c r="C353" s="39"/>
      <c r="D353" s="111"/>
      <c r="E353" s="111" t="s">
        <v>1013</v>
      </c>
      <c r="F353" s="39" t="s">
        <v>542</v>
      </c>
      <c r="G353" s="111" t="s">
        <v>498</v>
      </c>
      <c r="H353" s="313">
        <v>11090</v>
      </c>
      <c r="I353" s="313">
        <v>11101</v>
      </c>
      <c r="J353" s="111"/>
      <c r="K353" s="39"/>
      <c r="L353" s="39" t="s">
        <v>325</v>
      </c>
      <c r="M353" s="39">
        <v>1</v>
      </c>
      <c r="N353" s="39"/>
      <c r="O353" s="39"/>
      <c r="P353" s="39">
        <v>1</v>
      </c>
      <c r="Q353" s="39"/>
      <c r="R353" s="39"/>
      <c r="S353" s="39"/>
      <c r="T353" s="39"/>
      <c r="U353" s="39"/>
      <c r="V353" s="39">
        <v>1</v>
      </c>
      <c r="W353" s="39"/>
      <c r="X353" s="39"/>
      <c r="Y353" s="39">
        <v>1</v>
      </c>
      <c r="Z353" s="39"/>
      <c r="AA353" s="39">
        <v>1</v>
      </c>
      <c r="AB353" s="39"/>
      <c r="AC353" s="39"/>
      <c r="AD353" s="39"/>
      <c r="AE353" s="39"/>
      <c r="AF353" s="39">
        <v>1</v>
      </c>
      <c r="AG353" s="39">
        <v>1</v>
      </c>
      <c r="AH353" s="39">
        <v>1</v>
      </c>
      <c r="AI353" s="39"/>
      <c r="AJ353" s="39"/>
      <c r="AK353" s="39"/>
      <c r="AL353" s="39">
        <v>1</v>
      </c>
      <c r="AM353" s="39">
        <v>1</v>
      </c>
      <c r="AN353" s="39"/>
      <c r="AO353" s="39">
        <v>1</v>
      </c>
      <c r="AP353" s="39"/>
      <c r="AQ353" s="39"/>
      <c r="AR353" s="39"/>
      <c r="AS353" s="39"/>
      <c r="AT353" s="39"/>
      <c r="AU353" s="39"/>
      <c r="AV353" s="39"/>
      <c r="AW353" s="39"/>
      <c r="AX353" s="39"/>
      <c r="AY353" s="39"/>
      <c r="AZ353" s="39"/>
      <c r="BA353" s="39"/>
      <c r="BB353" s="39"/>
      <c r="BC353" s="39"/>
      <c r="BD353" s="39"/>
      <c r="BE353" s="39"/>
      <c r="BF353" s="39"/>
      <c r="BG353" s="39"/>
      <c r="BH353" s="39"/>
      <c r="BI353" s="39"/>
      <c r="BJ353" s="39"/>
    </row>
    <row r="354" ht="28.399999999999999" customHeight="1">
      <c r="E354" s="111" t="s">
        <v>1014</v>
      </c>
      <c r="F354" s="39" t="s">
        <v>562</v>
      </c>
      <c r="G354" s="111" t="s">
        <v>498</v>
      </c>
      <c r="H354" s="313">
        <v>11138</v>
      </c>
      <c r="I354" s="313">
        <v>11173</v>
      </c>
      <c r="L354" s="39" t="s">
        <v>325</v>
      </c>
      <c r="M354" s="39">
        <v>1</v>
      </c>
      <c r="P354" s="39">
        <v>1</v>
      </c>
      <c r="W354" s="39">
        <v>1</v>
      </c>
      <c r="Z354" s="39">
        <v>1</v>
      </c>
      <c r="AA354" s="39">
        <v>1</v>
      </c>
      <c r="AF354" s="39">
        <v>1</v>
      </c>
      <c r="AH354" s="39">
        <v>1</v>
      </c>
      <c r="AL354" s="39">
        <v>1</v>
      </c>
      <c r="AO354" s="39">
        <v>1</v>
      </c>
      <c r="AQ354" s="39">
        <v>1</v>
      </c>
      <c r="AU354" s="39">
        <v>1</v>
      </c>
      <c r="AX354" s="39">
        <v>1</v>
      </c>
    </row>
    <row r="355" ht="41.75" customHeight="1">
      <c r="A355" s="266" t="s">
        <v>720</v>
      </c>
      <c r="E355" s="128" t="s">
        <v>1015</v>
      </c>
      <c r="F355" s="39" t="s">
        <v>1016</v>
      </c>
      <c r="G355" s="128" t="s">
        <v>498</v>
      </c>
      <c r="H355" s="345">
        <v>11349</v>
      </c>
      <c r="I355" s="345">
        <v>11414</v>
      </c>
      <c r="J355" s="128" t="s">
        <v>916</v>
      </c>
      <c r="L355" s="127" t="s">
        <v>325</v>
      </c>
      <c r="N355" s="39"/>
      <c r="P355" s="39"/>
      <c r="U355" s="39">
        <v>1</v>
      </c>
      <c r="V355" s="39">
        <v>1</v>
      </c>
      <c r="X355" s="39">
        <v>1</v>
      </c>
      <c r="Z355" s="39">
        <v>1</v>
      </c>
      <c r="AA355" s="39"/>
      <c r="AD355" s="39">
        <v>1</v>
      </c>
      <c r="AE355" s="39">
        <v>1</v>
      </c>
      <c r="AF355" s="39">
        <v>1</v>
      </c>
      <c r="AG355" s="39">
        <v>1</v>
      </c>
      <c r="AH355" s="39">
        <v>1</v>
      </c>
      <c r="AI355" s="39">
        <v>1</v>
      </c>
      <c r="AJ355" s="39">
        <v>1</v>
      </c>
      <c r="AL355" s="39">
        <v>1</v>
      </c>
      <c r="AM355" s="39">
        <v>1</v>
      </c>
      <c r="AN355" s="39">
        <v>1</v>
      </c>
      <c r="AP355" s="39">
        <v>1</v>
      </c>
    </row>
    <row r="356" ht="28.399999999999999" customHeight="1">
      <c r="A356" s="266" t="s">
        <v>720</v>
      </c>
      <c r="B356"/>
      <c r="E356" s="128" t="s">
        <v>1017</v>
      </c>
      <c r="F356" s="368" t="s">
        <v>1018</v>
      </c>
      <c r="G356" s="128" t="s">
        <v>498</v>
      </c>
      <c r="H356" s="345">
        <v>16056</v>
      </c>
      <c r="I356" s="345">
        <v>16063</v>
      </c>
      <c r="J356" s="128" t="s">
        <v>916</v>
      </c>
      <c r="L356" s="127" t="s">
        <v>325</v>
      </c>
      <c r="N356" s="39">
        <v>1</v>
      </c>
      <c r="P356" s="39">
        <v>1</v>
      </c>
      <c r="V356" s="39">
        <v>1</v>
      </c>
      <c r="W356" s="39">
        <v>0</v>
      </c>
      <c r="Z356" s="39">
        <v>1</v>
      </c>
      <c r="AA356" s="39">
        <v>1</v>
      </c>
      <c r="AE356" s="39">
        <v>1</v>
      </c>
      <c r="AF356" s="39">
        <v>1</v>
      </c>
      <c r="AG356" s="39">
        <v>1</v>
      </c>
      <c r="AI356" s="39">
        <v>1</v>
      </c>
      <c r="AJ356" s="39">
        <v>1</v>
      </c>
      <c r="AL356" s="39">
        <v>1</v>
      </c>
      <c r="AM356" s="39">
        <v>1</v>
      </c>
      <c r="AO356" s="39">
        <v>1</v>
      </c>
    </row>
    <row r="357" ht="55.25" customHeight="1">
      <c r="A357" s="39"/>
      <c r="E357" s="111" t="s">
        <v>1019</v>
      </c>
      <c r="F357" s="39" t="s">
        <v>1020</v>
      </c>
      <c r="G357" s="111" t="s">
        <v>498</v>
      </c>
      <c r="H357" s="313">
        <v>16370</v>
      </c>
      <c r="I357" s="313">
        <v>16421</v>
      </c>
      <c r="J357" s="111" t="s">
        <v>727</v>
      </c>
      <c r="L357" s="39" t="s">
        <v>325</v>
      </c>
      <c r="N357" s="39"/>
      <c r="P357" s="39"/>
      <c r="U357" s="39">
        <v>1</v>
      </c>
      <c r="W357" s="39">
        <v>1</v>
      </c>
      <c r="Y357" s="39"/>
      <c r="AA357" s="39"/>
      <c r="AD357" s="39">
        <v>1</v>
      </c>
      <c r="AE357" s="39">
        <v>1</v>
      </c>
      <c r="AF357" s="39">
        <v>1</v>
      </c>
      <c r="AG357" s="39">
        <v>1</v>
      </c>
      <c r="AH357" s="39"/>
      <c r="AI357" s="39">
        <v>1</v>
      </c>
      <c r="AJ357" s="39">
        <v>1</v>
      </c>
      <c r="AL357" s="39">
        <v>1</v>
      </c>
      <c r="AM357" s="39">
        <v>1</v>
      </c>
      <c r="AN357" s="39">
        <v>1</v>
      </c>
      <c r="AP357" s="39">
        <v>1</v>
      </c>
      <c r="AQ357" s="39">
        <v>1</v>
      </c>
      <c r="AS357" s="39">
        <v>0</v>
      </c>
      <c r="AT357" s="39">
        <v>1</v>
      </c>
      <c r="AX357" s="39">
        <v>1</v>
      </c>
      <c r="BE357" s="39"/>
    </row>
    <row r="358" ht="55.25" customHeight="1">
      <c r="E358" s="111" t="s">
        <v>1021</v>
      </c>
      <c r="F358" s="39" t="s">
        <v>1022</v>
      </c>
      <c r="G358" s="111" t="s">
        <v>498</v>
      </c>
      <c r="H358" s="313">
        <v>16510</v>
      </c>
      <c r="I358" s="313">
        <v>16590</v>
      </c>
      <c r="J358" s="111" t="s">
        <v>916</v>
      </c>
      <c r="L358" s="39" t="s">
        <v>325</v>
      </c>
      <c r="U358" s="39">
        <v>1</v>
      </c>
      <c r="W358" s="39">
        <v>1</v>
      </c>
      <c r="Y358" s="39">
        <v>1</v>
      </c>
      <c r="AD358" s="39">
        <v>1</v>
      </c>
      <c r="AE358" s="39">
        <v>1</v>
      </c>
      <c r="AF358" s="39">
        <v>1</v>
      </c>
      <c r="AG358" s="39">
        <v>1</v>
      </c>
      <c r="AH358" s="39">
        <v>1</v>
      </c>
      <c r="AI358" s="39">
        <v>1</v>
      </c>
      <c r="AJ358" s="39">
        <v>1</v>
      </c>
      <c r="AK358" s="39">
        <v>1</v>
      </c>
      <c r="AL358" s="39">
        <v>1</v>
      </c>
      <c r="AM358" s="39">
        <v>1</v>
      </c>
      <c r="AN358" s="39">
        <v>1</v>
      </c>
      <c r="AP358" s="39">
        <v>1</v>
      </c>
      <c r="AQ358" s="39">
        <v>0</v>
      </c>
    </row>
    <row r="359" ht="14.25" customHeight="1">
      <c r="E359" s="111" t="s">
        <v>1023</v>
      </c>
      <c r="F359" s="39" t="s">
        <v>510</v>
      </c>
      <c r="G359" s="111" t="s">
        <v>498</v>
      </c>
      <c r="H359" s="313">
        <v>16756</v>
      </c>
      <c r="I359" s="313">
        <v>16760</v>
      </c>
      <c r="L359" s="144" t="s">
        <v>447</v>
      </c>
      <c r="M359" s="39">
        <v>1</v>
      </c>
      <c r="P359" s="39">
        <v>1</v>
      </c>
      <c r="V359" s="39">
        <v>1</v>
      </c>
      <c r="Z359" s="39">
        <v>1</v>
      </c>
      <c r="AA359" s="39">
        <v>1</v>
      </c>
      <c r="AE359" s="39">
        <v>1</v>
      </c>
      <c r="AF359" s="39">
        <v>1</v>
      </c>
      <c r="AL359" s="39">
        <v>1</v>
      </c>
      <c r="AO359" s="39">
        <v>1</v>
      </c>
      <c r="AQ359" s="39">
        <v>1</v>
      </c>
      <c r="AW359" s="39">
        <v>1</v>
      </c>
      <c r="BA359" s="39">
        <v>1</v>
      </c>
    </row>
    <row r="360" ht="28.399999999999999" customHeight="1">
      <c r="E360" s="111" t="s">
        <v>1024</v>
      </c>
      <c r="F360" s="39" t="s">
        <v>525</v>
      </c>
      <c r="G360" s="111" t="s">
        <v>498</v>
      </c>
      <c r="H360" s="313">
        <v>22125</v>
      </c>
      <c r="I360" s="313">
        <v>22148</v>
      </c>
      <c r="L360" s="39" t="s">
        <v>325</v>
      </c>
      <c r="M360" s="39">
        <v>1</v>
      </c>
      <c r="N360" s="39">
        <v>0</v>
      </c>
      <c r="P360" s="39">
        <v>1</v>
      </c>
      <c r="V360" s="39">
        <v>1</v>
      </c>
      <c r="Z360" s="39">
        <v>1</v>
      </c>
      <c r="AA360" s="39">
        <v>1</v>
      </c>
      <c r="AE360" s="39">
        <v>1</v>
      </c>
      <c r="AF360" s="39">
        <v>1</v>
      </c>
      <c r="AL360" s="39">
        <v>1</v>
      </c>
      <c r="AO360" s="39">
        <v>1</v>
      </c>
      <c r="AQ360" s="39">
        <v>1</v>
      </c>
      <c r="AX360" s="39">
        <v>1</v>
      </c>
    </row>
    <row r="361" s="369" customFormat="1" ht="55" customHeight="1">
      <c r="A361" s="369" t="s">
        <v>720</v>
      </c>
      <c r="B361" s="369"/>
      <c r="C361" s="369"/>
      <c r="D361" s="369"/>
      <c r="E361" s="369" t="s">
        <v>1025</v>
      </c>
      <c r="F361" s="370" t="s">
        <v>703</v>
      </c>
      <c r="G361" s="371" t="s">
        <v>498</v>
      </c>
      <c r="H361" s="372">
        <v>22257</v>
      </c>
      <c r="I361" s="372">
        <v>22298</v>
      </c>
      <c r="J361" s="371" t="s">
        <v>1026</v>
      </c>
      <c r="K361" s="369"/>
      <c r="L361" s="373" t="s">
        <v>325</v>
      </c>
      <c r="M361" s="369">
        <v>1</v>
      </c>
      <c r="N361" s="369"/>
      <c r="O361" s="369"/>
      <c r="P361" s="369">
        <v>1</v>
      </c>
      <c r="Q361" s="369"/>
      <c r="R361" s="369"/>
      <c r="S361" s="369"/>
      <c r="T361" s="369"/>
      <c r="U361" s="369"/>
      <c r="V361" s="369">
        <v>1</v>
      </c>
      <c r="W361" s="369"/>
      <c r="X361" s="369"/>
      <c r="Y361" s="369"/>
      <c r="Z361" s="369">
        <v>1</v>
      </c>
      <c r="AA361" s="369">
        <v>1</v>
      </c>
      <c r="AB361" s="369"/>
      <c r="AC361" s="369"/>
      <c r="AD361" s="369"/>
      <c r="AE361" s="369">
        <v>1</v>
      </c>
      <c r="AF361" s="369">
        <v>1</v>
      </c>
      <c r="AG361" s="369">
        <v>1</v>
      </c>
      <c r="AH361" s="369"/>
      <c r="AI361" s="369"/>
      <c r="AJ361" s="369"/>
      <c r="AK361" s="369"/>
      <c r="AL361" s="369">
        <v>1</v>
      </c>
      <c r="AM361" s="369"/>
      <c r="AN361" s="369"/>
      <c r="AO361" s="369">
        <v>1</v>
      </c>
      <c r="AP361" s="369"/>
      <c r="AQ361" s="369">
        <v>1</v>
      </c>
      <c r="AR361" s="369"/>
      <c r="AS361" s="369"/>
      <c r="AT361" s="369"/>
      <c r="AU361" s="369">
        <v>1</v>
      </c>
      <c r="AV361" s="369"/>
      <c r="AW361" s="369"/>
      <c r="AX361" s="369">
        <v>1</v>
      </c>
      <c r="AY361" s="369"/>
      <c r="AZ361" s="369"/>
      <c r="BA361" s="369"/>
      <c r="BB361" s="369"/>
      <c r="BC361" s="369"/>
      <c r="BD361" s="369"/>
      <c r="BE361" s="369"/>
      <c r="BF361" s="369"/>
      <c r="BG361" s="369"/>
      <c r="BH361" s="369"/>
      <c r="BI361" s="369"/>
      <c r="BK361" s="369"/>
      <c r="BL361" s="369"/>
    </row>
    <row r="362" s="369" customFormat="1" ht="55" customHeight="1">
      <c r="A362" s="374"/>
      <c r="B362" s="374"/>
      <c r="C362" s="374"/>
      <c r="D362" s="369"/>
      <c r="E362" s="370" t="s">
        <v>1027</v>
      </c>
      <c r="F362" s="370" t="s">
        <v>1028</v>
      </c>
      <c r="G362" s="371" t="s">
        <v>498</v>
      </c>
      <c r="H362" s="372">
        <v>22317</v>
      </c>
      <c r="I362" s="372">
        <v>22380</v>
      </c>
      <c r="J362" s="375"/>
      <c r="K362" s="369"/>
      <c r="L362" s="373"/>
      <c r="M362" s="374"/>
      <c r="N362" s="369"/>
      <c r="O362" s="369"/>
      <c r="P362" s="369"/>
      <c r="Q362" s="369"/>
      <c r="R362" s="369"/>
      <c r="S362" s="369"/>
      <c r="T362" s="369"/>
      <c r="U362" s="369"/>
      <c r="V362" s="374"/>
      <c r="W362" s="369"/>
      <c r="X362" s="369"/>
      <c r="Y362" s="369"/>
      <c r="Z362" s="369"/>
      <c r="AA362" s="369"/>
      <c r="AB362" s="369"/>
      <c r="AC362" s="369"/>
      <c r="AD362" s="369"/>
      <c r="AE362" s="374"/>
      <c r="AF362" s="369"/>
      <c r="AG362" s="374"/>
      <c r="AH362" s="369"/>
      <c r="AI362" s="369"/>
      <c r="AJ362" s="369"/>
      <c r="AK362" s="369"/>
      <c r="AL362" s="369"/>
      <c r="AM362" s="369"/>
      <c r="AN362" s="369"/>
      <c r="AO362" s="369"/>
      <c r="AP362" s="369"/>
      <c r="AQ362" s="374"/>
      <c r="AR362" s="369"/>
      <c r="AS362" s="369"/>
      <c r="AT362" s="369"/>
      <c r="AU362" s="374"/>
      <c r="AV362" s="369"/>
      <c r="AW362" s="369"/>
      <c r="AX362" s="374"/>
      <c r="AY362" s="369"/>
      <c r="AZ362" s="369"/>
      <c r="BA362" s="369"/>
      <c r="BB362" s="369"/>
      <c r="BC362" s="369"/>
      <c r="BD362" s="369"/>
      <c r="BE362" s="369"/>
      <c r="BF362" s="369"/>
      <c r="BG362" s="369"/>
      <c r="BH362" s="369"/>
      <c r="BI362" s="369"/>
      <c r="BK362" s="369"/>
      <c r="BL362" s="369"/>
    </row>
    <row r="363" ht="28.399999999999999" customHeight="1">
      <c r="B363" s="39"/>
      <c r="E363" s="111" t="s">
        <v>1029</v>
      </c>
      <c r="F363" s="39" t="s">
        <v>491</v>
      </c>
      <c r="G363" s="111" t="s">
        <v>498</v>
      </c>
      <c r="H363" s="313">
        <v>22462</v>
      </c>
      <c r="I363" s="313">
        <v>22487</v>
      </c>
      <c r="L363" s="39" t="s">
        <v>66</v>
      </c>
      <c r="O363" s="39">
        <v>1</v>
      </c>
      <c r="P363" s="39">
        <v>1</v>
      </c>
      <c r="W363" s="39">
        <v>1</v>
      </c>
      <c r="X363" s="39">
        <v>1</v>
      </c>
      <c r="Z363" s="39">
        <v>1</v>
      </c>
      <c r="AA363" s="39">
        <v>1</v>
      </c>
      <c r="AF363" s="39">
        <v>1</v>
      </c>
      <c r="AL363" s="39">
        <v>1</v>
      </c>
      <c r="AO363" s="39">
        <v>1</v>
      </c>
      <c r="BI363" s="39">
        <v>1</v>
      </c>
    </row>
    <row r="364" ht="28.399999999999999" customHeight="1">
      <c r="A364" s="266" t="s">
        <v>720</v>
      </c>
      <c r="B364" s="376"/>
      <c r="E364" s="128" t="s">
        <v>1030</v>
      </c>
      <c r="F364" s="368" t="s">
        <v>620</v>
      </c>
      <c r="G364" s="128" t="s">
        <v>498</v>
      </c>
      <c r="H364" s="345">
        <v>22620</v>
      </c>
      <c r="I364" s="345">
        <v>22650</v>
      </c>
      <c r="J364" s="128" t="s">
        <v>1031</v>
      </c>
      <c r="L364" s="127" t="s">
        <v>325</v>
      </c>
      <c r="U364" s="39">
        <v>1</v>
      </c>
      <c r="W364" s="39">
        <v>1</v>
      </c>
      <c r="Y364" s="39">
        <v>1</v>
      </c>
      <c r="AD364" s="39">
        <v>1</v>
      </c>
      <c r="AE364" s="39">
        <v>1</v>
      </c>
      <c r="AF364" s="39">
        <v>1</v>
      </c>
      <c r="AL364" s="39">
        <v>1</v>
      </c>
      <c r="AM364" s="39">
        <v>1</v>
      </c>
      <c r="AN364" s="39">
        <v>1</v>
      </c>
      <c r="AO364" s="39">
        <v>1</v>
      </c>
    </row>
    <row r="365" s="369" customFormat="1" ht="55.25" customHeight="1">
      <c r="A365" s="369" t="s">
        <v>720</v>
      </c>
      <c r="B365" s="377"/>
      <c r="C365" s="369"/>
      <c r="D365" s="369"/>
      <c r="E365" s="371" t="s">
        <v>1032</v>
      </c>
      <c r="F365" s="370" t="s">
        <v>508</v>
      </c>
      <c r="G365" s="371" t="s">
        <v>498</v>
      </c>
      <c r="H365" s="372">
        <v>22872</v>
      </c>
      <c r="I365" s="372">
        <v>22890</v>
      </c>
      <c r="J365" s="371" t="s">
        <v>1031</v>
      </c>
      <c r="K365" s="369"/>
      <c r="L365" s="373" t="s">
        <v>325</v>
      </c>
      <c r="M365" s="369"/>
      <c r="N365" s="369"/>
      <c r="O365" s="369"/>
      <c r="P365" s="369"/>
      <c r="Q365" s="369"/>
      <c r="R365" s="369"/>
      <c r="S365" s="369"/>
      <c r="T365" s="369"/>
      <c r="U365" s="369">
        <v>1</v>
      </c>
      <c r="V365" s="369">
        <v>1</v>
      </c>
      <c r="W365" s="369"/>
      <c r="X365" s="369"/>
      <c r="Y365" s="369">
        <v>1</v>
      </c>
      <c r="Z365" s="369"/>
      <c r="AA365" s="369"/>
      <c r="AB365" s="369"/>
      <c r="AC365" s="369"/>
      <c r="AD365" s="369">
        <v>1</v>
      </c>
      <c r="AE365" s="369">
        <v>1</v>
      </c>
      <c r="AF365" s="369">
        <v>1</v>
      </c>
      <c r="AG365" s="369"/>
      <c r="AH365" s="369"/>
      <c r="AI365" s="369">
        <v>1</v>
      </c>
      <c r="AJ365" s="369">
        <v>1</v>
      </c>
      <c r="AK365" s="369"/>
      <c r="AL365" s="369">
        <v>1</v>
      </c>
      <c r="AM365" s="369">
        <v>1</v>
      </c>
      <c r="AN365" s="369">
        <v>1</v>
      </c>
      <c r="AO365" s="369">
        <v>1</v>
      </c>
      <c r="AP365" s="369"/>
      <c r="AQ365" s="369">
        <v>1</v>
      </c>
      <c r="AR365" s="369"/>
      <c r="AS365" s="369"/>
      <c r="AT365" s="369">
        <v>1</v>
      </c>
      <c r="AU365" s="369"/>
      <c r="AV365" s="369"/>
      <c r="AW365" s="369"/>
      <c r="AX365" s="369">
        <v>1</v>
      </c>
      <c r="AY365" s="369"/>
      <c r="AZ365" s="369"/>
      <c r="BA365" s="369"/>
      <c r="BB365" s="369"/>
      <c r="BC365" s="369"/>
      <c r="BD365" s="369"/>
      <c r="BE365" s="369"/>
      <c r="BF365" s="369"/>
      <c r="BG365" s="369"/>
      <c r="BH365" s="369"/>
      <c r="BI365" s="369"/>
      <c r="BK365" s="369"/>
      <c r="BL365" s="369"/>
    </row>
    <row r="366" s="369" customFormat="1" ht="28.399999999999999" customHeight="1">
      <c r="A366" s="369" t="s">
        <v>720</v>
      </c>
      <c r="B366" s="377"/>
      <c r="C366" s="369"/>
      <c r="D366" s="369"/>
      <c r="E366" s="371" t="s">
        <v>1033</v>
      </c>
      <c r="F366" s="370" t="s">
        <v>703</v>
      </c>
      <c r="G366" s="371" t="s">
        <v>498</v>
      </c>
      <c r="H366" s="372">
        <v>23148</v>
      </c>
      <c r="I366" s="372">
        <v>23189</v>
      </c>
      <c r="J366" s="371" t="s">
        <v>1034</v>
      </c>
      <c r="K366" s="369"/>
      <c r="L366" s="373" t="s">
        <v>66</v>
      </c>
      <c r="M366" s="369">
        <v>1</v>
      </c>
      <c r="N366" s="369"/>
      <c r="O366" s="369"/>
      <c r="P366" s="369">
        <v>1</v>
      </c>
      <c r="Q366" s="369"/>
      <c r="R366" s="369"/>
      <c r="S366" s="369"/>
      <c r="T366" s="369"/>
      <c r="U366" s="369"/>
      <c r="V366" s="369">
        <v>1</v>
      </c>
      <c r="W366" s="369"/>
      <c r="X366" s="369">
        <v>1</v>
      </c>
      <c r="Y366" s="369"/>
      <c r="Z366" s="369">
        <v>1</v>
      </c>
      <c r="AA366" s="369">
        <v>1</v>
      </c>
      <c r="AB366" s="369"/>
      <c r="AC366" s="369"/>
      <c r="AD366" s="369"/>
      <c r="AE366" s="369">
        <v>1</v>
      </c>
      <c r="AF366" s="369">
        <v>1</v>
      </c>
      <c r="AG366" s="369">
        <v>1</v>
      </c>
      <c r="AH366" s="369">
        <v>1</v>
      </c>
      <c r="AI366" s="369"/>
      <c r="AJ366" s="369">
        <v>1</v>
      </c>
      <c r="AK366" s="369"/>
      <c r="AL366" s="369">
        <v>1</v>
      </c>
      <c r="AM366" s="369">
        <v>1</v>
      </c>
      <c r="AN366" s="369">
        <v>1</v>
      </c>
      <c r="AO366" s="369"/>
      <c r="AP366" s="369">
        <v>1</v>
      </c>
      <c r="AQ366" s="369">
        <v>1</v>
      </c>
      <c r="AR366" s="369"/>
      <c r="AS366" s="369"/>
      <c r="AT366" s="369"/>
      <c r="AU366" s="369">
        <v>1</v>
      </c>
      <c r="AV366" s="369"/>
      <c r="AW366" s="369"/>
      <c r="AX366" s="369">
        <v>1</v>
      </c>
      <c r="AY366" s="369"/>
      <c r="AZ366" s="369">
        <v>1</v>
      </c>
      <c r="BA366" s="369"/>
      <c r="BB366" s="369"/>
      <c r="BC366" s="369"/>
      <c r="BD366" s="369"/>
      <c r="BE366" s="369"/>
      <c r="BF366" s="369">
        <v>1</v>
      </c>
      <c r="BG366" s="369"/>
      <c r="BH366" s="369"/>
      <c r="BI366" s="369"/>
      <c r="BK366" s="369"/>
      <c r="BL366" s="369"/>
    </row>
    <row r="367" s="369" customFormat="1" ht="28.399999999999999" customHeight="1">
      <c r="A367" s="369"/>
      <c r="B367" s="377"/>
      <c r="C367" s="369"/>
      <c r="D367" s="369"/>
      <c r="E367" s="371" t="s">
        <v>1035</v>
      </c>
      <c r="F367" s="370" t="s">
        <v>654</v>
      </c>
      <c r="G367" s="371" t="s">
        <v>498</v>
      </c>
      <c r="H367" s="372">
        <v>23194</v>
      </c>
      <c r="I367" s="372">
        <v>2318</v>
      </c>
      <c r="J367" s="371"/>
      <c r="K367" s="369"/>
      <c r="L367" s="373"/>
      <c r="M367" s="369"/>
      <c r="N367" s="369"/>
      <c r="O367" s="369"/>
      <c r="P367" s="369"/>
      <c r="Q367" s="369"/>
      <c r="R367" s="369"/>
      <c r="S367" s="369"/>
      <c r="T367" s="369"/>
      <c r="U367" s="369"/>
      <c r="V367" s="374"/>
      <c r="W367" s="369"/>
      <c r="X367" s="374"/>
      <c r="Y367" s="369"/>
      <c r="Z367" s="369"/>
      <c r="AA367" s="369"/>
      <c r="AB367" s="369"/>
      <c r="AC367" s="369"/>
      <c r="AD367" s="369"/>
      <c r="AE367" s="369"/>
      <c r="AF367" s="369"/>
      <c r="AG367" s="369"/>
      <c r="AH367" s="369"/>
      <c r="AI367" s="369"/>
      <c r="AJ367" s="369"/>
      <c r="AK367" s="369"/>
      <c r="AL367" s="369"/>
      <c r="AM367" s="369"/>
      <c r="AN367" s="369"/>
      <c r="AO367" s="369"/>
      <c r="AP367" s="369"/>
      <c r="AQ367" s="369"/>
      <c r="AR367" s="369"/>
      <c r="AS367" s="369"/>
      <c r="AT367" s="369"/>
      <c r="AU367" s="369"/>
      <c r="AV367" s="369"/>
      <c r="AW367" s="369"/>
      <c r="AX367" s="369"/>
      <c r="AY367" s="369"/>
      <c r="AZ367" s="374"/>
      <c r="BA367" s="369"/>
      <c r="BB367" s="369"/>
      <c r="BC367" s="369"/>
      <c r="BD367" s="369"/>
      <c r="BE367" s="369"/>
      <c r="BF367" s="374"/>
      <c r="BG367" s="369"/>
      <c r="BH367" s="369"/>
      <c r="BI367" s="369"/>
      <c r="BK367" s="369"/>
      <c r="BL367" s="369"/>
    </row>
    <row r="368" s="369" customFormat="1" ht="55.25" customHeight="1">
      <c r="A368" s="369" t="s">
        <v>720</v>
      </c>
      <c r="B368" s="369"/>
      <c r="C368" s="369"/>
      <c r="D368" s="369"/>
      <c r="E368" s="371" t="s">
        <v>1036</v>
      </c>
      <c r="F368" s="370" t="s">
        <v>620</v>
      </c>
      <c r="G368" s="371" t="s">
        <v>498</v>
      </c>
      <c r="H368" s="372">
        <v>23659</v>
      </c>
      <c r="I368" s="372">
        <v>23689</v>
      </c>
      <c r="J368" s="371" t="s">
        <v>916</v>
      </c>
      <c r="K368" s="369"/>
      <c r="L368" s="373" t="s">
        <v>325</v>
      </c>
      <c r="M368" s="369">
        <v>1</v>
      </c>
      <c r="N368" s="369"/>
      <c r="O368" s="369"/>
      <c r="P368" s="369">
        <v>1</v>
      </c>
      <c r="Q368" s="369"/>
      <c r="R368" s="369"/>
      <c r="S368" s="369"/>
      <c r="T368" s="369"/>
      <c r="U368" s="369"/>
      <c r="V368" s="369"/>
      <c r="W368" s="369">
        <v>1</v>
      </c>
      <c r="X368" s="369"/>
      <c r="Y368" s="369"/>
      <c r="Z368" s="369">
        <v>1</v>
      </c>
      <c r="AA368" s="369">
        <v>1</v>
      </c>
      <c r="AB368" s="369"/>
      <c r="AC368" s="369"/>
      <c r="AD368" s="369"/>
      <c r="AE368" s="369">
        <v>1</v>
      </c>
      <c r="AF368" s="369">
        <v>1</v>
      </c>
      <c r="AG368" s="369">
        <v>1</v>
      </c>
      <c r="AH368" s="369">
        <v>1</v>
      </c>
      <c r="AI368" s="369">
        <v>1</v>
      </c>
      <c r="AJ368" s="369">
        <v>1</v>
      </c>
      <c r="AK368" s="369"/>
      <c r="AL368" s="369">
        <v>1</v>
      </c>
      <c r="AM368" s="369">
        <v>1</v>
      </c>
      <c r="AN368" s="369">
        <v>1</v>
      </c>
      <c r="AO368" s="369"/>
      <c r="AP368" s="369">
        <v>1</v>
      </c>
      <c r="AQ368" s="369">
        <v>1</v>
      </c>
      <c r="AR368" s="369"/>
      <c r="AS368" s="369"/>
      <c r="AT368" s="369"/>
      <c r="AU368" s="369">
        <v>1</v>
      </c>
      <c r="AV368" s="369"/>
      <c r="AW368" s="369"/>
      <c r="AX368" s="369">
        <v>1</v>
      </c>
      <c r="AY368" s="369"/>
      <c r="AZ368" s="369"/>
      <c r="BA368" s="369">
        <v>1</v>
      </c>
      <c r="BB368" s="369"/>
      <c r="BC368" s="369"/>
      <c r="BD368" s="369"/>
      <c r="BE368" s="369"/>
      <c r="BF368" s="369"/>
      <c r="BG368" s="369"/>
      <c r="BH368" s="369"/>
      <c r="BI368" s="369"/>
      <c r="BK368" s="369"/>
      <c r="BL368" s="369"/>
    </row>
    <row r="369" s="369" customFormat="1" ht="55.25" customHeight="1">
      <c r="A369" s="369"/>
      <c r="B369" s="369"/>
      <c r="C369" s="369"/>
      <c r="D369" s="369"/>
      <c r="E369" s="371" t="s">
        <v>1037</v>
      </c>
      <c r="F369" s="370" t="s">
        <v>541</v>
      </c>
      <c r="G369" s="371" t="s">
        <v>498</v>
      </c>
      <c r="H369" s="372">
        <v>23712</v>
      </c>
      <c r="I369" s="372">
        <v>23720</v>
      </c>
      <c r="J369" s="371"/>
      <c r="K369" s="369"/>
      <c r="L369" s="373"/>
      <c r="M369" s="369"/>
      <c r="N369" s="369"/>
      <c r="O369" s="369"/>
      <c r="P369" s="369"/>
      <c r="Q369" s="369"/>
      <c r="R369" s="369"/>
      <c r="S369" s="369"/>
      <c r="T369" s="369"/>
      <c r="U369" s="369"/>
      <c r="V369" s="369"/>
      <c r="W369" s="369"/>
      <c r="X369" s="369"/>
      <c r="Y369" s="369"/>
      <c r="Z369" s="369"/>
      <c r="AA369" s="369"/>
      <c r="AB369" s="369"/>
      <c r="AC369" s="369"/>
      <c r="AD369" s="369"/>
      <c r="AE369" s="374"/>
      <c r="AF369" s="369"/>
      <c r="AG369" s="374"/>
      <c r="AH369" s="374"/>
      <c r="AI369" s="374"/>
      <c r="AJ369" s="374"/>
      <c r="AK369" s="369"/>
      <c r="AL369" s="369"/>
      <c r="AM369" s="374"/>
      <c r="AN369" s="374"/>
      <c r="AO369" s="369"/>
      <c r="AP369" s="374"/>
      <c r="AQ369" s="369"/>
      <c r="AR369" s="369"/>
      <c r="AS369" s="369"/>
      <c r="AT369" s="369"/>
      <c r="AU369" s="369"/>
      <c r="AV369" s="369"/>
      <c r="AW369" s="369"/>
      <c r="AX369" s="369"/>
      <c r="AY369" s="369"/>
      <c r="AZ369" s="369"/>
      <c r="BA369" s="374"/>
      <c r="BB369" s="369"/>
      <c r="BC369" s="369"/>
      <c r="BD369" s="369"/>
      <c r="BE369" s="369"/>
      <c r="BF369" s="369"/>
      <c r="BG369" s="369"/>
      <c r="BH369" s="369"/>
      <c r="BI369" s="369"/>
      <c r="BK369" s="369"/>
      <c r="BL369" s="369"/>
    </row>
    <row r="370" ht="28.399999999999999" customHeight="1">
      <c r="A370" s="266" t="s">
        <v>720</v>
      </c>
      <c r="B370" s="376"/>
      <c r="E370" s="378" t="s">
        <v>1038</v>
      </c>
      <c r="F370" s="39" t="s">
        <v>610</v>
      </c>
      <c r="G370" s="378" t="s">
        <v>498</v>
      </c>
      <c r="H370" s="345">
        <v>23790</v>
      </c>
      <c r="I370" s="345">
        <v>23803</v>
      </c>
      <c r="J370" s="128" t="s">
        <v>916</v>
      </c>
      <c r="L370" s="127" t="s">
        <v>325</v>
      </c>
      <c r="M370" s="39">
        <v>1</v>
      </c>
      <c r="P370" s="39">
        <v>1</v>
      </c>
      <c r="U370" s="39"/>
      <c r="W370" s="39">
        <v>1</v>
      </c>
      <c r="Y370" s="39"/>
      <c r="Z370" s="39">
        <v>1</v>
      </c>
      <c r="AA370" s="39">
        <v>1</v>
      </c>
      <c r="AE370" s="39"/>
      <c r="AF370" s="39">
        <v>1</v>
      </c>
      <c r="AL370" s="39">
        <v>1</v>
      </c>
      <c r="AM370" s="39"/>
      <c r="AO370" s="39">
        <v>1</v>
      </c>
      <c r="AQ370" s="39">
        <v>1</v>
      </c>
      <c r="AU370" s="39">
        <v>1</v>
      </c>
      <c r="AX370" s="39">
        <v>1</v>
      </c>
      <c r="BC370" s="39"/>
      <c r="BE370" s="39"/>
    </row>
    <row r="371" ht="14.25" customHeight="1">
      <c r="E371" s="111" t="s">
        <v>1039</v>
      </c>
      <c r="F371" s="39" t="s">
        <v>610</v>
      </c>
      <c r="G371" s="111" t="s">
        <v>498</v>
      </c>
      <c r="H371" s="313">
        <v>23872</v>
      </c>
      <c r="I371" s="313">
        <v>23885</v>
      </c>
      <c r="L371" s="39" t="s">
        <v>66</v>
      </c>
      <c r="AQ371" s="39">
        <v>1</v>
      </c>
      <c r="AT371" s="39">
        <v>1</v>
      </c>
      <c r="AX371" s="39">
        <v>1</v>
      </c>
      <c r="BE371" s="39">
        <v>1</v>
      </c>
      <c r="BI371" s="39">
        <v>1</v>
      </c>
    </row>
    <row r="372" s="369" customFormat="1" ht="41.75" customHeight="1">
      <c r="A372" s="369" t="s">
        <v>720</v>
      </c>
      <c r="B372" s="369"/>
      <c r="C372" s="369"/>
      <c r="D372" s="369"/>
      <c r="E372" s="371" t="s">
        <v>1040</v>
      </c>
      <c r="F372" s="370" t="s">
        <v>620</v>
      </c>
      <c r="G372" s="371" t="s">
        <v>498</v>
      </c>
      <c r="H372" s="372">
        <v>24480</v>
      </c>
      <c r="I372" s="372">
        <v>24510</v>
      </c>
      <c r="J372" s="371" t="s">
        <v>916</v>
      </c>
      <c r="K372" s="369"/>
      <c r="L372" s="373" t="s">
        <v>325</v>
      </c>
      <c r="M372" s="369">
        <v>0</v>
      </c>
      <c r="N372" s="369"/>
      <c r="O372" s="369"/>
      <c r="P372" s="369">
        <v>0</v>
      </c>
      <c r="Q372" s="369">
        <v>0</v>
      </c>
      <c r="R372" s="369"/>
      <c r="S372" s="369"/>
      <c r="T372" s="369"/>
      <c r="U372" s="369">
        <v>1</v>
      </c>
      <c r="V372" s="369"/>
      <c r="W372" s="369">
        <v>1</v>
      </c>
      <c r="X372" s="369"/>
      <c r="Y372" s="369">
        <v>1</v>
      </c>
      <c r="Z372" s="369"/>
      <c r="AA372" s="369">
        <v>1</v>
      </c>
      <c r="AB372" s="369"/>
      <c r="AC372" s="369"/>
      <c r="AD372" s="369"/>
      <c r="AE372" s="369">
        <v>1</v>
      </c>
      <c r="AF372" s="369">
        <v>1</v>
      </c>
      <c r="AG372" s="369">
        <v>1</v>
      </c>
      <c r="AH372" s="369"/>
      <c r="AI372" s="369"/>
      <c r="AJ372" s="369"/>
      <c r="AK372" s="369"/>
      <c r="AL372" s="369">
        <v>1</v>
      </c>
      <c r="AM372" s="369">
        <v>1</v>
      </c>
      <c r="AN372" s="369">
        <v>1</v>
      </c>
      <c r="AO372" s="369"/>
      <c r="AP372" s="369">
        <v>1</v>
      </c>
      <c r="AQ372" s="369"/>
      <c r="AR372" s="369"/>
      <c r="AS372" s="369"/>
      <c r="AT372" s="369"/>
      <c r="AU372" s="369"/>
      <c r="AV372" s="369"/>
      <c r="AW372" s="369"/>
      <c r="AX372" s="369"/>
      <c r="AY372" s="369"/>
      <c r="AZ372" s="369"/>
      <c r="BA372" s="369"/>
      <c r="BB372" s="369"/>
      <c r="BC372" s="369"/>
      <c r="BD372" s="369"/>
      <c r="BE372" s="369"/>
      <c r="BF372" s="369"/>
      <c r="BG372" s="369"/>
      <c r="BH372" s="369"/>
      <c r="BI372" s="369"/>
      <c r="BK372" s="369"/>
      <c r="BL372" s="369"/>
    </row>
    <row r="373" s="369" customFormat="1" ht="41.75" customHeight="1">
      <c r="A373" s="374"/>
      <c r="B373" s="374"/>
      <c r="C373" s="369"/>
      <c r="D373" s="369"/>
      <c r="E373" s="371" t="s">
        <v>1041</v>
      </c>
      <c r="F373" s="370" t="s">
        <v>529</v>
      </c>
      <c r="G373" s="371" t="s">
        <v>498</v>
      </c>
      <c r="H373" s="372">
        <v>24604</v>
      </c>
      <c r="I373" s="372">
        <v>24624</v>
      </c>
      <c r="J373" s="371"/>
      <c r="K373" s="369"/>
      <c r="L373" s="373"/>
      <c r="M373" s="369"/>
      <c r="N373" s="369"/>
      <c r="O373" s="369"/>
      <c r="P373" s="369"/>
      <c r="Q373" s="369"/>
      <c r="R373" s="369"/>
      <c r="S373" s="369"/>
      <c r="T373" s="369"/>
      <c r="U373" s="369"/>
      <c r="V373" s="369"/>
      <c r="W373" s="369"/>
      <c r="X373" s="369"/>
      <c r="Y373" s="369"/>
      <c r="Z373" s="369"/>
      <c r="AA373" s="369"/>
      <c r="AB373" s="369"/>
      <c r="AC373" s="369"/>
      <c r="AD373" s="369"/>
      <c r="AE373" s="369"/>
      <c r="AF373" s="369"/>
      <c r="AG373" s="369"/>
      <c r="AH373" s="369"/>
      <c r="AI373" s="369"/>
      <c r="AJ373" s="369"/>
      <c r="AK373" s="369"/>
      <c r="AL373" s="369"/>
      <c r="AM373" s="369"/>
      <c r="AN373" s="369"/>
      <c r="AO373" s="369"/>
      <c r="AP373" s="369"/>
      <c r="AQ373" s="369"/>
      <c r="AR373" s="369"/>
      <c r="AS373" s="369"/>
      <c r="AT373" s="369"/>
      <c r="AU373" s="369"/>
      <c r="AV373" s="369"/>
      <c r="AW373" s="369"/>
      <c r="AX373" s="369"/>
      <c r="AY373" s="369"/>
      <c r="AZ373" s="369"/>
      <c r="BA373" s="369"/>
      <c r="BB373" s="369"/>
      <c r="BC373" s="369"/>
      <c r="BD373" s="369"/>
      <c r="BE373" s="369"/>
      <c r="BF373" s="369"/>
      <c r="BG373" s="369"/>
      <c r="BH373" s="369"/>
      <c r="BI373" s="369"/>
      <c r="BK373" s="369"/>
      <c r="BL373" s="369"/>
    </row>
    <row r="374" ht="41.75" customHeight="1">
      <c r="E374" s="145" t="s">
        <v>1042</v>
      </c>
      <c r="F374" s="144" t="s">
        <v>497</v>
      </c>
      <c r="G374" s="145" t="s">
        <v>498</v>
      </c>
      <c r="H374" s="320">
        <v>24634</v>
      </c>
      <c r="I374" s="320">
        <v>24667</v>
      </c>
      <c r="J374" s="145"/>
      <c r="K374" s="144"/>
      <c r="L374" s="144" t="s">
        <v>447</v>
      </c>
      <c r="M374" s="144"/>
      <c r="N374" s="144"/>
      <c r="O374" s="144"/>
      <c r="P374" s="144"/>
      <c r="Q374" s="144"/>
      <c r="R374" s="144">
        <v>0</v>
      </c>
      <c r="S374" s="144"/>
      <c r="T374" s="144"/>
      <c r="U374" s="144">
        <v>1</v>
      </c>
      <c r="V374" s="144">
        <v>0</v>
      </c>
      <c r="W374" s="144">
        <v>1</v>
      </c>
      <c r="X374" s="144"/>
      <c r="Y374" s="144">
        <v>1</v>
      </c>
      <c r="Z374" s="144"/>
      <c r="AA374" s="144"/>
      <c r="AB374" s="144">
        <v>0</v>
      </c>
      <c r="AC374" s="144"/>
      <c r="AD374" s="144">
        <v>1</v>
      </c>
      <c r="AE374" s="144">
        <v>1</v>
      </c>
      <c r="AF374" s="144">
        <v>1</v>
      </c>
      <c r="AG374" s="144"/>
      <c r="AH374" s="144"/>
      <c r="AI374" s="144">
        <v>1</v>
      </c>
      <c r="AJ374" s="144">
        <v>1</v>
      </c>
      <c r="AK374" s="144"/>
      <c r="AL374" s="144">
        <v>1</v>
      </c>
      <c r="AM374" s="144">
        <v>1</v>
      </c>
      <c r="AN374" s="144">
        <v>1</v>
      </c>
      <c r="AO374" s="144"/>
      <c r="AP374" s="144">
        <v>1</v>
      </c>
      <c r="AQ374" s="144">
        <v>1</v>
      </c>
      <c r="AR374" s="144"/>
      <c r="AS374" s="144"/>
      <c r="AT374" s="144"/>
      <c r="AU374" s="144"/>
      <c r="AV374" s="144"/>
      <c r="AW374" s="144"/>
      <c r="AX374" s="144">
        <v>1</v>
      </c>
      <c r="AY374" s="144"/>
      <c r="AZ374" s="144"/>
      <c r="BA374" s="144"/>
      <c r="BB374" s="144"/>
      <c r="BC374" s="144">
        <v>1</v>
      </c>
      <c r="BD374" s="144"/>
      <c r="BE374" s="144">
        <v>1</v>
      </c>
      <c r="BF374" s="144"/>
      <c r="BG374" s="144">
        <v>1</v>
      </c>
      <c r="BH374" s="144"/>
      <c r="BI374" s="144"/>
      <c r="BJ374" s="144"/>
    </row>
    <row r="375" s="144" customFormat="1" ht="14.25" customHeight="1">
      <c r="A375" s="144"/>
      <c r="B375" s="144"/>
      <c r="C375" s="144"/>
      <c r="E375" s="379" t="s">
        <v>1043</v>
      </c>
      <c r="F375" s="253" t="s">
        <v>333</v>
      </c>
      <c r="G375" s="379" t="s">
        <v>498</v>
      </c>
      <c r="H375" s="259">
        <v>5250</v>
      </c>
      <c r="I375" s="259"/>
      <c r="J375" s="145"/>
      <c r="L375" s="144"/>
      <c r="M375" s="144"/>
      <c r="P375" s="144"/>
      <c r="W375" s="144"/>
      <c r="Z375" s="144"/>
      <c r="AA375" s="144"/>
      <c r="AF375" s="144"/>
      <c r="AN375" s="144"/>
      <c r="AO375" s="144"/>
      <c r="AQ375" s="144"/>
      <c r="AU375" s="144"/>
      <c r="AX375" s="144"/>
      <c r="AZ375" s="144"/>
    </row>
    <row r="376" ht="28.399999999999999" customHeight="1">
      <c r="A376" s="39"/>
      <c r="B376" s="39" t="s">
        <v>513</v>
      </c>
      <c r="C376" s="39" t="s">
        <v>259</v>
      </c>
      <c r="D376" s="39" t="s">
        <v>248</v>
      </c>
      <c r="E376" s="111" t="s">
        <v>1044</v>
      </c>
      <c r="F376" s="39" t="s">
        <v>535</v>
      </c>
      <c r="G376" s="111" t="s">
        <v>498</v>
      </c>
      <c r="H376" s="313">
        <v>5430</v>
      </c>
      <c r="I376" s="313">
        <v>5439</v>
      </c>
      <c r="J376" s="111"/>
      <c r="L376" s="39" t="s">
        <v>325</v>
      </c>
      <c r="M376" s="39">
        <v>1</v>
      </c>
      <c r="P376" s="39">
        <v>1</v>
      </c>
      <c r="V376" s="39">
        <v>1</v>
      </c>
      <c r="Z376" s="39">
        <v>1</v>
      </c>
      <c r="AA376" s="39">
        <v>1</v>
      </c>
      <c r="AF376" s="39">
        <v>1</v>
      </c>
      <c r="AK376" s="39"/>
      <c r="AL376" s="39">
        <v>1</v>
      </c>
      <c r="AP376" s="39">
        <v>1</v>
      </c>
      <c r="AQ376" s="39">
        <v>1</v>
      </c>
      <c r="AU376" s="39">
        <v>1</v>
      </c>
      <c r="AX376" s="39">
        <v>1</v>
      </c>
      <c r="AZ376" s="39">
        <v>1</v>
      </c>
    </row>
    <row r="377" ht="14.25" customHeight="1">
      <c r="E377" s="111" t="s">
        <v>1045</v>
      </c>
      <c r="F377" s="39" t="s">
        <v>504</v>
      </c>
      <c r="G377" s="111" t="s">
        <v>498</v>
      </c>
      <c r="H377" s="313">
        <v>5526</v>
      </c>
      <c r="I377" s="313">
        <v>5531</v>
      </c>
      <c r="L377" s="39" t="s">
        <v>325</v>
      </c>
      <c r="AQ377" s="39">
        <v>1</v>
      </c>
      <c r="AU377" s="39">
        <v>1</v>
      </c>
      <c r="AX377" s="39">
        <v>1</v>
      </c>
      <c r="AZ377" s="39">
        <v>1</v>
      </c>
    </row>
    <row r="378" ht="68.650000000000006" customHeight="1">
      <c r="E378" s="111" t="s">
        <v>1046</v>
      </c>
      <c r="F378" s="39" t="s">
        <v>761</v>
      </c>
      <c r="G378" s="111" t="s">
        <v>498</v>
      </c>
      <c r="H378" s="313">
        <v>5645</v>
      </c>
      <c r="I378" s="313">
        <v>5765</v>
      </c>
      <c r="L378" s="39" t="s">
        <v>447</v>
      </c>
      <c r="U378" s="39">
        <v>1</v>
      </c>
      <c r="V378" s="39">
        <v>1</v>
      </c>
      <c r="X378" s="39">
        <v>1</v>
      </c>
      <c r="Y378" s="39">
        <v>1</v>
      </c>
      <c r="AC378" s="39">
        <v>0</v>
      </c>
      <c r="AD378" s="39">
        <v>1</v>
      </c>
      <c r="AE378" s="39">
        <v>1</v>
      </c>
      <c r="AF378" s="39">
        <v>1</v>
      </c>
      <c r="AG378" s="39">
        <v>1</v>
      </c>
      <c r="AH378" s="39">
        <v>1</v>
      </c>
      <c r="AJ378" s="39">
        <v>1</v>
      </c>
      <c r="AK378" s="39">
        <v>1</v>
      </c>
      <c r="AL378" s="39">
        <v>1</v>
      </c>
      <c r="AM378" s="39">
        <v>1</v>
      </c>
      <c r="AN378" s="39">
        <v>1</v>
      </c>
      <c r="AP378" s="39">
        <v>1</v>
      </c>
    </row>
    <row r="379" ht="28.399999999999999" customHeight="1">
      <c r="E379" s="111" t="s">
        <v>1047</v>
      </c>
      <c r="F379" s="39" t="s">
        <v>544</v>
      </c>
      <c r="G379" s="111" t="s">
        <v>498</v>
      </c>
      <c r="H379" s="313">
        <v>6037</v>
      </c>
      <c r="I379" s="313">
        <v>6052</v>
      </c>
      <c r="J379" s="128" t="s">
        <v>1048</v>
      </c>
      <c r="L379" s="39" t="s">
        <v>325</v>
      </c>
      <c r="M379" s="39">
        <v>1</v>
      </c>
      <c r="P379" s="39">
        <v>1</v>
      </c>
      <c r="V379" s="39">
        <v>1</v>
      </c>
      <c r="X379" s="39">
        <v>1</v>
      </c>
      <c r="Z379" s="39">
        <v>1</v>
      </c>
      <c r="AA379" s="39">
        <v>1</v>
      </c>
      <c r="AJ379" s="39">
        <v>1</v>
      </c>
      <c r="AK379" s="39">
        <v>1</v>
      </c>
      <c r="AL379" s="39">
        <v>1</v>
      </c>
      <c r="AN379" s="39">
        <v>1</v>
      </c>
      <c r="AO379" s="39">
        <v>1</v>
      </c>
    </row>
    <row r="380" ht="28.399999999999999" customHeight="1">
      <c r="A380" s="39"/>
      <c r="B380" s="39"/>
      <c r="C380" s="39"/>
      <c r="E380" s="111" t="s">
        <v>1049</v>
      </c>
      <c r="F380" s="39" t="s">
        <v>654</v>
      </c>
      <c r="G380" s="111" t="s">
        <v>498</v>
      </c>
      <c r="H380" s="313">
        <v>6101</v>
      </c>
      <c r="I380" s="313">
        <v>6125</v>
      </c>
      <c r="J380" s="111"/>
      <c r="L380" s="39" t="s">
        <v>325</v>
      </c>
      <c r="M380" s="39">
        <v>1</v>
      </c>
      <c r="P380" s="39">
        <v>1</v>
      </c>
      <c r="V380" s="39">
        <v>1</v>
      </c>
      <c r="W380" s="39"/>
      <c r="Y380" s="39">
        <v>1</v>
      </c>
      <c r="Z380" s="39"/>
      <c r="AA380" s="39">
        <v>1</v>
      </c>
      <c r="AE380" s="39">
        <v>1</v>
      </c>
      <c r="AF380" s="39">
        <v>1</v>
      </c>
      <c r="AG380" s="39"/>
      <c r="AI380" s="39">
        <v>1</v>
      </c>
      <c r="AJ380" s="39">
        <v>1</v>
      </c>
      <c r="AL380" s="39">
        <v>1</v>
      </c>
      <c r="AM380" s="39">
        <v>1</v>
      </c>
      <c r="AN380" s="39">
        <v>1</v>
      </c>
      <c r="AO380" s="39">
        <v>1</v>
      </c>
      <c r="AP380" s="39"/>
    </row>
    <row r="381" ht="14.25" customHeight="1">
      <c r="E381" s="111" t="s">
        <v>1050</v>
      </c>
      <c r="F381" s="39" t="s">
        <v>1051</v>
      </c>
      <c r="G381" s="111" t="s">
        <v>498</v>
      </c>
      <c r="H381" s="313">
        <v>6365</v>
      </c>
      <c r="I381" s="313">
        <v>6379</v>
      </c>
      <c r="L381" s="39" t="s">
        <v>325</v>
      </c>
      <c r="M381" s="39">
        <v>1</v>
      </c>
      <c r="P381" s="39">
        <v>1</v>
      </c>
      <c r="W381" s="39">
        <v>1</v>
      </c>
      <c r="X381" s="39">
        <v>1</v>
      </c>
      <c r="Z381" s="39">
        <v>1</v>
      </c>
      <c r="AA381" s="39">
        <v>1</v>
      </c>
      <c r="AK381" s="39">
        <v>1</v>
      </c>
      <c r="AL381" s="39">
        <v>1</v>
      </c>
      <c r="AO381" s="39">
        <v>1</v>
      </c>
    </row>
    <row r="382" ht="14.25" customHeight="1">
      <c r="E382" s="111" t="s">
        <v>1052</v>
      </c>
      <c r="F382" s="39" t="s">
        <v>535</v>
      </c>
      <c r="G382" s="111" t="s">
        <v>498</v>
      </c>
      <c r="H382" s="313">
        <v>7052</v>
      </c>
      <c r="I382" s="313">
        <v>7061</v>
      </c>
      <c r="L382" s="39" t="s">
        <v>325</v>
      </c>
      <c r="M382" s="39">
        <v>1</v>
      </c>
      <c r="P382" s="39">
        <v>1</v>
      </c>
      <c r="W382" s="39">
        <v>1</v>
      </c>
      <c r="X382" s="39">
        <v>1</v>
      </c>
      <c r="Z382" s="39">
        <v>1</v>
      </c>
      <c r="AA382" s="39">
        <v>1</v>
      </c>
      <c r="AK382" s="39">
        <v>1</v>
      </c>
      <c r="AL382" s="39">
        <v>1</v>
      </c>
      <c r="AO382" s="39">
        <v>1</v>
      </c>
    </row>
    <row r="383" ht="14.25" customHeight="1">
      <c r="A383" s="39"/>
      <c r="B383" s="39"/>
      <c r="C383" s="39"/>
      <c r="D383" s="111"/>
      <c r="E383" s="111" t="s">
        <v>1053</v>
      </c>
      <c r="F383" s="39" t="s">
        <v>546</v>
      </c>
      <c r="G383" s="111" t="s">
        <v>498</v>
      </c>
      <c r="H383" s="313">
        <v>13929</v>
      </c>
      <c r="I383" s="313">
        <v>13939</v>
      </c>
      <c r="J383" s="111"/>
      <c r="L383" s="39" t="s">
        <v>325</v>
      </c>
      <c r="M383" s="39">
        <v>1</v>
      </c>
      <c r="P383" s="39">
        <v>1</v>
      </c>
      <c r="V383" s="39">
        <v>1</v>
      </c>
      <c r="Y383" s="39"/>
      <c r="Z383" s="39">
        <v>1</v>
      </c>
      <c r="AA383" s="39">
        <v>1</v>
      </c>
      <c r="AE383" s="39"/>
      <c r="AF383" s="39"/>
      <c r="AG383" s="39">
        <v>1</v>
      </c>
      <c r="AH383" s="39"/>
      <c r="AI383" s="39">
        <v>1</v>
      </c>
      <c r="AJ383" s="39"/>
      <c r="AL383" s="39">
        <v>1</v>
      </c>
      <c r="AM383" s="39">
        <v>1</v>
      </c>
      <c r="AN383" s="39"/>
      <c r="AO383" s="39">
        <v>1</v>
      </c>
      <c r="AP383" s="39"/>
      <c r="BF383" s="39"/>
    </row>
    <row r="384" ht="41.75" customHeight="1">
      <c r="E384" s="111" t="s">
        <v>1054</v>
      </c>
      <c r="F384" s="39" t="s">
        <v>529</v>
      </c>
      <c r="G384" s="111" t="s">
        <v>498</v>
      </c>
      <c r="H384" s="313">
        <v>13981</v>
      </c>
      <c r="I384" s="313">
        <v>14001</v>
      </c>
      <c r="J384" s="128" t="s">
        <v>1055</v>
      </c>
      <c r="L384" s="39" t="s">
        <v>325</v>
      </c>
      <c r="M384" s="39">
        <v>1</v>
      </c>
      <c r="P384" s="39">
        <v>1</v>
      </c>
      <c r="V384" s="39">
        <v>1</v>
      </c>
      <c r="Y384" s="39">
        <v>1</v>
      </c>
      <c r="AA384" s="39">
        <v>1</v>
      </c>
      <c r="AB384" s="39">
        <v>0</v>
      </c>
      <c r="AE384" s="39">
        <v>1</v>
      </c>
      <c r="AF384" s="39">
        <v>1</v>
      </c>
      <c r="AG384" s="39">
        <v>1</v>
      </c>
      <c r="AH384" s="39">
        <v>1</v>
      </c>
      <c r="AI384" s="39">
        <v>1</v>
      </c>
      <c r="AL384" s="39">
        <v>1</v>
      </c>
      <c r="AM384" s="39">
        <v>1</v>
      </c>
      <c r="AP384" s="39">
        <v>1</v>
      </c>
    </row>
    <row r="385" ht="41.75" customHeight="1">
      <c r="E385" s="111" t="s">
        <v>1056</v>
      </c>
      <c r="F385" s="39" t="s">
        <v>554</v>
      </c>
      <c r="G385" s="111" t="s">
        <v>498</v>
      </c>
      <c r="H385" s="313">
        <v>18941</v>
      </c>
      <c r="I385" s="313">
        <v>18991</v>
      </c>
      <c r="L385" s="39" t="s">
        <v>325</v>
      </c>
      <c r="M385" s="39">
        <v>1</v>
      </c>
      <c r="P385" s="39">
        <v>1</v>
      </c>
      <c r="V385" s="39">
        <v>1</v>
      </c>
      <c r="X385" s="39">
        <v>1</v>
      </c>
      <c r="Y385" s="39">
        <v>1</v>
      </c>
      <c r="AA385" s="39">
        <v>1</v>
      </c>
      <c r="AE385" s="39">
        <v>1</v>
      </c>
      <c r="AF385" s="39">
        <v>1</v>
      </c>
      <c r="AG385" s="39">
        <v>1</v>
      </c>
      <c r="AH385" s="39">
        <v>1</v>
      </c>
      <c r="AI385" s="39">
        <v>1</v>
      </c>
      <c r="AJ385" s="39">
        <v>1</v>
      </c>
      <c r="AL385" s="39">
        <v>1</v>
      </c>
      <c r="AM385" s="39">
        <v>1</v>
      </c>
      <c r="AN385" s="39">
        <v>1</v>
      </c>
      <c r="AP385" s="39">
        <v>1</v>
      </c>
    </row>
    <row r="386" ht="68.650000000000006" customHeight="1">
      <c r="E386" s="111" t="s">
        <v>1057</v>
      </c>
      <c r="F386" s="39" t="s">
        <v>1058</v>
      </c>
      <c r="G386" s="111" t="s">
        <v>498</v>
      </c>
      <c r="H386" s="313">
        <v>19205</v>
      </c>
      <c r="I386" s="313">
        <v>19341</v>
      </c>
      <c r="J386" s="128" t="s">
        <v>1059</v>
      </c>
      <c r="L386" s="39" t="s">
        <v>325</v>
      </c>
      <c r="M386" s="39">
        <v>1</v>
      </c>
      <c r="P386" s="39">
        <v>1</v>
      </c>
      <c r="V386" s="39">
        <v>1</v>
      </c>
      <c r="Y386" s="39">
        <v>1</v>
      </c>
      <c r="AA386" s="39">
        <v>1</v>
      </c>
      <c r="AE386" s="39">
        <v>1</v>
      </c>
      <c r="AF386" s="39">
        <v>1</v>
      </c>
      <c r="AG386" s="39">
        <v>1</v>
      </c>
      <c r="AH386" s="39">
        <v>1</v>
      </c>
      <c r="AI386" s="39">
        <v>1</v>
      </c>
      <c r="AJ386" s="39">
        <v>1</v>
      </c>
      <c r="AL386" s="39">
        <v>1</v>
      </c>
      <c r="AM386" s="39">
        <v>1</v>
      </c>
      <c r="AN386" s="39">
        <v>1</v>
      </c>
      <c r="AP386" s="39">
        <v>1</v>
      </c>
    </row>
    <row r="387" ht="14.25" customHeight="1">
      <c r="E387" s="111" t="s">
        <v>1060</v>
      </c>
      <c r="F387" s="39" t="s">
        <v>510</v>
      </c>
      <c r="G387" s="111" t="s">
        <v>498</v>
      </c>
      <c r="H387" s="313">
        <v>20002</v>
      </c>
      <c r="I387" s="313">
        <v>20006</v>
      </c>
      <c r="L387" s="39" t="s">
        <v>325</v>
      </c>
      <c r="M387" s="39">
        <v>1</v>
      </c>
      <c r="P387" s="39">
        <v>1</v>
      </c>
      <c r="V387" s="39">
        <v>1</v>
      </c>
      <c r="Y387" s="39">
        <v>1</v>
      </c>
      <c r="AA387" s="39">
        <v>1</v>
      </c>
      <c r="AG387" s="39">
        <v>1</v>
      </c>
      <c r="AH387" s="39">
        <v>1</v>
      </c>
      <c r="AN387" s="39">
        <v>1</v>
      </c>
      <c r="AP387" s="39">
        <v>1</v>
      </c>
    </row>
    <row r="388" ht="41.75" customHeight="1">
      <c r="E388" s="111" t="s">
        <v>1061</v>
      </c>
      <c r="F388" s="39" t="s">
        <v>504</v>
      </c>
      <c r="G388" s="111" t="s">
        <v>498</v>
      </c>
      <c r="H388" s="313">
        <v>20320</v>
      </c>
      <c r="I388" s="313">
        <v>20325</v>
      </c>
      <c r="L388" s="39" t="s">
        <v>447</v>
      </c>
      <c r="M388" s="39">
        <v>1</v>
      </c>
      <c r="P388" s="39">
        <v>1</v>
      </c>
      <c r="V388" s="39">
        <v>1</v>
      </c>
      <c r="Y388" s="39">
        <v>1</v>
      </c>
      <c r="AA388" s="39">
        <v>1</v>
      </c>
      <c r="AE388" s="39">
        <v>1</v>
      </c>
      <c r="AF388" s="39">
        <v>1</v>
      </c>
      <c r="AJ388" s="39">
        <v>1</v>
      </c>
      <c r="AL388" s="39">
        <v>1</v>
      </c>
      <c r="AP388" s="39">
        <v>1</v>
      </c>
      <c r="AQ388" s="39">
        <v>1</v>
      </c>
      <c r="AU388" s="39">
        <v>1</v>
      </c>
      <c r="AW388" s="39">
        <v>1</v>
      </c>
      <c r="AZ388" s="39">
        <v>1</v>
      </c>
      <c r="BG388" s="39">
        <v>1</v>
      </c>
    </row>
    <row r="389" ht="41.75" customHeight="1">
      <c r="E389" s="111" t="s">
        <v>1062</v>
      </c>
      <c r="F389" s="39" t="s">
        <v>550</v>
      </c>
      <c r="G389" s="111" t="s">
        <v>498</v>
      </c>
      <c r="H389" s="313">
        <v>20491</v>
      </c>
      <c r="I389" s="313">
        <v>20521</v>
      </c>
      <c r="L389" s="39" t="s">
        <v>325</v>
      </c>
      <c r="M389" s="39">
        <v>1</v>
      </c>
      <c r="P389" s="39">
        <v>1</v>
      </c>
      <c r="V389" s="39">
        <v>0</v>
      </c>
      <c r="W389" s="39">
        <v>1</v>
      </c>
      <c r="X389" s="39">
        <v>1</v>
      </c>
      <c r="Z389" s="39">
        <v>1</v>
      </c>
      <c r="AA389" s="39">
        <v>1</v>
      </c>
      <c r="AE389" s="39">
        <v>1</v>
      </c>
      <c r="AF389" s="39">
        <v>1</v>
      </c>
      <c r="AM389" s="39">
        <v>1</v>
      </c>
      <c r="AN389" s="39">
        <v>1</v>
      </c>
      <c r="AP389" s="39">
        <v>1</v>
      </c>
    </row>
    <row r="390" s="316" customFormat="1" ht="41.75" customHeight="1">
      <c r="E390" s="170" t="s">
        <v>1063</v>
      </c>
      <c r="F390" s="316" t="s">
        <v>485</v>
      </c>
      <c r="G390" s="170" t="s">
        <v>498</v>
      </c>
      <c r="H390" s="326">
        <v>28837</v>
      </c>
      <c r="I390" s="326">
        <v>28897</v>
      </c>
      <c r="J390" s="170"/>
      <c r="L390" s="316" t="s">
        <v>325</v>
      </c>
      <c r="M390" s="316">
        <v>1</v>
      </c>
      <c r="P390" s="316">
        <v>1</v>
      </c>
      <c r="V390" s="316">
        <v>1</v>
      </c>
      <c r="X390" s="316">
        <v>1</v>
      </c>
      <c r="Z390" s="316">
        <v>1</v>
      </c>
      <c r="AA390" s="316">
        <v>1</v>
      </c>
      <c r="AE390" s="316">
        <v>1</v>
      </c>
      <c r="AF390" s="316">
        <v>1</v>
      </c>
      <c r="AG390" s="316">
        <v>1</v>
      </c>
      <c r="AH390" s="316">
        <v>1</v>
      </c>
      <c r="AJ390" s="316">
        <v>1</v>
      </c>
      <c r="AL390" s="316">
        <v>1</v>
      </c>
      <c r="AP390" s="316">
        <v>1</v>
      </c>
    </row>
    <row r="391" ht="55.25" customHeight="1">
      <c r="E391" s="111" t="s">
        <v>1064</v>
      </c>
      <c r="F391" s="39" t="s">
        <v>637</v>
      </c>
      <c r="G391" s="111" t="s">
        <v>498</v>
      </c>
      <c r="H391" s="313">
        <v>28998</v>
      </c>
      <c r="I391" s="313">
        <v>29055</v>
      </c>
      <c r="L391" s="39" t="s">
        <v>447</v>
      </c>
      <c r="Q391" s="39">
        <v>1</v>
      </c>
      <c r="T391" s="39">
        <v>1</v>
      </c>
      <c r="V391" s="39">
        <v>1</v>
      </c>
      <c r="Y391" s="39">
        <v>1</v>
      </c>
      <c r="AB391" s="39">
        <v>1</v>
      </c>
      <c r="AE391" s="39">
        <v>1</v>
      </c>
      <c r="AF391" s="39">
        <v>1</v>
      </c>
      <c r="AG391" s="39">
        <v>1</v>
      </c>
      <c r="AH391" s="39">
        <v>1</v>
      </c>
      <c r="AJ391" s="39">
        <v>1</v>
      </c>
      <c r="AL391" s="39">
        <v>1</v>
      </c>
      <c r="AM391" s="39">
        <v>1</v>
      </c>
      <c r="AN391" s="39">
        <v>1</v>
      </c>
      <c r="AP391" s="39">
        <v>1</v>
      </c>
      <c r="AQ391" s="39">
        <v>1</v>
      </c>
      <c r="AU391" s="39">
        <v>1</v>
      </c>
      <c r="AW391" s="39">
        <v>1</v>
      </c>
    </row>
    <row r="392" ht="55.25" customHeight="1">
      <c r="E392" s="111" t="s">
        <v>1065</v>
      </c>
      <c r="F392" s="39" t="s">
        <v>1066</v>
      </c>
      <c r="G392" s="111" t="s">
        <v>498</v>
      </c>
      <c r="H392" s="313">
        <v>29201</v>
      </c>
      <c r="I392" s="313">
        <v>29301</v>
      </c>
      <c r="L392" s="39" t="s">
        <v>447</v>
      </c>
      <c r="M392" s="39">
        <v>0</v>
      </c>
      <c r="P392" s="39">
        <v>0</v>
      </c>
      <c r="Q392" s="39">
        <v>0</v>
      </c>
      <c r="R392" s="39">
        <v>1</v>
      </c>
      <c r="T392" s="39">
        <v>1</v>
      </c>
      <c r="V392" s="39">
        <v>1</v>
      </c>
      <c r="Y392" s="39">
        <v>1</v>
      </c>
      <c r="AC392" s="39">
        <v>1</v>
      </c>
      <c r="AE392" s="39">
        <v>1</v>
      </c>
      <c r="AF392" s="39">
        <v>1</v>
      </c>
      <c r="AG392" s="39">
        <v>1</v>
      </c>
      <c r="AH392" s="39">
        <v>1</v>
      </c>
      <c r="AI392" s="39">
        <v>1</v>
      </c>
      <c r="AJ392" s="39">
        <v>1</v>
      </c>
      <c r="AL392" s="39">
        <v>1</v>
      </c>
      <c r="AM392" s="39">
        <v>1</v>
      </c>
      <c r="AN392" s="39">
        <v>1</v>
      </c>
      <c r="AP392" s="39">
        <v>1</v>
      </c>
      <c r="AQ392" s="39">
        <v>1</v>
      </c>
      <c r="AX392" s="39">
        <v>1</v>
      </c>
      <c r="BE392" s="39">
        <v>1</v>
      </c>
    </row>
    <row r="393" s="144" customFormat="1" ht="55.25" customHeight="1">
      <c r="E393" s="145" t="s">
        <v>1067</v>
      </c>
      <c r="F393" s="144" t="s">
        <v>1068</v>
      </c>
      <c r="G393" s="145" t="s">
        <v>498</v>
      </c>
      <c r="H393" s="320">
        <v>29324</v>
      </c>
      <c r="I393" s="320">
        <v>29482</v>
      </c>
      <c r="J393" s="145" t="s">
        <v>1069</v>
      </c>
      <c r="L393" s="144" t="s">
        <v>447</v>
      </c>
      <c r="Q393" s="144">
        <v>1</v>
      </c>
      <c r="T393" s="144">
        <v>1</v>
      </c>
      <c r="V393" s="144">
        <v>1</v>
      </c>
      <c r="Y393" s="144">
        <v>1</v>
      </c>
      <c r="AB393" s="144">
        <v>1</v>
      </c>
      <c r="AE393" s="144">
        <v>1</v>
      </c>
      <c r="AF393" s="144">
        <v>1</v>
      </c>
      <c r="AG393" s="144">
        <v>1</v>
      </c>
      <c r="AH393" s="144">
        <v>1</v>
      </c>
      <c r="AI393" s="144">
        <v>1</v>
      </c>
      <c r="AJ393" s="144">
        <v>1</v>
      </c>
      <c r="AL393" s="144">
        <v>1</v>
      </c>
      <c r="AM393" s="144">
        <v>1</v>
      </c>
      <c r="AN393" s="144">
        <v>1</v>
      </c>
      <c r="AP393" s="144">
        <v>1</v>
      </c>
      <c r="AQ393" s="144">
        <v>1</v>
      </c>
      <c r="AW393" s="144">
        <v>1</v>
      </c>
      <c r="BA393" s="144">
        <v>1</v>
      </c>
    </row>
    <row r="394" ht="14.25" customHeight="1">
      <c r="A394" s="380" t="s">
        <v>1070</v>
      </c>
      <c r="B394" s="39" t="s">
        <v>513</v>
      </c>
      <c r="C394" s="39" t="s">
        <v>261</v>
      </c>
      <c r="D394" s="39" t="s">
        <v>17</v>
      </c>
      <c r="E394" s="381" t="s">
        <v>1071</v>
      </c>
      <c r="F394" s="39" t="s">
        <v>535</v>
      </c>
      <c r="G394" s="381" t="s">
        <v>498</v>
      </c>
      <c r="H394" s="345">
        <v>18847</v>
      </c>
      <c r="I394" s="345">
        <v>18856</v>
      </c>
      <c r="J394" s="128" t="s">
        <v>1072</v>
      </c>
      <c r="K394" s="211">
        <v>5</v>
      </c>
      <c r="L394" s="127" t="s">
        <v>325</v>
      </c>
      <c r="M394" s="39">
        <v>1</v>
      </c>
      <c r="P394" s="39">
        <v>1</v>
      </c>
      <c r="W394" s="39">
        <v>1</v>
      </c>
      <c r="Z394" s="39">
        <v>1</v>
      </c>
      <c r="AA394" s="39">
        <v>1</v>
      </c>
      <c r="AG394" s="39">
        <v>1</v>
      </c>
      <c r="AH394" s="39">
        <v>1</v>
      </c>
      <c r="AI394" s="39">
        <v>1</v>
      </c>
      <c r="AJ394" s="39">
        <v>1</v>
      </c>
      <c r="AL394" s="39">
        <v>1</v>
      </c>
      <c r="AP394" s="39">
        <v>1</v>
      </c>
    </row>
    <row r="395" ht="28.399999999999999" customHeight="1">
      <c r="A395" s="380" t="s">
        <v>1070</v>
      </c>
      <c r="E395" s="128" t="s">
        <v>1073</v>
      </c>
      <c r="F395" s="39" t="s">
        <v>1074</v>
      </c>
      <c r="G395" s="128" t="s">
        <v>498</v>
      </c>
      <c r="H395" s="345">
        <v>18911</v>
      </c>
      <c r="I395" s="345">
        <v>18916</v>
      </c>
      <c r="J395" s="128" t="s">
        <v>916</v>
      </c>
      <c r="L395" s="127" t="s">
        <v>325</v>
      </c>
      <c r="M395" s="39">
        <v>1</v>
      </c>
      <c r="P395" s="39">
        <v>1</v>
      </c>
      <c r="W395" s="39">
        <v>1</v>
      </c>
      <c r="Z395" s="39">
        <v>1</v>
      </c>
      <c r="AA395" s="39">
        <v>1</v>
      </c>
      <c r="AG395" s="39">
        <v>1</v>
      </c>
      <c r="AH395" s="39">
        <v>1</v>
      </c>
      <c r="AI395" s="39">
        <v>1</v>
      </c>
      <c r="AJ395" s="39">
        <v>1</v>
      </c>
      <c r="AL395" s="39">
        <v>1</v>
      </c>
      <c r="AP395" s="39">
        <v>1</v>
      </c>
    </row>
    <row r="396" ht="14.25" customHeight="1">
      <c r="A396" s="380" t="s">
        <v>1070</v>
      </c>
      <c r="E396" s="128" t="s">
        <v>1075</v>
      </c>
      <c r="F396" s="39" t="s">
        <v>584</v>
      </c>
      <c r="G396" s="128" t="s">
        <v>498</v>
      </c>
      <c r="H396" s="345">
        <v>19528</v>
      </c>
      <c r="I396" s="345">
        <v>19559</v>
      </c>
      <c r="J396" s="128" t="s">
        <v>1076</v>
      </c>
      <c r="L396" s="127" t="s">
        <v>325</v>
      </c>
      <c r="M396" s="39">
        <v>1</v>
      </c>
      <c r="P396" s="39">
        <v>1</v>
      </c>
      <c r="V396" s="39">
        <v>1</v>
      </c>
      <c r="W396" s="39">
        <v>0</v>
      </c>
      <c r="Z396" s="39">
        <v>1</v>
      </c>
      <c r="AA396" s="39">
        <v>1</v>
      </c>
      <c r="AE396" s="39">
        <v>1</v>
      </c>
      <c r="AF396" s="39">
        <v>1</v>
      </c>
      <c r="AG396" s="39">
        <v>1</v>
      </c>
      <c r="AH396" s="39">
        <v>1</v>
      </c>
      <c r="AL396" s="39">
        <v>1</v>
      </c>
      <c r="AN396" s="39">
        <v>1</v>
      </c>
      <c r="AP396" s="39">
        <v>1</v>
      </c>
    </row>
    <row r="397" ht="41.75" customHeight="1">
      <c r="E397" s="111" t="s">
        <v>1077</v>
      </c>
      <c r="F397" s="39" t="s">
        <v>497</v>
      </c>
      <c r="G397" s="111" t="s">
        <v>498</v>
      </c>
      <c r="H397" s="313">
        <v>20025</v>
      </c>
      <c r="I397" s="313">
        <v>20058</v>
      </c>
      <c r="J397" s="111" t="s">
        <v>1078</v>
      </c>
      <c r="L397" s="39" t="s">
        <v>325</v>
      </c>
      <c r="N397" s="39">
        <v>1</v>
      </c>
      <c r="P397" s="39">
        <v>1</v>
      </c>
      <c r="V397" s="39">
        <v>1</v>
      </c>
      <c r="Y397" s="39">
        <v>1</v>
      </c>
      <c r="AA397" s="39">
        <v>1</v>
      </c>
      <c r="AE397" s="39">
        <v>1</v>
      </c>
      <c r="AG397" s="39">
        <v>1</v>
      </c>
      <c r="AH397" s="39">
        <v>1</v>
      </c>
      <c r="AI397" s="39">
        <v>1</v>
      </c>
      <c r="AJ397" s="39">
        <v>1</v>
      </c>
      <c r="AL397" s="39">
        <v>1</v>
      </c>
      <c r="AP397" s="39">
        <v>1</v>
      </c>
    </row>
    <row r="398" s="144" customFormat="1" ht="14.25" customHeight="1">
      <c r="E398" s="145" t="s">
        <v>1079</v>
      </c>
      <c r="F398" s="144" t="s">
        <v>508</v>
      </c>
      <c r="G398" s="145" t="s">
        <v>498</v>
      </c>
      <c r="H398" s="320">
        <v>25914</v>
      </c>
      <c r="I398" s="320">
        <v>25932</v>
      </c>
      <c r="J398" s="145" t="s">
        <v>1080</v>
      </c>
      <c r="L398" s="144" t="s">
        <v>325</v>
      </c>
      <c r="M398" s="144">
        <v>1</v>
      </c>
      <c r="P398" s="144">
        <v>1</v>
      </c>
      <c r="W398" s="144">
        <v>1</v>
      </c>
      <c r="X398" s="144">
        <v>1</v>
      </c>
      <c r="Z398" s="144">
        <v>1</v>
      </c>
      <c r="AA398" s="144">
        <v>1</v>
      </c>
      <c r="AE398" s="144">
        <v>1</v>
      </c>
      <c r="AH398" s="144">
        <v>1</v>
      </c>
      <c r="AL398" s="144">
        <v>1</v>
      </c>
      <c r="AP398" s="144">
        <v>1</v>
      </c>
    </row>
    <row r="399" ht="28.399999999999999" customHeight="1">
      <c r="B399" s="39" t="s">
        <v>513</v>
      </c>
      <c r="C399" s="39" t="s">
        <v>262</v>
      </c>
      <c r="D399" s="39" t="s">
        <v>17</v>
      </c>
      <c r="E399" s="111" t="s">
        <v>1081</v>
      </c>
      <c r="F399" s="39" t="s">
        <v>491</v>
      </c>
      <c r="G399" s="111" t="s">
        <v>498</v>
      </c>
      <c r="H399" s="313">
        <v>17174</v>
      </c>
      <c r="I399" s="313">
        <v>17199</v>
      </c>
      <c r="L399" s="39" t="s">
        <v>325</v>
      </c>
      <c r="M399" s="39">
        <v>1</v>
      </c>
      <c r="P399" s="39">
        <v>1</v>
      </c>
      <c r="V399" s="39">
        <v>1</v>
      </c>
      <c r="Z399" s="39">
        <v>1</v>
      </c>
      <c r="AA399" s="39">
        <v>1</v>
      </c>
      <c r="AF399" s="39">
        <v>1</v>
      </c>
      <c r="AG399" s="39">
        <v>1</v>
      </c>
      <c r="AH399" s="39">
        <v>1</v>
      </c>
      <c r="AL399" s="39">
        <v>1</v>
      </c>
      <c r="AN399" s="39">
        <v>1</v>
      </c>
      <c r="AP399" s="39">
        <v>1</v>
      </c>
    </row>
    <row r="400" s="144" customFormat="1" ht="28.399999999999999" customHeight="1">
      <c r="E400" s="145" t="s">
        <v>1082</v>
      </c>
      <c r="F400" s="144" t="s">
        <v>562</v>
      </c>
      <c r="G400" s="145" t="s">
        <v>498</v>
      </c>
      <c r="H400" s="320">
        <v>17245</v>
      </c>
      <c r="I400" s="320">
        <v>17280</v>
      </c>
      <c r="J400" s="145"/>
      <c r="L400" s="144" t="s">
        <v>325</v>
      </c>
      <c r="M400" s="144">
        <v>1</v>
      </c>
      <c r="P400" s="144">
        <v>1</v>
      </c>
      <c r="V400" s="144">
        <v>1</v>
      </c>
      <c r="Z400" s="144">
        <v>1</v>
      </c>
      <c r="AA400" s="144">
        <v>1</v>
      </c>
      <c r="AE400" s="144">
        <v>1</v>
      </c>
      <c r="AF400" s="144">
        <v>1</v>
      </c>
      <c r="AG400" s="144">
        <v>1</v>
      </c>
      <c r="AH400" s="144">
        <v>1</v>
      </c>
      <c r="AL400" s="144">
        <v>1</v>
      </c>
      <c r="AM400" s="144">
        <v>1</v>
      </c>
      <c r="AP400" s="144">
        <v>1</v>
      </c>
    </row>
    <row r="401" s="382" customFormat="1" ht="28.399999999999999" customHeight="1">
      <c r="A401" s="383" t="s">
        <v>1070</v>
      </c>
      <c r="B401" s="382" t="s">
        <v>513</v>
      </c>
      <c r="C401" s="382" t="s">
        <v>263</v>
      </c>
      <c r="D401" s="382" t="s">
        <v>17</v>
      </c>
      <c r="E401" s="384" t="s">
        <v>1083</v>
      </c>
      <c r="G401" s="384" t="s">
        <v>498</v>
      </c>
      <c r="H401" s="385">
        <v>12743</v>
      </c>
      <c r="I401" s="385"/>
      <c r="J401" s="386" t="s">
        <v>1084</v>
      </c>
    </row>
    <row r="402" ht="28.399999999999999" customHeight="1">
      <c r="E402" s="111" t="s">
        <v>1085</v>
      </c>
      <c r="F402" s="39" t="s">
        <v>516</v>
      </c>
      <c r="G402" s="111" t="s">
        <v>498</v>
      </c>
      <c r="H402" s="313">
        <v>12990</v>
      </c>
      <c r="I402" s="313">
        <v>12993</v>
      </c>
      <c r="L402" s="39" t="s">
        <v>325</v>
      </c>
      <c r="M402" s="39">
        <v>1</v>
      </c>
      <c r="P402" s="39">
        <v>1</v>
      </c>
      <c r="Q402" s="39">
        <v>0</v>
      </c>
      <c r="V402" s="39">
        <v>1</v>
      </c>
      <c r="Z402" s="39">
        <v>1</v>
      </c>
      <c r="AA402" s="39">
        <v>1</v>
      </c>
      <c r="AE402" s="39">
        <v>1</v>
      </c>
      <c r="AG402" s="39">
        <v>1</v>
      </c>
      <c r="AH402" s="39">
        <v>1</v>
      </c>
      <c r="AI402" s="39">
        <v>1</v>
      </c>
      <c r="AJ402" s="39">
        <v>1</v>
      </c>
      <c r="AM402" s="39">
        <v>1</v>
      </c>
      <c r="AO402" s="39">
        <v>1</v>
      </c>
    </row>
    <row r="403" ht="14.25" customHeight="1">
      <c r="A403" s="383" t="s">
        <v>1070</v>
      </c>
      <c r="E403" s="384">
        <v>0.15006944444444439</v>
      </c>
      <c r="F403" s="382"/>
      <c r="G403" s="384" t="s">
        <v>498</v>
      </c>
      <c r="H403" s="385">
        <v>12966</v>
      </c>
      <c r="I403" s="385"/>
      <c r="J403" s="386" t="s">
        <v>1084</v>
      </c>
    </row>
    <row r="404" ht="28.399999999999999" customHeight="1">
      <c r="E404" s="358" t="s">
        <v>1086</v>
      </c>
      <c r="F404" s="39" t="s">
        <v>550</v>
      </c>
      <c r="G404" s="358" t="s">
        <v>498</v>
      </c>
      <c r="H404" s="313">
        <v>13140</v>
      </c>
      <c r="I404" s="313">
        <v>13170</v>
      </c>
      <c r="L404" s="39" t="s">
        <v>325</v>
      </c>
      <c r="N404" s="39">
        <v>1</v>
      </c>
      <c r="O404" s="39">
        <v>0</v>
      </c>
      <c r="P404" s="39">
        <v>1</v>
      </c>
      <c r="V404" s="39">
        <v>1</v>
      </c>
      <c r="Z404" s="39">
        <v>1</v>
      </c>
      <c r="AA404" s="39">
        <v>1</v>
      </c>
      <c r="AE404" s="39">
        <v>1</v>
      </c>
      <c r="AG404" s="39">
        <v>1</v>
      </c>
      <c r="AH404" s="39">
        <v>1</v>
      </c>
      <c r="AI404" s="39">
        <v>1</v>
      </c>
      <c r="AJ404" s="39">
        <v>1</v>
      </c>
      <c r="AM404" s="39">
        <v>1</v>
      </c>
      <c r="AP404" s="39">
        <v>1</v>
      </c>
    </row>
    <row r="405" ht="28.399999999999999" customHeight="1">
      <c r="E405" s="111" t="s">
        <v>1087</v>
      </c>
      <c r="F405" s="39" t="s">
        <v>829</v>
      </c>
      <c r="G405" s="111" t="s">
        <v>498</v>
      </c>
      <c r="H405" s="313">
        <v>21862</v>
      </c>
      <c r="I405" s="313">
        <v>21884</v>
      </c>
      <c r="L405" s="39" t="s">
        <v>325</v>
      </c>
      <c r="M405" s="39">
        <v>1</v>
      </c>
      <c r="P405" s="39">
        <v>1</v>
      </c>
      <c r="W405" s="39">
        <v>1</v>
      </c>
      <c r="X405" s="39">
        <v>1</v>
      </c>
      <c r="Z405" s="39">
        <v>1</v>
      </c>
      <c r="AA405" s="39">
        <v>1</v>
      </c>
      <c r="AG405" s="39">
        <v>1</v>
      </c>
      <c r="AH405" s="39">
        <v>1</v>
      </c>
      <c r="AI405" s="39">
        <v>1</v>
      </c>
      <c r="AL405" s="39">
        <v>1</v>
      </c>
      <c r="AM405" s="39">
        <v>1</v>
      </c>
      <c r="AP405" s="39">
        <v>1</v>
      </c>
    </row>
    <row r="406" ht="14.25" customHeight="1">
      <c r="E406" s="111" t="s">
        <v>1088</v>
      </c>
      <c r="F406" s="39" t="s">
        <v>497</v>
      </c>
      <c r="G406" s="111" t="s">
        <v>498</v>
      </c>
      <c r="H406" s="313">
        <v>21997</v>
      </c>
      <c r="I406" s="313">
        <v>22030</v>
      </c>
      <c r="L406" s="39" t="s">
        <v>325</v>
      </c>
      <c r="M406" s="39">
        <v>1</v>
      </c>
      <c r="P406" s="39">
        <v>1</v>
      </c>
      <c r="W406" s="39">
        <v>1</v>
      </c>
      <c r="X406" s="39">
        <v>1</v>
      </c>
      <c r="Z406" s="39">
        <v>1</v>
      </c>
      <c r="AA406" s="39">
        <v>1</v>
      </c>
      <c r="AG406" s="39">
        <v>1</v>
      </c>
      <c r="AH406" s="39">
        <v>1</v>
      </c>
      <c r="AL406" s="39">
        <v>1</v>
      </c>
      <c r="AN406" s="39">
        <v>1</v>
      </c>
      <c r="AP406" s="39">
        <v>1</v>
      </c>
    </row>
    <row r="407" ht="14.25" customHeight="1">
      <c r="E407" s="111" t="s">
        <v>1089</v>
      </c>
      <c r="F407" s="39" t="s">
        <v>542</v>
      </c>
      <c r="G407" s="111" t="s">
        <v>498</v>
      </c>
      <c r="H407" s="313">
        <v>22114</v>
      </c>
      <c r="I407" s="313">
        <v>22125</v>
      </c>
      <c r="L407" s="39" t="s">
        <v>325</v>
      </c>
      <c r="M407" s="39">
        <v>1</v>
      </c>
      <c r="P407" s="39">
        <v>1</v>
      </c>
      <c r="V407" s="39">
        <v>1</v>
      </c>
      <c r="X407" s="39">
        <v>1</v>
      </c>
      <c r="Y407" s="39">
        <v>1</v>
      </c>
      <c r="AA407" s="39">
        <v>1</v>
      </c>
      <c r="AG407" s="39">
        <v>1</v>
      </c>
      <c r="AH407" s="39">
        <v>1</v>
      </c>
      <c r="AL407" s="39">
        <v>1</v>
      </c>
      <c r="AN407" s="39">
        <v>1</v>
      </c>
      <c r="AP407" s="39">
        <v>1</v>
      </c>
    </row>
    <row r="408" ht="68.650000000000006" customHeight="1">
      <c r="E408" s="111" t="s">
        <v>1090</v>
      </c>
      <c r="F408" s="39" t="s">
        <v>1091</v>
      </c>
      <c r="G408" s="111" t="s">
        <v>498</v>
      </c>
      <c r="H408" s="313">
        <v>22320</v>
      </c>
      <c r="I408" s="313">
        <v>22462</v>
      </c>
      <c r="L408" s="39" t="s">
        <v>447</v>
      </c>
      <c r="O408" s="39">
        <v>1</v>
      </c>
      <c r="P408" s="39">
        <v>1</v>
      </c>
      <c r="Q408" s="39">
        <v>1</v>
      </c>
      <c r="S408" s="39">
        <v>1</v>
      </c>
      <c r="T408" s="39">
        <v>1</v>
      </c>
      <c r="V408" s="39">
        <v>1</v>
      </c>
      <c r="X408" s="39">
        <v>1</v>
      </c>
      <c r="Y408" s="39">
        <v>1</v>
      </c>
      <c r="AB408" s="39">
        <v>1</v>
      </c>
      <c r="AC408" s="39">
        <v>1</v>
      </c>
      <c r="AE408" s="39">
        <v>1</v>
      </c>
      <c r="AF408" s="39">
        <v>1</v>
      </c>
      <c r="AG408" s="39">
        <v>1</v>
      </c>
      <c r="AH408" s="39">
        <v>1</v>
      </c>
      <c r="AI408" s="39">
        <v>1</v>
      </c>
      <c r="AJ408" s="39">
        <v>1</v>
      </c>
      <c r="AL408" s="39">
        <v>1</v>
      </c>
      <c r="AM408" s="39">
        <v>1</v>
      </c>
      <c r="AN408" s="39">
        <v>1</v>
      </c>
      <c r="AP408" s="39">
        <v>1</v>
      </c>
      <c r="AQ408" s="39">
        <v>1</v>
      </c>
      <c r="AS408" s="39">
        <v>1</v>
      </c>
      <c r="AW408" s="39">
        <v>1</v>
      </c>
    </row>
    <row r="409" ht="28.399999999999999" customHeight="1">
      <c r="E409" s="111" t="s">
        <v>1092</v>
      </c>
      <c r="F409" s="39" t="s">
        <v>629</v>
      </c>
      <c r="G409" s="111" t="s">
        <v>498</v>
      </c>
      <c r="H409" s="313">
        <v>22517</v>
      </c>
      <c r="I409" s="313">
        <v>22560</v>
      </c>
      <c r="L409" s="39" t="s">
        <v>325</v>
      </c>
      <c r="O409" s="39">
        <v>1</v>
      </c>
      <c r="P409" s="39">
        <v>1</v>
      </c>
      <c r="W409" s="39">
        <v>1</v>
      </c>
      <c r="X409" s="39">
        <v>1</v>
      </c>
      <c r="Z409" s="39">
        <v>1</v>
      </c>
      <c r="AA409" s="39">
        <v>1</v>
      </c>
      <c r="AG409" s="39">
        <v>1</v>
      </c>
      <c r="AH409" s="39">
        <v>1</v>
      </c>
      <c r="AL409" s="39">
        <v>1</v>
      </c>
      <c r="AM409" s="39">
        <v>1</v>
      </c>
      <c r="AN409" s="39">
        <v>1</v>
      </c>
      <c r="AP409" s="39">
        <v>1</v>
      </c>
    </row>
    <row r="410" ht="14.25" customHeight="1">
      <c r="E410" s="358" t="s">
        <v>1093</v>
      </c>
      <c r="F410" s="39" t="s">
        <v>504</v>
      </c>
      <c r="G410" s="358" t="s">
        <v>498</v>
      </c>
      <c r="H410" s="313">
        <v>22810</v>
      </c>
      <c r="I410" s="313">
        <v>22815</v>
      </c>
      <c r="L410" s="39" t="s">
        <v>325</v>
      </c>
      <c r="M410" s="39">
        <v>1</v>
      </c>
      <c r="P410" s="39">
        <v>1</v>
      </c>
      <c r="W410" s="39">
        <v>1</v>
      </c>
      <c r="Z410" s="39">
        <v>1</v>
      </c>
      <c r="AA410" s="39">
        <v>1</v>
      </c>
      <c r="AF410" s="39">
        <v>1</v>
      </c>
      <c r="AL410" s="39">
        <v>1</v>
      </c>
      <c r="AN410" s="39">
        <v>1</v>
      </c>
      <c r="AO410" s="39">
        <v>1</v>
      </c>
    </row>
    <row r="411" ht="28.399999999999999" customHeight="1">
      <c r="E411" s="111" t="s">
        <v>1094</v>
      </c>
      <c r="F411" s="39" t="s">
        <v>508</v>
      </c>
      <c r="G411" s="111" t="s">
        <v>498</v>
      </c>
      <c r="H411" s="313">
        <v>28642</v>
      </c>
      <c r="I411" s="313">
        <v>28660</v>
      </c>
      <c r="L411" s="39" t="s">
        <v>325</v>
      </c>
      <c r="M411" s="39">
        <v>1</v>
      </c>
      <c r="P411" s="39">
        <v>1</v>
      </c>
      <c r="W411" s="39">
        <v>1</v>
      </c>
      <c r="Z411" s="39">
        <v>1</v>
      </c>
      <c r="AA411" s="39">
        <v>1</v>
      </c>
      <c r="AG411" s="39">
        <v>1</v>
      </c>
      <c r="AH411" s="39">
        <v>1</v>
      </c>
      <c r="AI411" s="39">
        <v>1</v>
      </c>
      <c r="AM411" s="39">
        <v>1</v>
      </c>
      <c r="AP411" s="39">
        <v>1</v>
      </c>
    </row>
    <row r="412" ht="28.399999999999999" customHeight="1">
      <c r="E412" s="111" t="s">
        <v>1095</v>
      </c>
      <c r="F412" s="39" t="s">
        <v>676</v>
      </c>
      <c r="G412" s="111" t="s">
        <v>498</v>
      </c>
      <c r="H412" s="313">
        <v>28716</v>
      </c>
      <c r="I412" s="313">
        <v>28762</v>
      </c>
      <c r="L412" s="39" t="s">
        <v>325</v>
      </c>
      <c r="M412" s="39">
        <v>1</v>
      </c>
      <c r="P412" s="39">
        <v>1</v>
      </c>
      <c r="W412" s="39">
        <v>1</v>
      </c>
      <c r="X412" s="39">
        <v>1</v>
      </c>
      <c r="Z412" s="39">
        <v>1</v>
      </c>
      <c r="AA412" s="39">
        <v>1</v>
      </c>
      <c r="AG412" s="39">
        <v>1</v>
      </c>
      <c r="AH412" s="39">
        <v>1</v>
      </c>
      <c r="AM412" s="39">
        <v>1</v>
      </c>
      <c r="AP412" s="39">
        <v>1</v>
      </c>
    </row>
    <row r="413" ht="14.25" customHeight="1">
      <c r="A413" s="383" t="s">
        <v>1070</v>
      </c>
      <c r="E413" s="384">
        <v>0.33531250000000001</v>
      </c>
      <c r="F413" s="382"/>
      <c r="G413" s="384" t="s">
        <v>498</v>
      </c>
      <c r="H413" s="385">
        <v>28971</v>
      </c>
      <c r="I413" s="385"/>
      <c r="J413" s="386" t="s">
        <v>1084</v>
      </c>
    </row>
    <row r="414" s="144" customFormat="1" ht="14.25" customHeight="1">
      <c r="E414" s="145" t="s">
        <v>1096</v>
      </c>
      <c r="F414" s="144" t="s">
        <v>504</v>
      </c>
      <c r="G414" s="145" t="s">
        <v>498</v>
      </c>
      <c r="H414" s="320">
        <v>29400</v>
      </c>
      <c r="I414" s="320">
        <v>29405</v>
      </c>
      <c r="J414" s="145"/>
      <c r="L414" s="144" t="s">
        <v>325</v>
      </c>
      <c r="M414" s="144">
        <v>1</v>
      </c>
      <c r="P414" s="144">
        <v>1</v>
      </c>
      <c r="V414" s="144">
        <v>1</v>
      </c>
      <c r="X414" s="144">
        <v>1</v>
      </c>
      <c r="Z414" s="144">
        <v>1</v>
      </c>
      <c r="AA414" s="144">
        <v>1</v>
      </c>
      <c r="AG414" s="144">
        <v>1</v>
      </c>
      <c r="AH414" s="144">
        <v>1</v>
      </c>
      <c r="AM414" s="144">
        <v>1</v>
      </c>
      <c r="AP414" s="144">
        <v>1</v>
      </c>
    </row>
    <row r="415" ht="28.399999999999999" customHeight="1">
      <c r="B415" s="39" t="s">
        <v>513</v>
      </c>
      <c r="C415" s="39" t="s">
        <v>1097</v>
      </c>
      <c r="D415" s="39" t="s">
        <v>17</v>
      </c>
      <c r="E415" s="111" t="s">
        <v>1098</v>
      </c>
      <c r="F415" s="39" t="s">
        <v>535</v>
      </c>
      <c r="G415" s="111" t="s">
        <v>498</v>
      </c>
      <c r="H415" s="313">
        <v>5866</v>
      </c>
      <c r="I415" s="313">
        <v>5875</v>
      </c>
      <c r="L415" s="39" t="s">
        <v>325</v>
      </c>
      <c r="N415" s="39">
        <v>1</v>
      </c>
      <c r="P415" s="39">
        <v>1</v>
      </c>
      <c r="V415" s="39">
        <v>1</v>
      </c>
      <c r="Y415" s="39">
        <v>1</v>
      </c>
      <c r="AA415" s="39">
        <v>1</v>
      </c>
      <c r="AE415" s="39">
        <v>1</v>
      </c>
      <c r="AF415" s="39">
        <v>1</v>
      </c>
      <c r="AG415" s="39">
        <v>1</v>
      </c>
      <c r="AH415" s="39">
        <v>1</v>
      </c>
      <c r="AI415" s="39">
        <v>1</v>
      </c>
      <c r="AJ415" s="39">
        <v>1</v>
      </c>
      <c r="AL415" s="39">
        <v>1</v>
      </c>
      <c r="AM415" s="39">
        <v>1</v>
      </c>
      <c r="AP415" s="39">
        <v>1</v>
      </c>
    </row>
    <row r="416" ht="14.25" customHeight="1">
      <c r="E416" s="111" t="s">
        <v>1099</v>
      </c>
      <c r="F416" s="39" t="s">
        <v>1018</v>
      </c>
      <c r="G416" s="111" t="s">
        <v>498</v>
      </c>
      <c r="H416" s="313">
        <v>14950</v>
      </c>
      <c r="I416" s="313">
        <v>14957</v>
      </c>
      <c r="L416" s="39" t="s">
        <v>325</v>
      </c>
      <c r="M416" s="39">
        <v>1</v>
      </c>
      <c r="P416" s="39">
        <v>1</v>
      </c>
      <c r="V416" s="39">
        <v>1</v>
      </c>
      <c r="Z416" s="39">
        <v>1</v>
      </c>
      <c r="AA416" s="39">
        <v>1</v>
      </c>
      <c r="AG416" s="39">
        <v>1</v>
      </c>
      <c r="AH416" s="39">
        <v>1</v>
      </c>
      <c r="AI416" s="39">
        <v>1</v>
      </c>
      <c r="AM416" s="39">
        <v>1</v>
      </c>
      <c r="AP416" s="39">
        <v>1</v>
      </c>
    </row>
    <row r="417" ht="14.25" customHeight="1">
      <c r="E417" s="111" t="s">
        <v>1100</v>
      </c>
      <c r="F417" s="39" t="s">
        <v>644</v>
      </c>
      <c r="G417" s="111" t="s">
        <v>498</v>
      </c>
      <c r="H417" s="313">
        <v>15120</v>
      </c>
      <c r="I417" s="313">
        <v>15147</v>
      </c>
      <c r="L417" s="39" t="s">
        <v>325</v>
      </c>
      <c r="M417" s="39">
        <v>1</v>
      </c>
      <c r="P417" s="39">
        <v>1</v>
      </c>
      <c r="W417" s="39">
        <v>1</v>
      </c>
      <c r="X417" s="39">
        <v>1</v>
      </c>
      <c r="Y417" s="39">
        <v>0</v>
      </c>
      <c r="Z417" s="39">
        <v>1</v>
      </c>
      <c r="AD417" s="39">
        <v>1</v>
      </c>
      <c r="AF417" s="39">
        <v>1</v>
      </c>
      <c r="AL417" s="39">
        <v>1</v>
      </c>
      <c r="AM417" s="39">
        <v>1</v>
      </c>
      <c r="AN417" s="39">
        <v>1</v>
      </c>
      <c r="AO417" s="39">
        <v>1</v>
      </c>
    </row>
    <row r="418" ht="55.25" customHeight="1">
      <c r="E418" s="111" t="s">
        <v>1101</v>
      </c>
      <c r="F418" s="39" t="s">
        <v>703</v>
      </c>
      <c r="G418" s="111" t="s">
        <v>498</v>
      </c>
      <c r="H418" s="313">
        <v>15178</v>
      </c>
      <c r="I418" s="313">
        <v>15219</v>
      </c>
      <c r="L418" s="39" t="s">
        <v>447</v>
      </c>
      <c r="O418" s="39">
        <v>1</v>
      </c>
      <c r="P418" s="39">
        <v>1</v>
      </c>
      <c r="S418" s="39">
        <v>1</v>
      </c>
      <c r="T418" s="39">
        <v>1</v>
      </c>
      <c r="V418" s="39">
        <v>1</v>
      </c>
      <c r="Y418" s="39">
        <v>1</v>
      </c>
      <c r="AC418" s="39">
        <v>0</v>
      </c>
      <c r="AD418" s="39">
        <v>1</v>
      </c>
      <c r="AE418" s="39">
        <v>1</v>
      </c>
      <c r="AF418" s="39">
        <v>1</v>
      </c>
      <c r="AG418" s="39">
        <v>1</v>
      </c>
      <c r="AH418" s="39">
        <v>1</v>
      </c>
      <c r="AI418" s="39">
        <v>1</v>
      </c>
      <c r="AJ418" s="39">
        <v>1</v>
      </c>
      <c r="AL418" s="39">
        <v>1</v>
      </c>
      <c r="AM418" s="39">
        <v>1</v>
      </c>
      <c r="AN418" s="39">
        <v>1</v>
      </c>
      <c r="AP418" s="39">
        <v>1</v>
      </c>
    </row>
    <row r="419" s="369" customFormat="1" ht="55.25" customHeight="1">
      <c r="A419" s="369" t="s">
        <v>720</v>
      </c>
      <c r="B419" s="369"/>
      <c r="C419" s="369"/>
      <c r="D419" s="369"/>
      <c r="E419" s="371" t="s">
        <v>1102</v>
      </c>
      <c r="F419" s="370" t="s">
        <v>616</v>
      </c>
      <c r="G419" s="371" t="s">
        <v>498</v>
      </c>
      <c r="H419" s="372">
        <v>15252</v>
      </c>
      <c r="I419" s="372">
        <v>15288</v>
      </c>
      <c r="J419" s="371" t="s">
        <v>916</v>
      </c>
      <c r="K419" s="369"/>
      <c r="L419" s="373" t="s">
        <v>447</v>
      </c>
      <c r="M419" s="369"/>
      <c r="N419" s="369">
        <v>1</v>
      </c>
      <c r="O419" s="369"/>
      <c r="P419" s="369">
        <v>1</v>
      </c>
      <c r="Q419" s="369">
        <v>1</v>
      </c>
      <c r="R419" s="369"/>
      <c r="S419" s="369">
        <v>0</v>
      </c>
      <c r="T419" s="369">
        <v>1</v>
      </c>
      <c r="U419" s="369"/>
      <c r="V419" s="369">
        <v>1</v>
      </c>
      <c r="W419" s="369"/>
      <c r="X419" s="369"/>
      <c r="Y419" s="369">
        <v>1</v>
      </c>
      <c r="Z419" s="369"/>
      <c r="AA419" s="369"/>
      <c r="AB419" s="369">
        <v>1</v>
      </c>
      <c r="AC419" s="369"/>
      <c r="AD419" s="369"/>
      <c r="AE419" s="369">
        <v>1</v>
      </c>
      <c r="AF419" s="369">
        <v>1</v>
      </c>
      <c r="AG419" s="369">
        <v>1</v>
      </c>
      <c r="AH419" s="369">
        <v>1</v>
      </c>
      <c r="AI419" s="369">
        <v>1</v>
      </c>
      <c r="AJ419" s="369">
        <v>1</v>
      </c>
      <c r="AK419" s="369"/>
      <c r="AL419" s="369">
        <v>1</v>
      </c>
      <c r="AM419" s="369">
        <v>1</v>
      </c>
      <c r="AN419" s="369">
        <v>1</v>
      </c>
      <c r="AO419" s="369"/>
      <c r="AP419" s="369">
        <v>1</v>
      </c>
      <c r="AQ419" s="369"/>
      <c r="AR419" s="369"/>
      <c r="AS419" s="369"/>
      <c r="AT419" s="369"/>
      <c r="AU419" s="369"/>
      <c r="AV419" s="369"/>
      <c r="AW419" s="369"/>
      <c r="AX419" s="369"/>
      <c r="AY419" s="369"/>
      <c r="AZ419" s="369"/>
      <c r="BA419" s="369"/>
      <c r="BB419" s="369"/>
      <c r="BC419" s="369"/>
      <c r="BD419" s="369"/>
      <c r="BE419" s="369"/>
      <c r="BF419" s="369"/>
      <c r="BG419" s="369"/>
      <c r="BH419" s="369"/>
      <c r="BI419" s="369"/>
      <c r="BK419" s="369"/>
      <c r="BL419" s="369"/>
    </row>
    <row r="420" ht="55.25" customHeight="1">
      <c r="E420" s="363" t="s">
        <v>1103</v>
      </c>
      <c r="F420" s="39" t="s">
        <v>703</v>
      </c>
      <c r="G420" s="363" t="s">
        <v>498</v>
      </c>
      <c r="H420" s="291">
        <v>15406</v>
      </c>
      <c r="I420" s="291">
        <v>15447</v>
      </c>
      <c r="L420" s="39" t="s">
        <v>325</v>
      </c>
      <c r="M420" s="39">
        <v>1</v>
      </c>
      <c r="P420" s="39">
        <v>1</v>
      </c>
      <c r="W420" s="39">
        <v>1</v>
      </c>
      <c r="Z420" s="39">
        <v>1</v>
      </c>
      <c r="AA420" s="39">
        <v>1</v>
      </c>
      <c r="AE420" s="39">
        <v>1</v>
      </c>
      <c r="AF420" s="39">
        <v>1</v>
      </c>
      <c r="AJ420" s="39">
        <v>1</v>
      </c>
      <c r="AK420" s="39">
        <v>1</v>
      </c>
      <c r="AL420" s="39">
        <v>1</v>
      </c>
      <c r="AM420" s="39">
        <v>1</v>
      </c>
      <c r="AN420" s="39">
        <v>1</v>
      </c>
      <c r="AP420" s="39">
        <v>1</v>
      </c>
    </row>
    <row r="421" ht="14.25" customHeight="1">
      <c r="E421" s="111" t="s">
        <v>1104</v>
      </c>
      <c r="F421" s="39" t="s">
        <v>546</v>
      </c>
      <c r="G421" s="111" t="s">
        <v>498</v>
      </c>
      <c r="H421" s="313">
        <v>15560</v>
      </c>
      <c r="I421" s="313">
        <v>15570</v>
      </c>
      <c r="L421" s="39" t="s">
        <v>325</v>
      </c>
      <c r="M421" s="39">
        <v>1</v>
      </c>
      <c r="P421" s="39">
        <v>1</v>
      </c>
      <c r="W421" s="39">
        <v>1</v>
      </c>
      <c r="X421" s="39">
        <v>1</v>
      </c>
      <c r="Z421" s="39">
        <v>1</v>
      </c>
      <c r="AD421" s="39">
        <v>1</v>
      </c>
      <c r="AF421" s="39">
        <v>1</v>
      </c>
      <c r="AL421" s="39">
        <v>1</v>
      </c>
      <c r="AM421" s="39">
        <v>1</v>
      </c>
      <c r="AN421" s="39">
        <v>1</v>
      </c>
      <c r="AO421" s="39">
        <v>1</v>
      </c>
    </row>
    <row r="422" ht="14.25" customHeight="1">
      <c r="E422" s="111" t="s">
        <v>1105</v>
      </c>
      <c r="F422" s="39" t="s">
        <v>610</v>
      </c>
      <c r="G422" s="111" t="s">
        <v>498</v>
      </c>
      <c r="H422" s="313">
        <v>15720</v>
      </c>
      <c r="I422" s="313">
        <v>15733</v>
      </c>
      <c r="L422" s="39" t="s">
        <v>325</v>
      </c>
      <c r="N422" s="39">
        <v>1</v>
      </c>
      <c r="P422" s="39">
        <v>1</v>
      </c>
      <c r="V422" s="39">
        <v>1</v>
      </c>
      <c r="W422" s="39">
        <v>0</v>
      </c>
      <c r="Z422" s="39">
        <v>1</v>
      </c>
      <c r="AA422" s="39">
        <v>1</v>
      </c>
      <c r="AE422" s="39">
        <v>1</v>
      </c>
      <c r="AG422" s="39">
        <v>1</v>
      </c>
      <c r="AH422" s="39">
        <v>1</v>
      </c>
      <c r="AI422" s="39">
        <v>1</v>
      </c>
      <c r="AM422" s="39">
        <v>1</v>
      </c>
      <c r="AP422" s="39">
        <v>1</v>
      </c>
    </row>
    <row r="423" ht="28.399999999999999" customHeight="1">
      <c r="E423" s="111" t="s">
        <v>1106</v>
      </c>
      <c r="F423" s="39" t="s">
        <v>508</v>
      </c>
      <c r="G423" s="111" t="s">
        <v>498</v>
      </c>
      <c r="H423" s="313">
        <v>15844</v>
      </c>
      <c r="I423" s="313">
        <v>15862</v>
      </c>
      <c r="L423" s="39" t="s">
        <v>325</v>
      </c>
      <c r="M423" s="39">
        <v>1</v>
      </c>
      <c r="P423" s="39">
        <v>1</v>
      </c>
      <c r="W423" s="39">
        <v>1</v>
      </c>
      <c r="Z423" s="39">
        <v>1</v>
      </c>
      <c r="AA423" s="39">
        <v>0</v>
      </c>
      <c r="AD423" s="39">
        <v>1</v>
      </c>
      <c r="AF423" s="39">
        <v>1</v>
      </c>
      <c r="AG423" s="39">
        <v>1</v>
      </c>
      <c r="AH423" s="39">
        <v>1</v>
      </c>
      <c r="AI423" s="39">
        <v>1</v>
      </c>
      <c r="AL423" s="39">
        <v>1</v>
      </c>
      <c r="AM423" s="39">
        <v>1</v>
      </c>
      <c r="AN423" s="39">
        <v>1</v>
      </c>
      <c r="AP423" s="39">
        <v>1</v>
      </c>
    </row>
    <row r="424" ht="14.25" customHeight="1">
      <c r="E424" s="111" t="s">
        <v>1107</v>
      </c>
      <c r="F424" s="39" t="s">
        <v>546</v>
      </c>
      <c r="G424" s="111" t="s">
        <v>498</v>
      </c>
      <c r="H424" s="313">
        <v>25680</v>
      </c>
      <c r="I424" s="313">
        <v>25690</v>
      </c>
      <c r="L424" s="39" t="s">
        <v>325</v>
      </c>
      <c r="M424" s="39">
        <v>1</v>
      </c>
      <c r="P424" s="39">
        <v>1</v>
      </c>
      <c r="V424" s="39">
        <v>1</v>
      </c>
      <c r="X424" s="39">
        <v>1</v>
      </c>
      <c r="Z424" s="39">
        <v>1</v>
      </c>
      <c r="AA424" s="39">
        <v>1</v>
      </c>
      <c r="AG424" s="39">
        <v>1</v>
      </c>
      <c r="AH424" s="39">
        <v>1</v>
      </c>
      <c r="AI424" s="39">
        <v>1</v>
      </c>
      <c r="AM424" s="39">
        <v>1</v>
      </c>
      <c r="AP424" s="39">
        <v>1</v>
      </c>
    </row>
    <row r="425" ht="28.399999999999999" customHeight="1">
      <c r="E425" s="111" t="s">
        <v>1108</v>
      </c>
      <c r="F425" s="39" t="s">
        <v>546</v>
      </c>
      <c r="G425" s="111" t="s">
        <v>498</v>
      </c>
      <c r="H425" s="313">
        <v>25740</v>
      </c>
      <c r="I425" s="313">
        <v>25750</v>
      </c>
      <c r="L425" s="39" t="s">
        <v>325</v>
      </c>
      <c r="M425" s="39">
        <v>1</v>
      </c>
      <c r="P425" s="39">
        <v>1</v>
      </c>
      <c r="W425" s="39">
        <v>1</v>
      </c>
      <c r="Z425" s="39">
        <v>1</v>
      </c>
      <c r="AA425" s="39">
        <v>1</v>
      </c>
      <c r="AG425" s="39">
        <v>1</v>
      </c>
      <c r="AH425" s="39">
        <v>1</v>
      </c>
      <c r="AI425" s="39">
        <v>1</v>
      </c>
      <c r="AL425" s="39">
        <v>1</v>
      </c>
      <c r="AM425" s="39">
        <v>1</v>
      </c>
      <c r="AN425" s="39">
        <v>1</v>
      </c>
      <c r="AP425" s="39">
        <v>1</v>
      </c>
    </row>
    <row r="426" ht="14.25" customHeight="1">
      <c r="E426" s="111" t="s">
        <v>1109</v>
      </c>
      <c r="F426" s="39" t="s">
        <v>1110</v>
      </c>
      <c r="G426" s="111" t="s">
        <v>498</v>
      </c>
      <c r="H426" s="313">
        <v>26010</v>
      </c>
      <c r="I426" s="313">
        <v>26016</v>
      </c>
      <c r="L426" s="39" t="s">
        <v>325</v>
      </c>
      <c r="M426" s="39">
        <v>1</v>
      </c>
      <c r="P426" s="39">
        <v>1</v>
      </c>
      <c r="V426" s="39">
        <v>1</v>
      </c>
      <c r="X426" s="39">
        <v>1</v>
      </c>
      <c r="Z426" s="39">
        <v>1</v>
      </c>
      <c r="AA426" s="39">
        <v>1</v>
      </c>
      <c r="AJ426" s="39">
        <v>1</v>
      </c>
      <c r="AL426" s="39">
        <v>1</v>
      </c>
      <c r="AN426" s="39">
        <v>1</v>
      </c>
      <c r="AO426" s="39">
        <v>1</v>
      </c>
    </row>
    <row r="427" ht="14.25" customHeight="1">
      <c r="E427" s="111" t="s">
        <v>1111</v>
      </c>
      <c r="F427" s="39" t="s">
        <v>504</v>
      </c>
      <c r="G427" s="111" t="s">
        <v>498</v>
      </c>
      <c r="H427" s="313">
        <v>26202</v>
      </c>
      <c r="I427" s="313">
        <v>26207</v>
      </c>
      <c r="L427" s="39" t="s">
        <v>325</v>
      </c>
      <c r="M427" s="39">
        <v>1</v>
      </c>
      <c r="P427" s="39">
        <v>1</v>
      </c>
      <c r="V427" s="39">
        <v>1</v>
      </c>
      <c r="Z427" s="39">
        <v>1</v>
      </c>
      <c r="AA427" s="39">
        <v>1</v>
      </c>
      <c r="AE427" s="39">
        <v>1</v>
      </c>
      <c r="AJ427" s="39">
        <v>1</v>
      </c>
      <c r="AM427" s="39">
        <v>1</v>
      </c>
      <c r="AN427" s="39">
        <v>1</v>
      </c>
      <c r="AO427" s="39">
        <v>1</v>
      </c>
      <c r="AQ427" s="39">
        <v>1</v>
      </c>
      <c r="AU427" s="39">
        <v>1</v>
      </c>
      <c r="AX427" s="39">
        <v>1</v>
      </c>
      <c r="AZ427" s="39">
        <v>1</v>
      </c>
    </row>
    <row r="428" s="144" customFormat="1" ht="28.399999999999999" customHeight="1">
      <c r="E428" s="145" t="s">
        <v>1112</v>
      </c>
      <c r="F428" s="144" t="s">
        <v>535</v>
      </c>
      <c r="G428" s="145" t="s">
        <v>498</v>
      </c>
      <c r="H428" s="320">
        <v>27090</v>
      </c>
      <c r="I428" s="320">
        <v>27099</v>
      </c>
      <c r="J428" s="145"/>
      <c r="L428" s="144" t="s">
        <v>325</v>
      </c>
      <c r="M428" s="144">
        <v>1</v>
      </c>
      <c r="P428" s="144">
        <v>1</v>
      </c>
      <c r="W428" s="144">
        <v>1</v>
      </c>
      <c r="Z428" s="144">
        <v>1</v>
      </c>
      <c r="AA428" s="144">
        <v>1</v>
      </c>
      <c r="AE428" s="144">
        <v>1</v>
      </c>
      <c r="AG428" s="144">
        <v>1</v>
      </c>
      <c r="AM428" s="144">
        <v>1</v>
      </c>
      <c r="AN428" s="144">
        <v>1</v>
      </c>
      <c r="AO428" s="144">
        <v>1</v>
      </c>
    </row>
    <row r="429" ht="14.25" customHeight="1">
      <c r="B429" s="39" t="s">
        <v>513</v>
      </c>
      <c r="C429" s="39" t="s">
        <v>1113</v>
      </c>
      <c r="D429" s="39" t="s">
        <v>73</v>
      </c>
      <c r="E429" s="111" t="s">
        <v>1114</v>
      </c>
      <c r="F429" s="39" t="s">
        <v>516</v>
      </c>
      <c r="G429" s="111" t="s">
        <v>498</v>
      </c>
      <c r="H429" s="313">
        <v>16144</v>
      </c>
      <c r="I429" s="313">
        <v>16147</v>
      </c>
      <c r="L429" s="39" t="s">
        <v>325</v>
      </c>
      <c r="M429" s="39">
        <v>1</v>
      </c>
      <c r="P429" s="39">
        <v>1</v>
      </c>
      <c r="V429" s="39">
        <v>1</v>
      </c>
      <c r="Z429" s="39">
        <v>1</v>
      </c>
      <c r="AA429" s="39">
        <v>1</v>
      </c>
      <c r="AG429" s="39">
        <v>1</v>
      </c>
      <c r="AH429" s="39">
        <v>1</v>
      </c>
      <c r="AI429" s="39">
        <v>1</v>
      </c>
      <c r="AL429" s="39">
        <v>1</v>
      </c>
      <c r="AN429" s="39">
        <v>1</v>
      </c>
      <c r="AP429" s="39">
        <v>1</v>
      </c>
    </row>
    <row r="430" ht="28.399999999999999" customHeight="1">
      <c r="A430" s="387" t="s">
        <v>720</v>
      </c>
      <c r="E430" s="128" t="s">
        <v>1115</v>
      </c>
      <c r="F430" s="39" t="s">
        <v>625</v>
      </c>
      <c r="G430" s="128" t="s">
        <v>498</v>
      </c>
      <c r="H430" s="345">
        <v>16178</v>
      </c>
      <c r="I430" s="345">
        <v>16185</v>
      </c>
      <c r="J430" s="128" t="s">
        <v>916</v>
      </c>
      <c r="L430" s="127" t="s">
        <v>325</v>
      </c>
      <c r="M430" s="39">
        <v>1</v>
      </c>
      <c r="P430" s="39">
        <v>1</v>
      </c>
      <c r="V430" s="39">
        <v>1</v>
      </c>
      <c r="Y430" s="39">
        <v>1</v>
      </c>
      <c r="AA430" s="39">
        <v>1</v>
      </c>
      <c r="AG430" s="39">
        <v>1</v>
      </c>
      <c r="AH430" s="39">
        <v>1</v>
      </c>
      <c r="AI430" s="39">
        <v>1</v>
      </c>
      <c r="AL430" s="39">
        <v>1</v>
      </c>
      <c r="AM430" s="39">
        <v>1</v>
      </c>
      <c r="AN430" s="39">
        <v>1</v>
      </c>
      <c r="AP430" s="39">
        <v>1</v>
      </c>
    </row>
    <row r="431" ht="14.25" customHeight="1">
      <c r="A431" s="380" t="s">
        <v>1070</v>
      </c>
      <c r="E431" s="378" t="s">
        <v>1116</v>
      </c>
      <c r="F431" s="39" t="s">
        <v>542</v>
      </c>
      <c r="G431" s="378" t="s">
        <v>498</v>
      </c>
      <c r="H431" s="345">
        <v>16749</v>
      </c>
      <c r="I431" s="345">
        <v>16760</v>
      </c>
      <c r="J431" s="128" t="s">
        <v>1117</v>
      </c>
      <c r="L431" s="127" t="s">
        <v>325</v>
      </c>
      <c r="M431" s="39">
        <v>1</v>
      </c>
      <c r="P431" s="39">
        <v>1</v>
      </c>
      <c r="V431" s="39">
        <v>1</v>
      </c>
      <c r="Z431" s="39">
        <v>1</v>
      </c>
      <c r="AA431" s="39">
        <v>1</v>
      </c>
      <c r="AG431" s="39">
        <v>1</v>
      </c>
      <c r="AH431" s="39">
        <v>1</v>
      </c>
      <c r="AI431" s="39">
        <v>1</v>
      </c>
      <c r="AL431" s="39">
        <v>1</v>
      </c>
      <c r="AM431" s="39">
        <v>1</v>
      </c>
      <c r="AN431" s="39">
        <v>1</v>
      </c>
      <c r="AP431" s="39">
        <v>1</v>
      </c>
    </row>
    <row r="432" ht="14.25" customHeight="1">
      <c r="E432" s="358" t="s">
        <v>1118</v>
      </c>
      <c r="F432" s="39" t="s">
        <v>510</v>
      </c>
      <c r="G432" s="358" t="s">
        <v>498</v>
      </c>
      <c r="H432" s="313">
        <v>21906</v>
      </c>
      <c r="I432" s="313">
        <v>21910</v>
      </c>
      <c r="L432" s="39" t="s">
        <v>325</v>
      </c>
      <c r="M432" s="39">
        <v>1</v>
      </c>
      <c r="P432" s="39">
        <v>1</v>
      </c>
      <c r="V432" s="39">
        <v>1</v>
      </c>
      <c r="Z432" s="39">
        <v>1</v>
      </c>
      <c r="AA432" s="39">
        <v>1</v>
      </c>
      <c r="AG432" s="39">
        <v>1</v>
      </c>
      <c r="AH432" s="39">
        <v>1</v>
      </c>
      <c r="AI432" s="39">
        <v>1</v>
      </c>
      <c r="AL432" s="39">
        <v>1</v>
      </c>
      <c r="AN432" s="39">
        <v>1</v>
      </c>
      <c r="AP432" s="39">
        <v>1</v>
      </c>
    </row>
    <row r="433" ht="14.25" customHeight="1">
      <c r="E433" s="111" t="s">
        <v>1119</v>
      </c>
      <c r="F433" s="39" t="s">
        <v>546</v>
      </c>
      <c r="G433" s="111" t="s">
        <v>498</v>
      </c>
      <c r="H433" s="313">
        <v>22182</v>
      </c>
      <c r="I433" s="313">
        <v>22192</v>
      </c>
      <c r="L433" s="39" t="s">
        <v>325</v>
      </c>
      <c r="M433" s="39">
        <v>1</v>
      </c>
      <c r="P433" s="39">
        <v>1</v>
      </c>
      <c r="W433" s="39">
        <v>1</v>
      </c>
      <c r="Z433" s="39">
        <v>1</v>
      </c>
      <c r="AA433" s="39">
        <v>1</v>
      </c>
      <c r="AG433" s="39">
        <v>1</v>
      </c>
      <c r="AH433" s="39">
        <v>1</v>
      </c>
      <c r="AI433" s="39">
        <v>1</v>
      </c>
      <c r="AJ433" s="39">
        <v>1</v>
      </c>
      <c r="AL433" s="39">
        <v>1</v>
      </c>
      <c r="AN433" s="39">
        <v>1</v>
      </c>
      <c r="AP433" s="39">
        <v>1</v>
      </c>
    </row>
    <row r="434" ht="14.25" customHeight="1">
      <c r="A434" s="144"/>
      <c r="E434" s="111" t="s">
        <v>1120</v>
      </c>
      <c r="F434" s="39" t="s">
        <v>542</v>
      </c>
      <c r="G434" s="111" t="s">
        <v>498</v>
      </c>
      <c r="H434" s="313">
        <v>22415</v>
      </c>
      <c r="I434" s="313">
        <v>22426</v>
      </c>
      <c r="L434" s="39" t="s">
        <v>325</v>
      </c>
      <c r="M434" s="39">
        <v>1</v>
      </c>
      <c r="P434" s="39">
        <v>1</v>
      </c>
      <c r="V434" s="39">
        <v>1</v>
      </c>
      <c r="Z434" s="39">
        <v>1</v>
      </c>
      <c r="AA434" s="39">
        <v>1</v>
      </c>
      <c r="AG434" s="39">
        <v>1</v>
      </c>
      <c r="AH434" s="39">
        <v>1</v>
      </c>
      <c r="AI434" s="39">
        <v>1</v>
      </c>
      <c r="AL434" s="39">
        <v>1</v>
      </c>
      <c r="AO434" s="39">
        <v>1</v>
      </c>
    </row>
    <row r="435" s="144" customFormat="1" ht="14.25" customHeight="1">
      <c r="A435" s="388" t="s">
        <v>720</v>
      </c>
      <c r="E435" s="192" t="s">
        <v>1121</v>
      </c>
      <c r="F435" s="144" t="s">
        <v>644</v>
      </c>
      <c r="G435" s="192" t="s">
        <v>498</v>
      </c>
      <c r="H435" s="344">
        <v>22794</v>
      </c>
      <c r="I435" s="344">
        <v>22821</v>
      </c>
      <c r="J435" s="192" t="s">
        <v>916</v>
      </c>
      <c r="L435" s="254" t="s">
        <v>325</v>
      </c>
      <c r="M435" s="144">
        <v>1</v>
      </c>
      <c r="P435" s="144">
        <v>1</v>
      </c>
      <c r="V435" s="144">
        <v>1</v>
      </c>
      <c r="Z435" s="144">
        <v>1</v>
      </c>
      <c r="AA435" s="144">
        <v>1</v>
      </c>
      <c r="AG435" s="144">
        <v>1</v>
      </c>
      <c r="AH435" s="144">
        <v>1</v>
      </c>
      <c r="AI435" s="144">
        <v>1</v>
      </c>
      <c r="AJ435" s="144">
        <v>1</v>
      </c>
      <c r="AL435" s="144">
        <v>1</v>
      </c>
      <c r="AM435" s="144">
        <v>1</v>
      </c>
      <c r="AN435" s="144">
        <v>1</v>
      </c>
      <c r="AP435" s="144">
        <v>1</v>
      </c>
    </row>
    <row r="436" ht="28.399999999999999" customHeight="1">
      <c r="A436" s="387" t="s">
        <v>720</v>
      </c>
      <c r="B436" s="39" t="s">
        <v>513</v>
      </c>
      <c r="C436" s="39" t="s">
        <v>1122</v>
      </c>
      <c r="D436" s="39" t="s">
        <v>248</v>
      </c>
      <c r="E436" s="128" t="s">
        <v>1123</v>
      </c>
      <c r="F436" s="39" t="s">
        <v>529</v>
      </c>
      <c r="G436" s="128" t="s">
        <v>498</v>
      </c>
      <c r="H436" s="345">
        <v>8620</v>
      </c>
      <c r="I436" s="345">
        <v>8640</v>
      </c>
      <c r="J436" s="128" t="s">
        <v>1003</v>
      </c>
      <c r="L436" s="127" t="s">
        <v>447</v>
      </c>
      <c r="N436" s="39">
        <v>1</v>
      </c>
      <c r="P436" s="39">
        <v>1</v>
      </c>
      <c r="V436" s="39">
        <v>1</v>
      </c>
      <c r="Z436" s="39">
        <v>1</v>
      </c>
      <c r="AA436" s="39">
        <v>1</v>
      </c>
      <c r="AE436" s="39">
        <v>1</v>
      </c>
      <c r="AF436" s="39">
        <v>1</v>
      </c>
      <c r="AJ436" s="39">
        <v>1</v>
      </c>
      <c r="AL436" s="39">
        <v>1</v>
      </c>
      <c r="AM436" s="39">
        <v>1</v>
      </c>
      <c r="AN436" s="39">
        <v>1</v>
      </c>
      <c r="AP436" s="39">
        <v>1</v>
      </c>
    </row>
    <row r="437" ht="28.399999999999999" customHeight="1">
      <c r="A437" s="380" t="s">
        <v>1070</v>
      </c>
      <c r="E437" s="128" t="s">
        <v>1124</v>
      </c>
      <c r="F437" s="39" t="s">
        <v>898</v>
      </c>
      <c r="G437" s="128" t="s">
        <v>498</v>
      </c>
      <c r="H437" s="345">
        <v>8686</v>
      </c>
      <c r="I437" s="345">
        <v>8705</v>
      </c>
      <c r="J437" s="128" t="s">
        <v>1125</v>
      </c>
      <c r="L437" s="127" t="s">
        <v>325</v>
      </c>
      <c r="M437" s="39">
        <v>1</v>
      </c>
      <c r="P437" s="39">
        <v>1</v>
      </c>
      <c r="W437" s="39">
        <v>1</v>
      </c>
      <c r="Y437" s="39">
        <v>1</v>
      </c>
      <c r="AA437" s="39">
        <v>1</v>
      </c>
      <c r="AE437" s="39">
        <v>1</v>
      </c>
      <c r="AF437" s="39">
        <v>1</v>
      </c>
      <c r="AJ437" s="39">
        <v>1</v>
      </c>
      <c r="AL437" s="39">
        <v>1</v>
      </c>
      <c r="AM437" s="39">
        <v>1</v>
      </c>
      <c r="AN437" s="39">
        <v>1</v>
      </c>
      <c r="AP437" s="39">
        <v>1</v>
      </c>
    </row>
    <row r="438" ht="28.399999999999999" customHeight="1">
      <c r="E438" s="170" t="s">
        <v>1126</v>
      </c>
      <c r="F438" s="39" t="s">
        <v>644</v>
      </c>
      <c r="G438" s="170" t="s">
        <v>498</v>
      </c>
      <c r="H438" s="326">
        <v>8827</v>
      </c>
      <c r="I438" s="326">
        <v>8854</v>
      </c>
      <c r="L438" s="39" t="s">
        <v>447</v>
      </c>
      <c r="M438" s="39">
        <v>1</v>
      </c>
      <c r="P438" s="39">
        <v>1</v>
      </c>
      <c r="V438" s="39">
        <v>1</v>
      </c>
      <c r="X438" s="39">
        <v>1</v>
      </c>
      <c r="Z438" s="39">
        <v>1</v>
      </c>
      <c r="AA438" s="39">
        <v>1</v>
      </c>
      <c r="AE438" s="39">
        <v>1</v>
      </c>
      <c r="AF438" s="39">
        <v>1</v>
      </c>
      <c r="AG438" s="39">
        <v>1</v>
      </c>
      <c r="AH438" s="39">
        <v>1</v>
      </c>
      <c r="AI438" s="39">
        <v>1</v>
      </c>
      <c r="AJ438" s="39">
        <v>1</v>
      </c>
      <c r="AL438" s="39">
        <v>1</v>
      </c>
      <c r="AN438" s="39">
        <v>1</v>
      </c>
      <c r="AP438" s="39">
        <v>1</v>
      </c>
      <c r="AQ438" s="39">
        <v>1</v>
      </c>
      <c r="AU438" s="39">
        <v>1</v>
      </c>
      <c r="AW438" s="39">
        <v>1</v>
      </c>
      <c r="BA438" s="39">
        <v>1</v>
      </c>
    </row>
    <row r="439" s="369" customFormat="1" ht="68.650000000000006" customHeight="1">
      <c r="A439" s="369" t="s">
        <v>720</v>
      </c>
      <c r="B439" s="377"/>
      <c r="C439" s="369"/>
      <c r="D439" s="369"/>
      <c r="E439" s="371" t="s">
        <v>1127</v>
      </c>
      <c r="F439" s="370" t="s">
        <v>1128</v>
      </c>
      <c r="G439" s="371" t="s">
        <v>498</v>
      </c>
      <c r="H439" s="372">
        <v>9000</v>
      </c>
      <c r="I439" s="372">
        <v>9135</v>
      </c>
      <c r="J439" s="371" t="s">
        <v>1003</v>
      </c>
      <c r="K439" s="369"/>
      <c r="L439" s="373" t="s">
        <v>447</v>
      </c>
      <c r="M439" s="369"/>
      <c r="N439" s="369"/>
      <c r="O439" s="369">
        <v>1</v>
      </c>
      <c r="P439" s="369">
        <v>1</v>
      </c>
      <c r="Q439" s="369"/>
      <c r="R439" s="369"/>
      <c r="S439" s="369"/>
      <c r="T439" s="369"/>
      <c r="U439" s="369">
        <v>1</v>
      </c>
      <c r="V439" s="369">
        <v>1</v>
      </c>
      <c r="W439" s="369"/>
      <c r="X439" s="369">
        <v>1</v>
      </c>
      <c r="Y439" s="369"/>
      <c r="Z439" s="369">
        <v>1</v>
      </c>
      <c r="AA439" s="369"/>
      <c r="AB439" s="369"/>
      <c r="AC439" s="369"/>
      <c r="AD439" s="369">
        <v>1</v>
      </c>
      <c r="AE439" s="369">
        <v>1</v>
      </c>
      <c r="AF439" s="369">
        <v>1</v>
      </c>
      <c r="AG439" s="369">
        <v>1</v>
      </c>
      <c r="AH439" s="369">
        <v>1</v>
      </c>
      <c r="AI439" s="369">
        <v>1</v>
      </c>
      <c r="AJ439" s="369">
        <v>1</v>
      </c>
      <c r="AK439" s="369"/>
      <c r="AL439" s="369">
        <v>1</v>
      </c>
      <c r="AM439" s="369">
        <v>1</v>
      </c>
      <c r="AN439" s="369">
        <v>1</v>
      </c>
      <c r="AO439" s="369"/>
      <c r="AP439" s="369">
        <v>1</v>
      </c>
      <c r="AQ439" s="369">
        <v>1</v>
      </c>
      <c r="AR439" s="369"/>
      <c r="AS439" s="369"/>
      <c r="AT439" s="369"/>
      <c r="AU439" s="369"/>
      <c r="AV439" s="369"/>
      <c r="AW439" s="369">
        <v>1</v>
      </c>
      <c r="AX439" s="369"/>
      <c r="AY439" s="369"/>
      <c r="AZ439" s="369"/>
      <c r="BA439" s="369">
        <v>1</v>
      </c>
      <c r="BB439" s="369"/>
      <c r="BC439" s="369"/>
      <c r="BD439" s="369"/>
      <c r="BE439" s="369"/>
      <c r="BF439" s="369"/>
      <c r="BG439" s="369"/>
      <c r="BH439" s="369"/>
      <c r="BI439" s="369"/>
      <c r="BK439" s="369"/>
      <c r="BL439" s="369"/>
    </row>
    <row r="440" ht="41.75" customHeight="1">
      <c r="A440" s="387" t="s">
        <v>720</v>
      </c>
      <c r="B440" s="376"/>
      <c r="E440" s="128" t="s">
        <v>1129</v>
      </c>
      <c r="F440" s="39" t="s">
        <v>668</v>
      </c>
      <c r="G440" s="128" t="s">
        <v>498</v>
      </c>
      <c r="H440" s="345">
        <v>9216</v>
      </c>
      <c r="I440" s="345">
        <v>9256</v>
      </c>
      <c r="J440" s="128" t="s">
        <v>1130</v>
      </c>
      <c r="L440" s="127" t="s">
        <v>325</v>
      </c>
      <c r="M440" s="39">
        <v>1</v>
      </c>
      <c r="P440" s="39">
        <v>1</v>
      </c>
      <c r="V440" s="39">
        <v>1</v>
      </c>
      <c r="X440" s="39">
        <v>1</v>
      </c>
      <c r="Y440" s="39">
        <v>1</v>
      </c>
      <c r="AA440" s="39">
        <v>1</v>
      </c>
      <c r="AE440" s="39">
        <v>1</v>
      </c>
      <c r="AF440" s="39">
        <v>1</v>
      </c>
      <c r="AG440" s="39">
        <v>1</v>
      </c>
      <c r="AH440" s="39">
        <v>1</v>
      </c>
      <c r="AI440" s="39">
        <v>1</v>
      </c>
      <c r="AJ440" s="39">
        <v>1</v>
      </c>
      <c r="AL440" s="39">
        <v>1</v>
      </c>
      <c r="AM440" s="39">
        <v>1</v>
      </c>
      <c r="AN440" s="39">
        <v>1</v>
      </c>
      <c r="AP440" s="39">
        <v>1</v>
      </c>
      <c r="AQ440" s="39">
        <v>1</v>
      </c>
      <c r="AT440" s="39">
        <v>1</v>
      </c>
      <c r="AX440" s="39">
        <v>1</v>
      </c>
    </row>
    <row r="441" ht="28.399999999999999" customHeight="1">
      <c r="E441" s="111" t="s">
        <v>1131</v>
      </c>
      <c r="F441" s="39" t="s">
        <v>1132</v>
      </c>
      <c r="G441" s="111" t="s">
        <v>498</v>
      </c>
      <c r="H441" s="313">
        <v>9353</v>
      </c>
      <c r="I441" s="313">
        <v>9420</v>
      </c>
      <c r="J441" s="111" t="s">
        <v>814</v>
      </c>
      <c r="L441" s="39" t="s">
        <v>325</v>
      </c>
      <c r="M441" s="39">
        <v>1</v>
      </c>
      <c r="O441" s="39">
        <v>1</v>
      </c>
      <c r="P441" s="39">
        <v>1</v>
      </c>
      <c r="V441" s="39">
        <v>1</v>
      </c>
      <c r="X441" s="39">
        <v>1</v>
      </c>
      <c r="Z441" s="39">
        <v>1</v>
      </c>
      <c r="AA441" s="39">
        <v>1</v>
      </c>
      <c r="AE441" s="39">
        <v>1</v>
      </c>
      <c r="AF441" s="39">
        <v>1</v>
      </c>
      <c r="AG441" s="39">
        <v>1</v>
      </c>
      <c r="AH441" s="39">
        <v>1</v>
      </c>
      <c r="AL441" s="39">
        <v>1</v>
      </c>
      <c r="AM441" s="39">
        <v>1</v>
      </c>
      <c r="AN441" s="39">
        <v>1</v>
      </c>
      <c r="AP441" s="39">
        <v>1</v>
      </c>
    </row>
    <row r="442" s="369" customFormat="1" ht="68.650000000000006" customHeight="1">
      <c r="A442" s="369" t="s">
        <v>720</v>
      </c>
      <c r="B442" s="389" t="s">
        <v>1133</v>
      </c>
      <c r="C442" s="369"/>
      <c r="D442" s="369"/>
      <c r="E442" s="390" t="s">
        <v>1134</v>
      </c>
      <c r="F442" s="370" t="s">
        <v>829</v>
      </c>
      <c r="G442" s="390" t="s">
        <v>498</v>
      </c>
      <c r="H442" s="372">
        <v>9456</v>
      </c>
      <c r="I442" s="372">
        <v>9478</v>
      </c>
      <c r="J442" s="371" t="s">
        <v>1135</v>
      </c>
      <c r="K442" s="369"/>
      <c r="L442" s="373" t="s">
        <v>447</v>
      </c>
      <c r="M442" s="369">
        <v>1</v>
      </c>
      <c r="N442" s="369"/>
      <c r="O442" s="369"/>
      <c r="P442" s="369">
        <v>1</v>
      </c>
      <c r="Q442" s="369"/>
      <c r="R442" s="369"/>
      <c r="S442" s="369"/>
      <c r="T442" s="369"/>
      <c r="U442" s="369">
        <v>1</v>
      </c>
      <c r="V442" s="369">
        <v>1</v>
      </c>
      <c r="W442" s="369"/>
      <c r="X442" s="369"/>
      <c r="Y442" s="369">
        <v>1</v>
      </c>
      <c r="Z442" s="369"/>
      <c r="AA442" s="369"/>
      <c r="AB442" s="369"/>
      <c r="AC442" s="369"/>
      <c r="AD442" s="369">
        <v>1</v>
      </c>
      <c r="AE442" s="369">
        <v>1</v>
      </c>
      <c r="AF442" s="369">
        <v>1</v>
      </c>
      <c r="AG442" s="369">
        <v>1</v>
      </c>
      <c r="AH442" s="369">
        <v>1</v>
      </c>
      <c r="AI442" s="369">
        <v>1</v>
      </c>
      <c r="AJ442" s="369">
        <v>1</v>
      </c>
      <c r="AK442" s="369"/>
      <c r="AL442" s="369">
        <v>1</v>
      </c>
      <c r="AM442" s="369">
        <v>1</v>
      </c>
      <c r="AN442" s="369">
        <v>1</v>
      </c>
      <c r="AO442" s="369"/>
      <c r="AP442" s="369">
        <v>1</v>
      </c>
      <c r="AQ442" s="369">
        <v>1</v>
      </c>
      <c r="AR442" s="369"/>
      <c r="AS442" s="369"/>
      <c r="AT442" s="369"/>
      <c r="AU442" s="369">
        <v>1</v>
      </c>
      <c r="AV442" s="369"/>
      <c r="AW442" s="369">
        <v>1</v>
      </c>
      <c r="AX442" s="369"/>
      <c r="AY442" s="369"/>
      <c r="AZ442" s="369">
        <v>1</v>
      </c>
      <c r="BA442" s="369"/>
      <c r="BB442" s="369"/>
      <c r="BC442" s="369"/>
      <c r="BD442" s="369">
        <v>1</v>
      </c>
      <c r="BE442" s="369"/>
      <c r="BF442" s="369"/>
      <c r="BG442" s="369"/>
      <c r="BH442" s="369"/>
      <c r="BI442" s="369"/>
      <c r="BK442" s="369"/>
      <c r="BL442" s="369"/>
    </row>
    <row r="443" s="369" customFormat="1" ht="68.650000000000006" customHeight="1">
      <c r="A443" s="374"/>
      <c r="B443" s="374"/>
      <c r="C443" s="369"/>
      <c r="D443" s="369"/>
      <c r="E443" s="390" t="s">
        <v>1136</v>
      </c>
      <c r="F443" s="370" t="s">
        <v>502</v>
      </c>
      <c r="G443" s="390" t="s">
        <v>498</v>
      </c>
      <c r="H443" s="372">
        <v>9500</v>
      </c>
      <c r="I443" s="372">
        <v>9517</v>
      </c>
      <c r="J443" s="375"/>
      <c r="K443" s="369"/>
      <c r="L443" s="373"/>
      <c r="M443" s="369"/>
      <c r="N443" s="369"/>
      <c r="O443" s="369"/>
      <c r="P443" s="369"/>
      <c r="Q443" s="369"/>
      <c r="R443" s="369"/>
      <c r="S443" s="369"/>
      <c r="T443" s="369"/>
      <c r="U443" s="374"/>
      <c r="V443" s="369"/>
      <c r="W443" s="369"/>
      <c r="X443" s="369"/>
      <c r="Y443" s="374"/>
      <c r="Z443" s="369"/>
      <c r="AA443" s="369"/>
      <c r="AB443" s="369"/>
      <c r="AC443" s="369"/>
      <c r="AD443" s="374"/>
      <c r="AE443" s="369"/>
      <c r="AF443" s="369"/>
      <c r="AG443" s="369"/>
      <c r="AH443" s="374"/>
      <c r="AI443" s="374"/>
      <c r="AJ443" s="369"/>
      <c r="AK443" s="369"/>
      <c r="AL443" s="369"/>
      <c r="AM443" s="369"/>
      <c r="AN443" s="369"/>
      <c r="AO443" s="369"/>
      <c r="AP443" s="369"/>
      <c r="AQ443" s="369"/>
      <c r="AR443" s="369"/>
      <c r="AS443" s="369"/>
      <c r="AT443" s="369"/>
      <c r="AU443" s="369"/>
      <c r="AV443" s="369"/>
      <c r="AW443" s="374"/>
      <c r="AX443" s="369"/>
      <c r="AY443" s="369"/>
      <c r="AZ443" s="374"/>
      <c r="BA443" s="369"/>
      <c r="BB443" s="369"/>
      <c r="BC443" s="369"/>
      <c r="BD443" s="374"/>
      <c r="BE443" s="369"/>
      <c r="BF443" s="369"/>
      <c r="BG443" s="369"/>
      <c r="BH443" s="369"/>
      <c r="BI443" s="369"/>
      <c r="BK443" s="369"/>
      <c r="BL443" s="369"/>
    </row>
    <row r="444" ht="41.75" customHeight="1">
      <c r="E444" s="358" t="s">
        <v>1137</v>
      </c>
      <c r="F444" s="39" t="s">
        <v>562</v>
      </c>
      <c r="G444" s="358" t="s">
        <v>498</v>
      </c>
      <c r="H444" s="313">
        <v>9634</v>
      </c>
      <c r="I444" s="313">
        <v>9669</v>
      </c>
      <c r="L444" s="39" t="s">
        <v>325</v>
      </c>
      <c r="M444" s="39">
        <v>1</v>
      </c>
      <c r="P444" s="39">
        <v>1</v>
      </c>
      <c r="V444" s="39">
        <v>1</v>
      </c>
      <c r="X444" s="39">
        <v>1</v>
      </c>
      <c r="Z444" s="39">
        <v>1</v>
      </c>
      <c r="AA444" s="39">
        <v>1</v>
      </c>
      <c r="AE444" s="39">
        <v>1</v>
      </c>
      <c r="AF444" s="39">
        <v>1</v>
      </c>
      <c r="AG444" s="39">
        <v>1</v>
      </c>
      <c r="AJ444" s="39">
        <v>1</v>
      </c>
      <c r="AL444" s="39">
        <v>1</v>
      </c>
      <c r="AM444" s="39">
        <v>1</v>
      </c>
      <c r="AN444" s="39">
        <v>1</v>
      </c>
      <c r="AP444" s="39">
        <v>1</v>
      </c>
      <c r="AQ444" s="39">
        <v>1</v>
      </c>
      <c r="AU444" s="39">
        <v>1</v>
      </c>
      <c r="AX444" s="39">
        <v>1</v>
      </c>
    </row>
    <row r="445" ht="68.650000000000006" customHeight="1">
      <c r="A445" s="387" t="s">
        <v>720</v>
      </c>
      <c r="E445" s="391" t="s">
        <v>1138</v>
      </c>
      <c r="F445" s="39" t="s">
        <v>726</v>
      </c>
      <c r="G445" s="391" t="s">
        <v>498</v>
      </c>
      <c r="H445" s="346">
        <v>9699</v>
      </c>
      <c r="I445" s="346">
        <v>9774</v>
      </c>
      <c r="J445" s="128" t="s">
        <v>1139</v>
      </c>
      <c r="L445" s="127" t="s">
        <v>66</v>
      </c>
      <c r="M445" s="39">
        <v>1</v>
      </c>
      <c r="P445" s="39">
        <v>1</v>
      </c>
      <c r="V445" s="39">
        <v>1</v>
      </c>
      <c r="Y445" s="39">
        <v>1</v>
      </c>
      <c r="AA445" s="39">
        <v>1</v>
      </c>
      <c r="AE445" s="39">
        <v>1</v>
      </c>
      <c r="AF445" s="39">
        <v>1</v>
      </c>
      <c r="AG445" s="39">
        <v>1</v>
      </c>
      <c r="AH445" s="39">
        <v>1</v>
      </c>
      <c r="AI445" s="39">
        <v>1</v>
      </c>
      <c r="AJ445" s="39">
        <v>1</v>
      </c>
      <c r="AL445" s="39">
        <v>1</v>
      </c>
      <c r="AM445" s="39">
        <v>1</v>
      </c>
      <c r="AN445" s="39">
        <v>1</v>
      </c>
      <c r="AP445" s="39">
        <v>1</v>
      </c>
      <c r="AQ445" s="39">
        <v>1</v>
      </c>
      <c r="AT445" s="39">
        <v>1</v>
      </c>
      <c r="AV445" s="39">
        <v>1</v>
      </c>
      <c r="BI445" s="39">
        <v>1</v>
      </c>
    </row>
    <row r="446" ht="55.25" customHeight="1">
      <c r="E446" s="358" t="s">
        <v>1140</v>
      </c>
      <c r="F446" s="39" t="s">
        <v>485</v>
      </c>
      <c r="G446" s="358" t="s">
        <v>498</v>
      </c>
      <c r="H446" s="313">
        <v>9872</v>
      </c>
      <c r="I446" s="313">
        <v>9932</v>
      </c>
      <c r="J446" s="111" t="s">
        <v>1141</v>
      </c>
      <c r="L446" s="39" t="s">
        <v>325</v>
      </c>
      <c r="M446" s="39">
        <v>1</v>
      </c>
      <c r="O446" s="39">
        <v>1</v>
      </c>
      <c r="P446" s="39">
        <v>1</v>
      </c>
      <c r="V446" s="39">
        <v>1</v>
      </c>
      <c r="X446" s="39">
        <v>1</v>
      </c>
      <c r="Y446" s="39">
        <v>1</v>
      </c>
      <c r="AA446" s="39">
        <v>1</v>
      </c>
      <c r="AE446" s="39">
        <v>1</v>
      </c>
      <c r="AF446" s="39">
        <v>1</v>
      </c>
      <c r="AG446" s="39">
        <v>1</v>
      </c>
      <c r="AJ446" s="39">
        <v>1</v>
      </c>
      <c r="AL446" s="39">
        <v>1</v>
      </c>
      <c r="AM446" s="39">
        <v>1</v>
      </c>
      <c r="AN446" s="39">
        <v>1</v>
      </c>
      <c r="AP446" s="39">
        <v>1</v>
      </c>
    </row>
    <row r="447" ht="55.25" customHeight="1">
      <c r="E447" s="363" t="s">
        <v>1142</v>
      </c>
      <c r="F447" s="39" t="s">
        <v>754</v>
      </c>
      <c r="G447" s="363" t="s">
        <v>498</v>
      </c>
      <c r="H447" s="291">
        <v>10013</v>
      </c>
      <c r="I447" s="291">
        <v>10057</v>
      </c>
      <c r="J447" s="111" t="s">
        <v>1143</v>
      </c>
      <c r="L447" s="39" t="s">
        <v>447</v>
      </c>
      <c r="O447" s="39">
        <v>1</v>
      </c>
      <c r="P447" s="39">
        <v>1</v>
      </c>
      <c r="Q447" s="39">
        <v>1</v>
      </c>
      <c r="T447" s="39">
        <v>1</v>
      </c>
      <c r="V447" s="39">
        <v>1</v>
      </c>
      <c r="X447" s="39">
        <v>1</v>
      </c>
      <c r="Y447" s="39">
        <v>1</v>
      </c>
      <c r="AB447" s="39">
        <v>1</v>
      </c>
      <c r="AD447" s="39">
        <v>1</v>
      </c>
      <c r="AE447" s="39">
        <v>1</v>
      </c>
      <c r="AF447" s="39">
        <v>1</v>
      </c>
      <c r="AG447" s="39">
        <v>1</v>
      </c>
      <c r="AH447" s="39">
        <v>1</v>
      </c>
      <c r="AI447" s="39">
        <v>1</v>
      </c>
      <c r="AJ447" s="39">
        <v>1</v>
      </c>
      <c r="AL447" s="39">
        <v>1</v>
      </c>
      <c r="AM447" s="39">
        <v>1</v>
      </c>
      <c r="AN447" s="39">
        <v>1</v>
      </c>
      <c r="AP447" s="39">
        <v>1</v>
      </c>
      <c r="AQ447" s="39">
        <v>1</v>
      </c>
      <c r="AW447" s="39">
        <v>1</v>
      </c>
      <c r="BA447" s="39">
        <v>1</v>
      </c>
    </row>
    <row r="448" s="369" customFormat="1" ht="122.40000000000001" customHeight="1">
      <c r="A448" s="369" t="s">
        <v>720</v>
      </c>
      <c r="B448" s="369" t="s">
        <v>1144</v>
      </c>
      <c r="C448" s="369"/>
      <c r="D448" s="369"/>
      <c r="E448" s="390" t="s">
        <v>1145</v>
      </c>
      <c r="F448" s="370" t="s">
        <v>772</v>
      </c>
      <c r="G448" s="390" t="s">
        <v>498</v>
      </c>
      <c r="H448" s="372">
        <v>10260</v>
      </c>
      <c r="I448" s="372">
        <v>10470</v>
      </c>
      <c r="J448" s="371" t="s">
        <v>1146</v>
      </c>
      <c r="K448" s="369"/>
      <c r="L448" s="373" t="s">
        <v>447</v>
      </c>
      <c r="M448" s="369"/>
      <c r="N448" s="369"/>
      <c r="O448" s="369">
        <v>1</v>
      </c>
      <c r="P448" s="369">
        <v>1</v>
      </c>
      <c r="Q448" s="369">
        <v>1</v>
      </c>
      <c r="R448" s="369"/>
      <c r="S448" s="369"/>
      <c r="T448" s="369">
        <v>1</v>
      </c>
      <c r="U448" s="369"/>
      <c r="V448" s="369">
        <v>1</v>
      </c>
      <c r="W448" s="369"/>
      <c r="X448" s="369">
        <v>1</v>
      </c>
      <c r="Y448" s="369">
        <v>1</v>
      </c>
      <c r="Z448" s="369"/>
      <c r="AA448" s="369"/>
      <c r="AB448" s="369"/>
      <c r="AC448" s="369">
        <v>1</v>
      </c>
      <c r="AD448" s="369"/>
      <c r="AE448" s="369">
        <v>1</v>
      </c>
      <c r="AF448" s="369">
        <v>1</v>
      </c>
      <c r="AG448" s="369">
        <v>1</v>
      </c>
      <c r="AH448" s="369">
        <v>1</v>
      </c>
      <c r="AI448" s="369">
        <v>1</v>
      </c>
      <c r="AJ448" s="369">
        <v>1</v>
      </c>
      <c r="AK448" s="369"/>
      <c r="AL448" s="369">
        <v>1</v>
      </c>
      <c r="AM448" s="369">
        <v>1</v>
      </c>
      <c r="AN448" s="369">
        <v>1</v>
      </c>
      <c r="AO448" s="369"/>
      <c r="AP448" s="369">
        <v>1</v>
      </c>
      <c r="AQ448" s="369">
        <v>1</v>
      </c>
      <c r="AR448" s="369"/>
      <c r="AS448" s="369"/>
      <c r="AT448" s="369">
        <v>1</v>
      </c>
      <c r="AU448" s="369"/>
      <c r="AV448" s="369"/>
      <c r="AW448" s="369">
        <v>1</v>
      </c>
      <c r="AX448" s="369"/>
      <c r="AY448" s="369"/>
      <c r="AZ448" s="369"/>
      <c r="BA448" s="369"/>
      <c r="BB448" s="369"/>
      <c r="BC448" s="369"/>
      <c r="BD448" s="369"/>
      <c r="BE448" s="369">
        <v>1</v>
      </c>
      <c r="BF448" s="369"/>
      <c r="BG448" s="369"/>
      <c r="BH448" s="369"/>
      <c r="BI448" s="369"/>
      <c r="BK448" s="369"/>
      <c r="BL448" s="369"/>
    </row>
    <row r="449" ht="41.75" customHeight="1">
      <c r="E449" s="363" t="s">
        <v>1147</v>
      </c>
      <c r="F449" s="39" t="s">
        <v>529</v>
      </c>
      <c r="G449" s="363" t="s">
        <v>498</v>
      </c>
      <c r="H449" s="291">
        <v>10610</v>
      </c>
      <c r="I449" s="291">
        <v>10630</v>
      </c>
      <c r="J449" s="111" t="s">
        <v>1069</v>
      </c>
      <c r="L449" s="39" t="s">
        <v>447</v>
      </c>
      <c r="S449" s="39">
        <v>1</v>
      </c>
      <c r="T449" s="39">
        <v>1</v>
      </c>
      <c r="V449" s="39">
        <v>1</v>
      </c>
      <c r="Y449" s="39">
        <v>1</v>
      </c>
      <c r="AC449" s="39">
        <v>1</v>
      </c>
      <c r="AE449" s="39">
        <v>1</v>
      </c>
      <c r="AF449" s="39">
        <v>1</v>
      </c>
      <c r="AG449" s="39">
        <v>1</v>
      </c>
      <c r="AH449" s="39">
        <v>1</v>
      </c>
      <c r="AI449" s="39">
        <v>1</v>
      </c>
      <c r="AJ449" s="39">
        <v>1</v>
      </c>
      <c r="AL449" s="39">
        <v>1</v>
      </c>
      <c r="AM449" s="39">
        <v>1</v>
      </c>
      <c r="AN449" s="39">
        <v>1</v>
      </c>
      <c r="AP449" s="39">
        <v>1</v>
      </c>
      <c r="AQ449" s="39">
        <v>1</v>
      </c>
      <c r="AU449" s="39">
        <v>1</v>
      </c>
      <c r="AX449" s="39">
        <v>1</v>
      </c>
      <c r="AZ449" s="39">
        <v>1</v>
      </c>
    </row>
    <row r="450" ht="82" customHeight="1">
      <c r="D450" s="39" t="s">
        <v>1148</v>
      </c>
      <c r="E450" s="363" t="s">
        <v>1149</v>
      </c>
      <c r="F450" s="39" t="s">
        <v>1150</v>
      </c>
      <c r="G450" s="363" t="s">
        <v>498</v>
      </c>
      <c r="H450" s="291">
        <v>10660</v>
      </c>
      <c r="I450" s="291">
        <v>10694</v>
      </c>
      <c r="J450" s="111" t="s">
        <v>1151</v>
      </c>
      <c r="L450" s="39" t="s">
        <v>66</v>
      </c>
      <c r="U450" s="39">
        <v>1</v>
      </c>
      <c r="W450" s="39">
        <v>1</v>
      </c>
      <c r="Y450" s="39">
        <v>1</v>
      </c>
      <c r="AD450" s="39">
        <v>1</v>
      </c>
      <c r="AE450" s="39">
        <v>1</v>
      </c>
      <c r="AF450" s="39">
        <v>1</v>
      </c>
      <c r="AG450" s="39">
        <v>1</v>
      </c>
      <c r="AH450" s="39">
        <v>1</v>
      </c>
      <c r="AJ450" s="39">
        <v>1</v>
      </c>
      <c r="AL450" s="39">
        <v>1</v>
      </c>
      <c r="AM450" s="39">
        <v>1</v>
      </c>
      <c r="AN450" s="39">
        <v>1</v>
      </c>
      <c r="AP450" s="39">
        <v>1</v>
      </c>
      <c r="AQ450" s="39">
        <v>1</v>
      </c>
      <c r="AT450" s="39">
        <v>1</v>
      </c>
      <c r="AV450" s="39">
        <v>1</v>
      </c>
      <c r="BE450" s="39">
        <v>1</v>
      </c>
      <c r="BI450" s="39">
        <v>1</v>
      </c>
    </row>
    <row r="451" s="369" customFormat="1" ht="55.25" customHeight="1">
      <c r="A451" s="369" t="s">
        <v>720</v>
      </c>
      <c r="B451" s="369" t="s">
        <v>1152</v>
      </c>
      <c r="C451" s="369"/>
      <c r="D451" s="369"/>
      <c r="E451" s="392" t="s">
        <v>1153</v>
      </c>
      <c r="F451" s="370" t="s">
        <v>529</v>
      </c>
      <c r="G451" s="393" t="s">
        <v>498</v>
      </c>
      <c r="H451" s="394">
        <v>10992</v>
      </c>
      <c r="I451" s="394">
        <v>11012</v>
      </c>
      <c r="J451" s="389" t="s">
        <v>1154</v>
      </c>
      <c r="K451" s="369"/>
      <c r="L451" s="369" t="s">
        <v>447</v>
      </c>
      <c r="M451" s="369">
        <v>1</v>
      </c>
      <c r="N451" s="369"/>
      <c r="O451" s="369"/>
      <c r="P451" s="369">
        <v>1</v>
      </c>
      <c r="Q451" s="369"/>
      <c r="R451" s="369"/>
      <c r="S451" s="369"/>
      <c r="T451" s="369"/>
      <c r="U451" s="369"/>
      <c r="V451" s="369"/>
      <c r="W451" s="369">
        <v>1</v>
      </c>
      <c r="X451" s="369"/>
      <c r="Y451" s="369"/>
      <c r="Z451" s="369">
        <v>1</v>
      </c>
      <c r="AA451" s="369">
        <v>1</v>
      </c>
      <c r="AB451" s="369"/>
      <c r="AC451" s="369"/>
      <c r="AD451" s="369"/>
      <c r="AE451" s="369">
        <v>1</v>
      </c>
      <c r="AF451" s="369">
        <v>1</v>
      </c>
      <c r="AG451" s="369">
        <v>1</v>
      </c>
      <c r="AH451" s="369">
        <v>1</v>
      </c>
      <c r="AI451" s="369">
        <v>1</v>
      </c>
      <c r="AJ451" s="369">
        <v>1</v>
      </c>
      <c r="AK451" s="369"/>
      <c r="AL451" s="369">
        <v>1</v>
      </c>
      <c r="AM451" s="369">
        <v>1</v>
      </c>
      <c r="AN451" s="369">
        <v>1</v>
      </c>
      <c r="AO451" s="369"/>
      <c r="AP451" s="369">
        <v>1</v>
      </c>
      <c r="AQ451" s="369">
        <v>1</v>
      </c>
      <c r="AR451" s="369"/>
      <c r="AS451" s="369"/>
      <c r="AT451" s="369"/>
      <c r="AU451" s="369">
        <v>1</v>
      </c>
      <c r="AV451" s="369"/>
      <c r="AW451" s="369">
        <v>1</v>
      </c>
      <c r="AX451" s="369"/>
      <c r="AY451" s="369"/>
      <c r="AZ451" s="369">
        <v>1</v>
      </c>
      <c r="BA451" s="369"/>
      <c r="BB451" s="369"/>
      <c r="BC451" s="369"/>
      <c r="BD451" s="369"/>
      <c r="BE451" s="369"/>
      <c r="BF451" s="369"/>
      <c r="BG451" s="369"/>
      <c r="BH451" s="369"/>
      <c r="BI451" s="369"/>
      <c r="BK451" s="369"/>
      <c r="BL451" s="369"/>
    </row>
    <row r="452" ht="55.25" customHeight="1">
      <c r="A452" s="380" t="s">
        <v>1070</v>
      </c>
      <c r="D452" s="39"/>
      <c r="E452" s="378" t="s">
        <v>1155</v>
      </c>
      <c r="F452" s="39" t="s">
        <v>1156</v>
      </c>
      <c r="G452" s="378" t="s">
        <v>498</v>
      </c>
      <c r="H452" s="345">
        <v>19518</v>
      </c>
      <c r="I452" s="345">
        <v>19600</v>
      </c>
      <c r="J452" s="128" t="s">
        <v>1157</v>
      </c>
      <c r="L452" s="127" t="s">
        <v>325</v>
      </c>
      <c r="M452" s="39">
        <v>1</v>
      </c>
      <c r="P452" s="39">
        <v>1</v>
      </c>
      <c r="W452" s="39">
        <v>1</v>
      </c>
      <c r="X452" s="39">
        <v>1</v>
      </c>
      <c r="Y452" s="39">
        <v>1</v>
      </c>
      <c r="AA452" s="39">
        <v>1</v>
      </c>
      <c r="AE452" s="39">
        <v>1</v>
      </c>
      <c r="AF452" s="39">
        <v>1</v>
      </c>
      <c r="AG452" s="39">
        <v>1</v>
      </c>
      <c r="AH452" s="39">
        <v>1</v>
      </c>
      <c r="AI452" s="39">
        <v>1</v>
      </c>
      <c r="AJ452" s="39">
        <v>1</v>
      </c>
      <c r="AL452" s="39">
        <v>1</v>
      </c>
      <c r="AM452" s="39">
        <v>1</v>
      </c>
      <c r="AN452" s="39">
        <v>1</v>
      </c>
      <c r="AP452" s="39">
        <v>1</v>
      </c>
    </row>
    <row r="453" ht="41.75" customHeight="1">
      <c r="D453" s="39"/>
      <c r="E453" s="358" t="s">
        <v>1158</v>
      </c>
      <c r="F453" s="39" t="s">
        <v>504</v>
      </c>
      <c r="G453" s="358" t="s">
        <v>498</v>
      </c>
      <c r="H453" s="313">
        <v>19935</v>
      </c>
      <c r="I453" s="313">
        <v>19940</v>
      </c>
      <c r="L453" s="39" t="s">
        <v>325</v>
      </c>
      <c r="M453" s="39">
        <v>1</v>
      </c>
      <c r="P453" s="39">
        <v>1</v>
      </c>
      <c r="V453" s="39">
        <v>1</v>
      </c>
      <c r="X453" s="39">
        <v>1</v>
      </c>
      <c r="Z453" s="39">
        <v>1</v>
      </c>
      <c r="AA453" s="39">
        <v>1</v>
      </c>
      <c r="AE453" s="39">
        <v>1</v>
      </c>
      <c r="AM453" s="39">
        <v>1</v>
      </c>
      <c r="AN453" s="39">
        <v>1</v>
      </c>
      <c r="AO453" s="39">
        <v>1</v>
      </c>
    </row>
    <row r="454" ht="14.25" customHeight="1">
      <c r="D454" s="39"/>
      <c r="E454" s="358" t="s">
        <v>1159</v>
      </c>
      <c r="F454" s="39" t="s">
        <v>508</v>
      </c>
      <c r="G454" s="358" t="s">
        <v>498</v>
      </c>
      <c r="H454" s="313">
        <v>20046</v>
      </c>
      <c r="I454" s="313">
        <v>20064</v>
      </c>
      <c r="L454" s="39" t="s">
        <v>325</v>
      </c>
      <c r="M454" s="39">
        <v>1</v>
      </c>
      <c r="P454" s="39">
        <v>1</v>
      </c>
      <c r="V454" s="39">
        <v>1</v>
      </c>
      <c r="Z454" s="39">
        <v>1</v>
      </c>
      <c r="AA454" s="39">
        <v>1</v>
      </c>
      <c r="AE454" s="39">
        <v>1</v>
      </c>
      <c r="AF454" s="39">
        <v>1</v>
      </c>
      <c r="AG454" s="39">
        <v>1</v>
      </c>
      <c r="AH454" s="39">
        <v>1</v>
      </c>
      <c r="AJ454" s="39">
        <v>1</v>
      </c>
      <c r="AL454" s="39">
        <v>1</v>
      </c>
      <c r="AM454" s="39">
        <v>1</v>
      </c>
      <c r="AN454" s="39">
        <v>1</v>
      </c>
      <c r="AP454" s="39">
        <v>1</v>
      </c>
    </row>
    <row r="455" ht="55.25" customHeight="1">
      <c r="E455" s="358" t="s">
        <v>1160</v>
      </c>
      <c r="F455" s="39" t="s">
        <v>1161</v>
      </c>
      <c r="G455" s="358" t="s">
        <v>498</v>
      </c>
      <c r="H455" s="313">
        <v>20094</v>
      </c>
      <c r="I455" s="313">
        <v>20166</v>
      </c>
      <c r="J455" s="111" t="s">
        <v>819</v>
      </c>
      <c r="L455" s="39" t="s">
        <v>447</v>
      </c>
      <c r="M455" s="39">
        <v>1</v>
      </c>
      <c r="P455" s="39">
        <v>1</v>
      </c>
      <c r="Q455" s="39">
        <v>1</v>
      </c>
      <c r="T455" s="39">
        <v>1</v>
      </c>
      <c r="V455" s="39">
        <v>1</v>
      </c>
      <c r="Y455" s="39">
        <v>1</v>
      </c>
      <c r="AB455" s="39">
        <v>1</v>
      </c>
      <c r="AE455" s="39">
        <v>1</v>
      </c>
      <c r="AF455" s="39">
        <v>1</v>
      </c>
      <c r="AG455" s="39">
        <v>1</v>
      </c>
      <c r="AH455" s="39">
        <v>1</v>
      </c>
      <c r="AL455" s="39">
        <v>1</v>
      </c>
      <c r="AM455" s="39">
        <v>1</v>
      </c>
      <c r="AN455" s="39">
        <v>1</v>
      </c>
      <c r="AP455" s="39">
        <v>1</v>
      </c>
    </row>
    <row r="456" ht="28.399999999999999" customHeight="1">
      <c r="A456" s="387" t="s">
        <v>720</v>
      </c>
      <c r="E456" s="378" t="s">
        <v>1162</v>
      </c>
      <c r="F456" s="39" t="s">
        <v>733</v>
      </c>
      <c r="G456" s="378" t="s">
        <v>498</v>
      </c>
      <c r="H456" s="345">
        <v>20226</v>
      </c>
      <c r="I456" s="345">
        <v>20264</v>
      </c>
      <c r="J456" s="128" t="s">
        <v>1163</v>
      </c>
      <c r="L456" s="127" t="s">
        <v>447</v>
      </c>
      <c r="M456" s="39">
        <v>1</v>
      </c>
      <c r="P456" s="39">
        <v>1</v>
      </c>
      <c r="S456" s="39">
        <v>1</v>
      </c>
      <c r="T456" s="39">
        <v>1</v>
      </c>
      <c r="V456" s="39">
        <v>1</v>
      </c>
      <c r="Y456" s="39">
        <v>1</v>
      </c>
      <c r="AC456" s="39">
        <v>1</v>
      </c>
      <c r="AE456" s="39">
        <v>1</v>
      </c>
      <c r="AF456" s="39">
        <v>1</v>
      </c>
      <c r="AG456" s="39">
        <v>1</v>
      </c>
      <c r="AH456" s="39">
        <v>1</v>
      </c>
      <c r="AI456" s="39">
        <v>1</v>
      </c>
      <c r="AJ456" s="39">
        <v>1</v>
      </c>
      <c r="AL456" s="39">
        <v>1</v>
      </c>
      <c r="AM456" s="39">
        <v>1</v>
      </c>
      <c r="AN456" s="39">
        <v>1</v>
      </c>
      <c r="AP456" s="39">
        <v>1</v>
      </c>
    </row>
    <row r="457" ht="82" customHeight="1">
      <c r="E457" s="358" t="s">
        <v>1164</v>
      </c>
      <c r="F457" s="39" t="s">
        <v>1165</v>
      </c>
      <c r="G457" s="358" t="s">
        <v>498</v>
      </c>
      <c r="H457" s="313">
        <v>20361</v>
      </c>
      <c r="I457" s="313">
        <v>20511</v>
      </c>
      <c r="J457" s="111" t="s">
        <v>700</v>
      </c>
      <c r="L457" s="39" t="s">
        <v>325</v>
      </c>
      <c r="M457" s="39">
        <v>1</v>
      </c>
      <c r="O457" s="39">
        <v>1</v>
      </c>
      <c r="P457" s="39">
        <v>1</v>
      </c>
      <c r="V457" s="39">
        <v>1</v>
      </c>
      <c r="X457" s="39">
        <v>1</v>
      </c>
      <c r="Z457" s="39">
        <v>1</v>
      </c>
      <c r="AA457" s="39">
        <v>1</v>
      </c>
      <c r="AE457" s="39">
        <v>1</v>
      </c>
      <c r="AF457" s="39">
        <v>1</v>
      </c>
      <c r="AG457" s="39">
        <v>1</v>
      </c>
      <c r="AH457" s="39">
        <v>1</v>
      </c>
      <c r="AI457" s="39">
        <v>1</v>
      </c>
      <c r="AJ457" s="39">
        <v>1</v>
      </c>
      <c r="AL457" s="39">
        <v>1</v>
      </c>
      <c r="AM457" s="39">
        <v>1</v>
      </c>
      <c r="AN457" s="39">
        <v>1</v>
      </c>
      <c r="AP457" s="39">
        <v>1</v>
      </c>
    </row>
    <row r="458" ht="14.25" customHeight="1">
      <c r="A458" s="380" t="s">
        <v>1070</v>
      </c>
      <c r="E458" s="384" t="s">
        <v>1166</v>
      </c>
      <c r="G458" s="384" t="s">
        <v>498</v>
      </c>
      <c r="H458" s="385">
        <v>20536</v>
      </c>
      <c r="I458" s="385"/>
      <c r="J458" s="386" t="s">
        <v>1167</v>
      </c>
    </row>
    <row r="459" ht="41.75" customHeight="1">
      <c r="E459" s="358" t="s">
        <v>1168</v>
      </c>
      <c r="F459" s="39" t="s">
        <v>717</v>
      </c>
      <c r="G459" s="358" t="s">
        <v>498</v>
      </c>
      <c r="H459" s="313">
        <v>20648</v>
      </c>
      <c r="I459" s="313">
        <v>20700</v>
      </c>
      <c r="J459" s="111" t="s">
        <v>819</v>
      </c>
      <c r="L459" s="39" t="s">
        <v>447</v>
      </c>
      <c r="N459" s="39">
        <v>1</v>
      </c>
      <c r="P459" s="39">
        <v>1</v>
      </c>
      <c r="S459" s="39">
        <v>1</v>
      </c>
      <c r="T459" s="39">
        <v>1</v>
      </c>
      <c r="W459" s="39">
        <v>1</v>
      </c>
      <c r="Y459" s="39">
        <v>1</v>
      </c>
      <c r="AC459" s="39">
        <v>1</v>
      </c>
      <c r="AE459" s="39">
        <v>1</v>
      </c>
      <c r="AF459" s="39">
        <v>1</v>
      </c>
      <c r="AG459" s="39">
        <v>1</v>
      </c>
      <c r="AH459" s="39">
        <v>1</v>
      </c>
      <c r="AI459" s="39">
        <v>1</v>
      </c>
      <c r="AJ459" s="39">
        <v>1</v>
      </c>
      <c r="AL459" s="39">
        <v>1</v>
      </c>
      <c r="AM459" s="39">
        <v>1</v>
      </c>
      <c r="AN459" s="39">
        <v>1</v>
      </c>
      <c r="AP459" s="39">
        <v>1</v>
      </c>
      <c r="AQ459" s="39">
        <v>1</v>
      </c>
      <c r="AW459" s="39">
        <v>1</v>
      </c>
      <c r="BE459" s="39">
        <v>1</v>
      </c>
    </row>
    <row r="460" ht="82" customHeight="1">
      <c r="E460" s="358" t="s">
        <v>1169</v>
      </c>
      <c r="F460" s="39" t="s">
        <v>1170</v>
      </c>
      <c r="G460" s="358" t="s">
        <v>498</v>
      </c>
      <c r="H460" s="313">
        <v>20750</v>
      </c>
      <c r="I460" s="313">
        <v>20873</v>
      </c>
      <c r="J460" s="111" t="s">
        <v>1171</v>
      </c>
      <c r="L460" s="39" t="s">
        <v>325</v>
      </c>
      <c r="N460" s="39">
        <v>1</v>
      </c>
      <c r="O460" s="39">
        <v>1</v>
      </c>
      <c r="P460" s="39">
        <v>1</v>
      </c>
      <c r="Q460" s="39">
        <v>1</v>
      </c>
      <c r="T460" s="39">
        <v>1</v>
      </c>
      <c r="V460" s="39">
        <v>1</v>
      </c>
      <c r="X460" s="39">
        <v>1</v>
      </c>
      <c r="Y460" s="39">
        <v>1</v>
      </c>
      <c r="Z460" s="39">
        <v>1</v>
      </c>
      <c r="AA460" s="39">
        <v>1</v>
      </c>
      <c r="AE460" s="39">
        <v>1</v>
      </c>
      <c r="AF460" s="39">
        <v>1</v>
      </c>
      <c r="AG460" s="39">
        <v>1</v>
      </c>
      <c r="AH460" s="39">
        <v>1</v>
      </c>
      <c r="AI460" s="39">
        <v>1</v>
      </c>
      <c r="AL460" s="39">
        <v>1</v>
      </c>
      <c r="AM460" s="39">
        <v>1</v>
      </c>
      <c r="AN460" s="39">
        <v>1</v>
      </c>
      <c r="AP460" s="39">
        <v>1</v>
      </c>
    </row>
    <row r="461" ht="28.399999999999999" customHeight="1">
      <c r="A461" s="387" t="s">
        <v>720</v>
      </c>
      <c r="E461" s="378" t="s">
        <v>1172</v>
      </c>
      <c r="F461" s="39" t="s">
        <v>527</v>
      </c>
      <c r="G461" s="378" t="s">
        <v>498</v>
      </c>
      <c r="H461" s="345">
        <v>20896</v>
      </c>
      <c r="I461" s="345">
        <v>20933</v>
      </c>
      <c r="J461" s="128" t="s">
        <v>1139</v>
      </c>
      <c r="L461" s="127" t="s">
        <v>325</v>
      </c>
      <c r="O461" s="39">
        <v>1</v>
      </c>
      <c r="P461" s="39">
        <v>1</v>
      </c>
      <c r="V461" s="39">
        <v>1</v>
      </c>
      <c r="X461" s="39">
        <v>1</v>
      </c>
      <c r="Z461" s="39">
        <v>1</v>
      </c>
      <c r="AA461" s="39">
        <v>1</v>
      </c>
      <c r="AE461" s="39">
        <v>1</v>
      </c>
      <c r="AF461" s="39">
        <v>1</v>
      </c>
      <c r="AG461" s="39">
        <v>1</v>
      </c>
      <c r="AH461" s="39">
        <v>1</v>
      </c>
      <c r="AK461" s="39">
        <v>1</v>
      </c>
      <c r="AL461" s="39">
        <v>1</v>
      </c>
      <c r="AN461" s="39">
        <v>1</v>
      </c>
      <c r="AP461" s="39">
        <v>1</v>
      </c>
    </row>
    <row r="462" ht="55.25" customHeight="1">
      <c r="E462" s="363" t="s">
        <v>1173</v>
      </c>
      <c r="F462" s="39" t="s">
        <v>1174</v>
      </c>
      <c r="G462" s="363" t="s">
        <v>498</v>
      </c>
      <c r="H462" s="291">
        <v>21000</v>
      </c>
      <c r="I462" s="291">
        <v>21053</v>
      </c>
      <c r="L462" s="39" t="s">
        <v>447</v>
      </c>
      <c r="Q462" s="39">
        <v>1</v>
      </c>
      <c r="T462" s="39">
        <v>1</v>
      </c>
      <c r="V462" s="39">
        <v>1</v>
      </c>
      <c r="X462" s="39">
        <v>1</v>
      </c>
      <c r="Y462" s="39">
        <v>1</v>
      </c>
      <c r="AB462" s="39">
        <v>1</v>
      </c>
      <c r="AD462" s="39">
        <v>1</v>
      </c>
      <c r="AE462" s="39">
        <v>1</v>
      </c>
      <c r="AF462" s="39">
        <v>1</v>
      </c>
      <c r="AG462" s="39">
        <v>1</v>
      </c>
      <c r="AH462" s="39">
        <v>1</v>
      </c>
      <c r="AI462" s="39">
        <v>1</v>
      </c>
      <c r="AJ462" s="39">
        <v>1</v>
      </c>
      <c r="AL462" s="39">
        <v>1</v>
      </c>
      <c r="AM462" s="39">
        <v>1</v>
      </c>
      <c r="AN462" s="39">
        <v>1</v>
      </c>
      <c r="AP462" s="39">
        <v>1</v>
      </c>
    </row>
    <row r="463" ht="14.25" customHeight="1">
      <c r="E463" s="358" t="s">
        <v>1175</v>
      </c>
      <c r="F463" s="39" t="s">
        <v>550</v>
      </c>
      <c r="G463" s="358" t="s">
        <v>498</v>
      </c>
      <c r="H463" s="313">
        <v>21142</v>
      </c>
      <c r="I463" s="313">
        <v>21172</v>
      </c>
      <c r="L463" s="39" t="s">
        <v>325</v>
      </c>
      <c r="M463" s="39">
        <v>1</v>
      </c>
      <c r="P463" s="39">
        <v>1</v>
      </c>
      <c r="W463" s="39">
        <v>1</v>
      </c>
      <c r="Z463" s="39">
        <v>1</v>
      </c>
      <c r="AA463" s="39">
        <v>1</v>
      </c>
      <c r="AE463" s="39">
        <v>1</v>
      </c>
      <c r="AG463" s="39">
        <v>1</v>
      </c>
      <c r="AL463" s="39">
        <v>1</v>
      </c>
      <c r="AM463" s="39">
        <v>1</v>
      </c>
      <c r="AN463" s="39">
        <v>1</v>
      </c>
      <c r="AP463" s="39">
        <v>1</v>
      </c>
    </row>
    <row r="464" ht="95.5" customHeight="1">
      <c r="E464" s="358" t="s">
        <v>1176</v>
      </c>
      <c r="F464" s="39" t="s">
        <v>882</v>
      </c>
      <c r="G464" s="358" t="s">
        <v>498</v>
      </c>
      <c r="H464" s="313">
        <v>21237</v>
      </c>
      <c r="I464" s="313">
        <v>21387</v>
      </c>
      <c r="J464" s="111" t="s">
        <v>1177</v>
      </c>
      <c r="L464" s="39" t="s">
        <v>325</v>
      </c>
      <c r="M464" s="39">
        <v>1</v>
      </c>
      <c r="N464" s="39">
        <v>1</v>
      </c>
      <c r="P464" s="39">
        <v>1</v>
      </c>
      <c r="W464" s="39">
        <v>1</v>
      </c>
      <c r="X464" s="39">
        <v>1</v>
      </c>
      <c r="Y464" s="39">
        <v>1</v>
      </c>
      <c r="AA464" s="39">
        <v>1</v>
      </c>
      <c r="AE464" s="39">
        <v>1</v>
      </c>
      <c r="AF464" s="39">
        <v>1</v>
      </c>
      <c r="AG464" s="39">
        <v>1</v>
      </c>
      <c r="AH464" s="39">
        <v>1</v>
      </c>
      <c r="AI464" s="39">
        <v>1</v>
      </c>
      <c r="AJ464" s="39">
        <v>1</v>
      </c>
      <c r="AL464" s="39">
        <v>1</v>
      </c>
      <c r="AM464" s="39">
        <v>1</v>
      </c>
      <c r="AN464" s="39">
        <v>1</v>
      </c>
      <c r="AP464" s="39">
        <v>1</v>
      </c>
      <c r="AQ464" s="39">
        <v>1</v>
      </c>
      <c r="AU464" s="39">
        <v>1</v>
      </c>
      <c r="AX464" s="39">
        <v>1</v>
      </c>
    </row>
    <row r="465" ht="41.75" customHeight="1">
      <c r="A465" s="380" t="s">
        <v>1070</v>
      </c>
      <c r="E465" s="391" t="s">
        <v>1178</v>
      </c>
      <c r="F465" s="39" t="s">
        <v>644</v>
      </c>
      <c r="G465" s="391" t="s">
        <v>498</v>
      </c>
      <c r="H465" s="346">
        <v>21648</v>
      </c>
      <c r="I465" s="346">
        <v>21675</v>
      </c>
      <c r="J465" s="128" t="s">
        <v>1179</v>
      </c>
      <c r="L465" s="127" t="s">
        <v>325</v>
      </c>
      <c r="U465" s="39">
        <v>1</v>
      </c>
      <c r="W465" s="39">
        <v>1</v>
      </c>
      <c r="Y465" s="39">
        <v>1</v>
      </c>
      <c r="AD465" s="39">
        <v>1</v>
      </c>
      <c r="AE465" s="39">
        <v>1</v>
      </c>
      <c r="AF465" s="39">
        <v>1</v>
      </c>
      <c r="AG465" s="39">
        <v>1</v>
      </c>
      <c r="AH465" s="39">
        <v>1</v>
      </c>
      <c r="AI465" s="39">
        <v>1</v>
      </c>
      <c r="AJ465" s="39">
        <v>1</v>
      </c>
      <c r="AL465" s="39">
        <v>1</v>
      </c>
      <c r="AM465" s="39">
        <v>1</v>
      </c>
      <c r="AN465" s="39">
        <v>1</v>
      </c>
      <c r="AP465" s="39">
        <v>1</v>
      </c>
    </row>
    <row r="466" ht="82" customHeight="1">
      <c r="E466" s="358" t="s">
        <v>1180</v>
      </c>
      <c r="F466" s="39" t="s">
        <v>772</v>
      </c>
      <c r="G466" s="358" t="s">
        <v>498</v>
      </c>
      <c r="H466" s="313">
        <v>23984</v>
      </c>
      <c r="I466" s="313">
        <v>24194</v>
      </c>
      <c r="J466" s="111" t="s">
        <v>1181</v>
      </c>
      <c r="L466" s="382" t="s">
        <v>492</v>
      </c>
      <c r="M466" s="39">
        <v>1</v>
      </c>
      <c r="P466" s="39">
        <v>1</v>
      </c>
      <c r="U466" s="39">
        <v>1</v>
      </c>
      <c r="W466" s="39">
        <v>1</v>
      </c>
      <c r="X466" s="39">
        <v>1</v>
      </c>
      <c r="Y466" s="39">
        <v>1</v>
      </c>
      <c r="AD466" s="39">
        <v>1</v>
      </c>
      <c r="AE466" s="39">
        <v>1</v>
      </c>
      <c r="AF466" s="39">
        <v>1</v>
      </c>
      <c r="AG466" s="39">
        <v>1</v>
      </c>
      <c r="AH466" s="39">
        <v>1</v>
      </c>
      <c r="AI466" s="39">
        <v>1</v>
      </c>
      <c r="AJ466" s="39">
        <v>1</v>
      </c>
      <c r="AK466" s="39">
        <v>1</v>
      </c>
      <c r="AL466" s="39">
        <v>1</v>
      </c>
      <c r="AM466" s="39">
        <v>1</v>
      </c>
      <c r="AN466" s="39">
        <v>1</v>
      </c>
      <c r="AP466" s="39">
        <v>1</v>
      </c>
      <c r="AQ466" s="39">
        <v>1</v>
      </c>
      <c r="AW466" s="39">
        <v>1</v>
      </c>
      <c r="BE466" s="39">
        <v>1</v>
      </c>
      <c r="BG466" s="382">
        <v>1</v>
      </c>
    </row>
    <row r="467" ht="41.75" customHeight="1">
      <c r="A467" s="380" t="s">
        <v>1070</v>
      </c>
      <c r="E467" s="378" t="s">
        <v>1182</v>
      </c>
      <c r="F467" s="39" t="s">
        <v>525</v>
      </c>
      <c r="G467" s="378" t="s">
        <v>498</v>
      </c>
      <c r="H467" s="345">
        <v>26884</v>
      </c>
      <c r="I467" s="345">
        <v>26907</v>
      </c>
      <c r="J467" s="128" t="s">
        <v>1183</v>
      </c>
      <c r="L467" s="127" t="s">
        <v>325</v>
      </c>
      <c r="M467" s="39">
        <v>1</v>
      </c>
      <c r="P467" s="39">
        <v>1</v>
      </c>
      <c r="V467" s="39">
        <v>1</v>
      </c>
      <c r="Z467" s="39">
        <v>1</v>
      </c>
      <c r="AA467" s="39">
        <v>1</v>
      </c>
      <c r="AE467" s="39">
        <v>1</v>
      </c>
      <c r="AF467" s="39">
        <v>1</v>
      </c>
      <c r="AG467" s="39">
        <v>1</v>
      </c>
      <c r="AH467" s="39">
        <v>1</v>
      </c>
      <c r="AI467" s="39">
        <v>1</v>
      </c>
      <c r="AL467" s="39">
        <v>1</v>
      </c>
      <c r="AM467" s="39">
        <v>1</v>
      </c>
      <c r="AN467" s="39">
        <v>1</v>
      </c>
    </row>
    <row r="468" ht="28.399999999999999" customHeight="1">
      <c r="A468" s="387" t="s">
        <v>720</v>
      </c>
      <c r="B468" s="127" t="s">
        <v>1184</v>
      </c>
      <c r="E468" s="378" t="s">
        <v>1185</v>
      </c>
      <c r="F468" s="39" t="s">
        <v>898</v>
      </c>
      <c r="G468" s="378" t="s">
        <v>498</v>
      </c>
      <c r="H468" s="345">
        <v>27575</v>
      </c>
      <c r="I468" s="345">
        <v>27594</v>
      </c>
      <c r="J468" s="128" t="s">
        <v>1072</v>
      </c>
      <c r="L468" s="127" t="s">
        <v>447</v>
      </c>
      <c r="Q468" s="39">
        <v>1</v>
      </c>
      <c r="T468" s="39">
        <v>1</v>
      </c>
      <c r="V468" s="39">
        <v>1</v>
      </c>
      <c r="Y468" s="39">
        <v>1</v>
      </c>
      <c r="AA468" s="39">
        <v>1</v>
      </c>
      <c r="AE468" s="39">
        <v>1</v>
      </c>
      <c r="AF468" s="39">
        <v>1</v>
      </c>
      <c r="AG468" s="39">
        <v>1</v>
      </c>
      <c r="AH468" s="39">
        <v>1</v>
      </c>
      <c r="AI468" s="39">
        <v>1</v>
      </c>
      <c r="AJ468" s="39">
        <v>1</v>
      </c>
      <c r="AL468" s="39">
        <v>1</v>
      </c>
      <c r="AM468" s="39">
        <v>1</v>
      </c>
      <c r="AN468" s="39">
        <v>1</v>
      </c>
      <c r="AP468" s="39">
        <v>1</v>
      </c>
    </row>
    <row r="469" ht="14.25" customHeight="1">
      <c r="E469" s="358" t="s">
        <v>1186</v>
      </c>
      <c r="F469" s="39" t="s">
        <v>512</v>
      </c>
      <c r="G469" s="358" t="s">
        <v>498</v>
      </c>
      <c r="H469" s="313">
        <v>27723</v>
      </c>
      <c r="I469" s="313">
        <v>27737</v>
      </c>
      <c r="J469" s="111" t="s">
        <v>1187</v>
      </c>
      <c r="L469" s="39" t="s">
        <v>325</v>
      </c>
      <c r="M469" s="39">
        <v>1</v>
      </c>
      <c r="P469" s="39">
        <v>1</v>
      </c>
      <c r="W469" s="39">
        <v>1</v>
      </c>
      <c r="X469" s="39">
        <v>1</v>
      </c>
      <c r="Y469" s="39">
        <v>1</v>
      </c>
      <c r="AA469" s="39">
        <v>1</v>
      </c>
      <c r="AE469" s="39">
        <v>1</v>
      </c>
      <c r="AF469" s="39">
        <v>1</v>
      </c>
      <c r="AG469" s="39">
        <v>1</v>
      </c>
      <c r="AH469" s="39">
        <v>1</v>
      </c>
      <c r="AL469" s="39">
        <v>1</v>
      </c>
      <c r="AM469" s="39">
        <v>1</v>
      </c>
      <c r="AN469" s="39">
        <v>1</v>
      </c>
      <c r="AP469" s="39">
        <v>1</v>
      </c>
    </row>
    <row r="470" ht="41.75" customHeight="1">
      <c r="E470" s="358" t="s">
        <v>1188</v>
      </c>
      <c r="F470" s="39" t="s">
        <v>699</v>
      </c>
      <c r="G470" s="358" t="s">
        <v>498</v>
      </c>
      <c r="H470" s="313">
        <v>27777</v>
      </c>
      <c r="I470" s="313">
        <v>27831</v>
      </c>
      <c r="J470" s="111" t="s">
        <v>1189</v>
      </c>
      <c r="L470" s="382" t="s">
        <v>447</v>
      </c>
      <c r="M470" s="39">
        <v>1</v>
      </c>
      <c r="P470" s="39">
        <v>1</v>
      </c>
      <c r="V470" s="39">
        <v>1</v>
      </c>
      <c r="W470" s="39">
        <v>1</v>
      </c>
      <c r="Y470" s="39">
        <v>1</v>
      </c>
      <c r="AA470" s="39">
        <v>1</v>
      </c>
      <c r="AE470" s="39">
        <v>1</v>
      </c>
      <c r="AF470" s="39">
        <v>1</v>
      </c>
      <c r="AG470" s="39">
        <v>1</v>
      </c>
      <c r="AH470" s="39">
        <v>1</v>
      </c>
      <c r="AL470" s="39">
        <v>1</v>
      </c>
      <c r="AM470" s="39">
        <v>1</v>
      </c>
      <c r="AN470" s="39">
        <v>1</v>
      </c>
      <c r="AP470" s="39">
        <v>1</v>
      </c>
    </row>
    <row r="471" ht="41.75" customHeight="1">
      <c r="E471" s="358" t="s">
        <v>1190</v>
      </c>
      <c r="F471" s="39" t="s">
        <v>506</v>
      </c>
      <c r="G471" s="358" t="s">
        <v>498</v>
      </c>
      <c r="H471" s="313">
        <v>27907</v>
      </c>
      <c r="I471" s="313">
        <v>27954</v>
      </c>
      <c r="J471" s="111" t="s">
        <v>1191</v>
      </c>
      <c r="L471" s="39" t="s">
        <v>325</v>
      </c>
      <c r="N471" s="39">
        <v>1</v>
      </c>
      <c r="O471" s="39">
        <v>1</v>
      </c>
      <c r="P471" s="39">
        <v>1</v>
      </c>
      <c r="V471" s="39">
        <v>1</v>
      </c>
      <c r="Z471" s="39">
        <v>1</v>
      </c>
      <c r="AA471" s="39">
        <v>1</v>
      </c>
      <c r="AE471" s="39">
        <v>1</v>
      </c>
      <c r="AF471" s="39">
        <v>1</v>
      </c>
      <c r="AG471" s="39">
        <v>1</v>
      </c>
      <c r="AH471" s="39">
        <v>1</v>
      </c>
      <c r="AI471" s="39">
        <v>1</v>
      </c>
      <c r="AJ471" s="39">
        <v>1</v>
      </c>
      <c r="AL471" s="39">
        <v>1</v>
      </c>
      <c r="AN471" s="39">
        <v>1</v>
      </c>
      <c r="AP471" s="39">
        <v>1</v>
      </c>
    </row>
    <row r="472" s="369" customFormat="1" ht="28.399999999999999" customHeight="1">
      <c r="A472" s="369" t="s">
        <v>720</v>
      </c>
      <c r="B472" s="369"/>
      <c r="C472" s="369"/>
      <c r="D472" s="369"/>
      <c r="E472" s="390" t="s">
        <v>1192</v>
      </c>
      <c r="F472" s="370" t="s">
        <v>877</v>
      </c>
      <c r="G472" s="390" t="s">
        <v>498</v>
      </c>
      <c r="H472" s="372">
        <v>27930</v>
      </c>
      <c r="I472" s="372">
        <v>27978</v>
      </c>
      <c r="J472" s="371" t="s">
        <v>1139</v>
      </c>
      <c r="K472" s="369"/>
      <c r="L472" s="373" t="s">
        <v>447</v>
      </c>
      <c r="M472" s="369">
        <v>1</v>
      </c>
      <c r="N472" s="369"/>
      <c r="O472" s="369"/>
      <c r="P472" s="369">
        <v>1</v>
      </c>
      <c r="Q472" s="369"/>
      <c r="R472" s="369"/>
      <c r="S472" s="369"/>
      <c r="T472" s="369"/>
      <c r="U472" s="369"/>
      <c r="V472" s="369"/>
      <c r="W472" s="369">
        <v>1</v>
      </c>
      <c r="X472" s="369"/>
      <c r="Y472" s="369"/>
      <c r="Z472" s="369">
        <v>1</v>
      </c>
      <c r="AA472" s="369">
        <v>1</v>
      </c>
      <c r="AB472" s="369"/>
      <c r="AC472" s="369"/>
      <c r="AD472" s="369"/>
      <c r="AE472" s="369">
        <v>1</v>
      </c>
      <c r="AF472" s="369">
        <v>1</v>
      </c>
      <c r="AG472" s="369">
        <v>1</v>
      </c>
      <c r="AH472" s="369">
        <v>1</v>
      </c>
      <c r="AI472" s="369"/>
      <c r="AJ472" s="369"/>
      <c r="AK472" s="369"/>
      <c r="AL472" s="369">
        <v>1</v>
      </c>
      <c r="AM472" s="369"/>
      <c r="AN472" s="369">
        <v>1</v>
      </c>
      <c r="AO472" s="369"/>
      <c r="AP472" s="369">
        <v>1</v>
      </c>
      <c r="AQ472" s="369"/>
      <c r="AR472" s="369"/>
      <c r="AS472" s="369"/>
      <c r="AT472" s="369"/>
      <c r="AU472" s="369"/>
      <c r="AV472" s="369"/>
      <c r="AW472" s="369"/>
      <c r="AX472" s="369"/>
      <c r="AY472" s="369"/>
      <c r="AZ472" s="369"/>
      <c r="BA472" s="369"/>
      <c r="BB472" s="369"/>
      <c r="BC472" s="369"/>
      <c r="BD472" s="369"/>
      <c r="BE472" s="369"/>
      <c r="BF472" s="369"/>
      <c r="BG472" s="369">
        <v>1</v>
      </c>
      <c r="BH472" s="369"/>
      <c r="BI472" s="369"/>
      <c r="BK472" s="369"/>
      <c r="BL472" s="369"/>
    </row>
    <row r="473" ht="28.399999999999999" customHeight="1">
      <c r="E473" s="358" t="s">
        <v>1193</v>
      </c>
      <c r="F473" s="39" t="s">
        <v>825</v>
      </c>
      <c r="G473" s="358" t="s">
        <v>498</v>
      </c>
      <c r="H473" s="313">
        <v>28099</v>
      </c>
      <c r="I473" s="313">
        <v>28162</v>
      </c>
      <c r="J473" s="111" t="s">
        <v>1194</v>
      </c>
      <c r="L473" s="39" t="s">
        <v>447</v>
      </c>
      <c r="M473" s="39">
        <v>1</v>
      </c>
      <c r="P473" s="39">
        <v>1</v>
      </c>
      <c r="R473" s="39">
        <v>1</v>
      </c>
      <c r="T473" s="39">
        <v>1</v>
      </c>
      <c r="V473" s="39">
        <v>1</v>
      </c>
      <c r="X473" s="39">
        <v>1</v>
      </c>
      <c r="Y473" s="39">
        <v>1</v>
      </c>
      <c r="AC473" s="39">
        <v>1</v>
      </c>
      <c r="AE473" s="39">
        <v>1</v>
      </c>
      <c r="AF473" s="39">
        <v>1</v>
      </c>
      <c r="AG473" s="39">
        <v>1</v>
      </c>
      <c r="AH473" s="39">
        <v>1</v>
      </c>
      <c r="AI473" s="39">
        <v>1</v>
      </c>
      <c r="AJ473" s="39">
        <v>1</v>
      </c>
      <c r="AL473" s="39">
        <v>1</v>
      </c>
      <c r="AM473" s="39">
        <v>1</v>
      </c>
      <c r="AN473" s="39">
        <v>1</v>
      </c>
      <c r="AP473" s="39">
        <v>1</v>
      </c>
    </row>
    <row r="474" ht="41.75" customHeight="1">
      <c r="B474" s="39"/>
      <c r="C474" s="39"/>
      <c r="E474" s="358" t="s">
        <v>1195</v>
      </c>
      <c r="F474" s="39" t="s">
        <v>1058</v>
      </c>
      <c r="G474" s="358" t="s">
        <v>498</v>
      </c>
      <c r="H474" s="313">
        <v>28801</v>
      </c>
      <c r="I474" s="313">
        <v>28937</v>
      </c>
      <c r="J474" s="111" t="s">
        <v>1196</v>
      </c>
      <c r="L474" s="39" t="s">
        <v>325</v>
      </c>
      <c r="M474" s="39">
        <v>1</v>
      </c>
      <c r="P474" s="39">
        <v>1</v>
      </c>
      <c r="U474" s="39">
        <v>1</v>
      </c>
      <c r="W474" s="39">
        <v>1</v>
      </c>
      <c r="Y474" s="39">
        <v>1</v>
      </c>
      <c r="AD474" s="39">
        <v>1</v>
      </c>
      <c r="AE474" s="39">
        <v>1</v>
      </c>
      <c r="AF474" s="39">
        <v>1</v>
      </c>
      <c r="AG474" s="39">
        <v>1</v>
      </c>
      <c r="AH474" s="39">
        <v>1</v>
      </c>
      <c r="AL474" s="39">
        <v>1</v>
      </c>
      <c r="AM474" s="39">
        <v>1</v>
      </c>
      <c r="AN474" s="39">
        <v>1</v>
      </c>
      <c r="AP474" s="39">
        <v>1</v>
      </c>
    </row>
    <row r="475" s="395" customFormat="1" ht="28.399999999999999" customHeight="1">
      <c r="A475" s="396" t="s">
        <v>1197</v>
      </c>
      <c r="B475" s="395"/>
      <c r="C475" s="395"/>
      <c r="E475" s="397" t="s">
        <v>1198</v>
      </c>
      <c r="F475" s="395"/>
      <c r="G475" s="397" t="s">
        <v>498</v>
      </c>
      <c r="H475" s="398">
        <v>29068</v>
      </c>
      <c r="I475" s="398"/>
      <c r="J475" s="399" t="s">
        <v>1154</v>
      </c>
      <c r="L475" s="395"/>
    </row>
    <row r="476" ht="28.399999999999999" customHeight="1">
      <c r="B476" s="39" t="s">
        <v>513</v>
      </c>
      <c r="C476" s="39" t="s">
        <v>1199</v>
      </c>
      <c r="D476" s="39" t="s">
        <v>17</v>
      </c>
      <c r="E476" s="358" t="s">
        <v>1200</v>
      </c>
      <c r="F476" s="39" t="s">
        <v>504</v>
      </c>
      <c r="G476" s="358" t="s">
        <v>498</v>
      </c>
      <c r="H476" s="313">
        <v>13633</v>
      </c>
      <c r="I476" s="313">
        <v>13638</v>
      </c>
      <c r="J476" s="111" t="s">
        <v>1139</v>
      </c>
      <c r="L476" s="39" t="s">
        <v>325</v>
      </c>
      <c r="M476" s="39">
        <v>1</v>
      </c>
      <c r="N476" s="39"/>
      <c r="P476" s="39">
        <v>1</v>
      </c>
      <c r="V476" s="39">
        <v>1</v>
      </c>
      <c r="W476" s="39"/>
      <c r="Y476" s="39"/>
      <c r="Z476" s="39">
        <v>1</v>
      </c>
      <c r="AA476" s="39">
        <v>1</v>
      </c>
      <c r="AE476" s="39">
        <v>1</v>
      </c>
      <c r="AF476" s="39">
        <v>1</v>
      </c>
      <c r="AG476" s="39">
        <v>1</v>
      </c>
      <c r="AH476" s="39">
        <v>1</v>
      </c>
      <c r="AI476" s="39">
        <v>1</v>
      </c>
      <c r="AJ476" s="39"/>
      <c r="AL476" s="39">
        <v>1</v>
      </c>
      <c r="AM476" s="39">
        <v>1</v>
      </c>
      <c r="AN476" s="39"/>
      <c r="AP476" s="39">
        <v>1</v>
      </c>
    </row>
    <row r="477" ht="55.25" customHeight="1">
      <c r="E477" s="363" t="s">
        <v>1201</v>
      </c>
      <c r="F477" s="39" t="s">
        <v>504</v>
      </c>
      <c r="G477" s="363" t="s">
        <v>498</v>
      </c>
      <c r="H477" s="291">
        <v>13713</v>
      </c>
      <c r="I477" s="291">
        <v>13718</v>
      </c>
      <c r="J477" s="128" t="s">
        <v>1202</v>
      </c>
      <c r="L477" s="142" t="s">
        <v>325</v>
      </c>
      <c r="N477" s="39">
        <v>1</v>
      </c>
      <c r="P477" s="39">
        <v>1</v>
      </c>
      <c r="V477" s="39">
        <v>1</v>
      </c>
      <c r="Y477" s="39">
        <v>1</v>
      </c>
      <c r="AA477" s="39">
        <v>1</v>
      </c>
      <c r="AE477" s="39">
        <v>1</v>
      </c>
      <c r="AF477" s="39">
        <v>1</v>
      </c>
      <c r="AG477" s="39">
        <v>1</v>
      </c>
      <c r="AH477" s="39">
        <v>1</v>
      </c>
      <c r="AI477" s="39">
        <v>1</v>
      </c>
      <c r="AJ477" s="39">
        <v>1</v>
      </c>
      <c r="AL477" s="39">
        <v>1</v>
      </c>
      <c r="AM477" s="39">
        <v>1</v>
      </c>
      <c r="AN477" s="39">
        <v>1</v>
      </c>
      <c r="AP477" s="39">
        <v>1</v>
      </c>
      <c r="AQ477" s="39">
        <v>1</v>
      </c>
      <c r="AT477" s="39">
        <v>1</v>
      </c>
      <c r="AW477" s="39">
        <v>1</v>
      </c>
    </row>
    <row r="478" ht="28.399999999999999" customHeight="1">
      <c r="E478" s="111" t="s">
        <v>1203</v>
      </c>
      <c r="F478" s="39" t="s">
        <v>516</v>
      </c>
      <c r="G478" s="111" t="s">
        <v>498</v>
      </c>
      <c r="H478" s="313">
        <v>14168</v>
      </c>
      <c r="I478" s="313">
        <v>14171</v>
      </c>
      <c r="L478" s="39" t="s">
        <v>325</v>
      </c>
      <c r="N478" s="39">
        <v>1</v>
      </c>
      <c r="P478" s="39">
        <v>1</v>
      </c>
      <c r="V478" s="39">
        <v>1</v>
      </c>
      <c r="Z478" s="39">
        <v>1</v>
      </c>
      <c r="AA478" s="39">
        <v>1</v>
      </c>
      <c r="AE478" s="39">
        <v>1</v>
      </c>
      <c r="AG478" s="39">
        <v>1</v>
      </c>
      <c r="AI478" s="39">
        <v>1</v>
      </c>
      <c r="AM478" s="39">
        <v>1</v>
      </c>
      <c r="AN478" s="39">
        <v>1</v>
      </c>
      <c r="AO478" s="39">
        <v>1</v>
      </c>
    </row>
    <row r="479" ht="41.75" customHeight="1">
      <c r="B479" s="400"/>
      <c r="C479" s="400" t="s">
        <v>720</v>
      </c>
      <c r="E479" s="111" t="s">
        <v>1204</v>
      </c>
      <c r="F479" s="401" t="s">
        <v>572</v>
      </c>
      <c r="G479" s="111" t="s">
        <v>498</v>
      </c>
      <c r="H479" s="313">
        <v>14259</v>
      </c>
      <c r="I479" s="313">
        <v>14285</v>
      </c>
      <c r="J479" s="128"/>
      <c r="L479" s="39" t="s">
        <v>325</v>
      </c>
      <c r="M479" s="39">
        <v>1</v>
      </c>
      <c r="P479" s="39">
        <v>1</v>
      </c>
      <c r="W479" s="39">
        <v>1</v>
      </c>
      <c r="Z479" s="39">
        <v>1</v>
      </c>
      <c r="AA479" s="39">
        <v>1</v>
      </c>
      <c r="AE479" s="39">
        <v>1</v>
      </c>
      <c r="AF479" s="39">
        <v>1</v>
      </c>
      <c r="AG479" s="39">
        <v>1</v>
      </c>
      <c r="AI479" s="39">
        <v>1</v>
      </c>
      <c r="AJ479" s="39">
        <v>1</v>
      </c>
      <c r="AL479" s="39">
        <v>1</v>
      </c>
      <c r="AM479" s="39">
        <v>1</v>
      </c>
      <c r="AN479" s="39">
        <v>1</v>
      </c>
      <c r="AP479" s="39">
        <v>1</v>
      </c>
      <c r="AQ479" s="39">
        <v>1</v>
      </c>
      <c r="AX479" s="39">
        <v>1</v>
      </c>
      <c r="BC479" s="39">
        <v>1</v>
      </c>
    </row>
    <row r="480" ht="28.399999999999999" customHeight="1">
      <c r="B480" s="400"/>
      <c r="C480" s="400" t="s">
        <v>720</v>
      </c>
      <c r="E480" s="111" t="s">
        <v>1205</v>
      </c>
      <c r="F480" s="39" t="s">
        <v>502</v>
      </c>
      <c r="G480" s="111" t="s">
        <v>498</v>
      </c>
      <c r="H480" s="313">
        <v>14496</v>
      </c>
      <c r="I480" s="313">
        <v>14513</v>
      </c>
      <c r="L480" s="39" t="s">
        <v>325</v>
      </c>
      <c r="M480" s="39">
        <v>1</v>
      </c>
      <c r="P480" s="39">
        <v>1</v>
      </c>
      <c r="W480" s="39">
        <v>1</v>
      </c>
      <c r="Z480" s="39">
        <v>1</v>
      </c>
      <c r="AA480" s="39">
        <v>1</v>
      </c>
      <c r="AF480" s="39">
        <v>1</v>
      </c>
      <c r="AG480" s="39">
        <v>1</v>
      </c>
      <c r="AL480" s="39">
        <v>1</v>
      </c>
      <c r="AM480" s="39">
        <v>1</v>
      </c>
      <c r="AN480" s="39">
        <v>1</v>
      </c>
      <c r="AO480" s="39">
        <v>1</v>
      </c>
    </row>
    <row r="481" ht="14.25" customHeight="1">
      <c r="E481" s="111" t="s">
        <v>1206</v>
      </c>
      <c r="F481" s="39" t="s">
        <v>504</v>
      </c>
      <c r="G481" s="111" t="s">
        <v>498</v>
      </c>
      <c r="H481" s="313">
        <v>15544</v>
      </c>
      <c r="I481" s="313">
        <v>15549</v>
      </c>
      <c r="L481" s="39" t="s">
        <v>492</v>
      </c>
      <c r="N481" s="39">
        <v>1</v>
      </c>
      <c r="P481" s="39">
        <v>1</v>
      </c>
      <c r="V481" s="39">
        <v>1</v>
      </c>
      <c r="Z481" s="39">
        <v>1</v>
      </c>
      <c r="AA481" s="39">
        <v>1</v>
      </c>
      <c r="AE481" s="39">
        <v>1</v>
      </c>
      <c r="AF481" s="39">
        <v>1</v>
      </c>
      <c r="AG481" s="39">
        <v>1</v>
      </c>
      <c r="AH481" s="39">
        <v>1</v>
      </c>
      <c r="AI481" s="39">
        <v>1</v>
      </c>
      <c r="AJ481" s="39">
        <v>1</v>
      </c>
      <c r="AL481" s="39">
        <v>1</v>
      </c>
      <c r="AM481" s="39">
        <v>1</v>
      </c>
      <c r="AN481" s="39">
        <v>1</v>
      </c>
      <c r="AP481" s="39">
        <v>1</v>
      </c>
      <c r="AQ481" s="39">
        <v>1</v>
      </c>
      <c r="AU481" s="39">
        <v>1</v>
      </c>
      <c r="AX481" s="39">
        <v>1</v>
      </c>
      <c r="AZ481" s="39">
        <v>1</v>
      </c>
    </row>
    <row r="482" ht="28.399999999999999" customHeight="1">
      <c r="E482" s="111" t="s">
        <v>1207</v>
      </c>
      <c r="F482" s="39" t="s">
        <v>508</v>
      </c>
      <c r="G482" s="111" t="s">
        <v>498</v>
      </c>
      <c r="H482" s="313">
        <v>22239</v>
      </c>
      <c r="I482" s="313">
        <v>22257</v>
      </c>
      <c r="L482" s="39" t="s">
        <v>325</v>
      </c>
      <c r="U482" s="39">
        <v>1</v>
      </c>
      <c r="V482" s="39">
        <v>1</v>
      </c>
      <c r="X482" s="39">
        <v>1</v>
      </c>
      <c r="Z482" s="39">
        <v>1</v>
      </c>
      <c r="AD482" s="39">
        <v>1</v>
      </c>
      <c r="AE482" s="39">
        <v>1</v>
      </c>
      <c r="AF482" s="39">
        <v>1</v>
      </c>
      <c r="AJ482" s="39">
        <v>1</v>
      </c>
      <c r="AL482" s="39">
        <v>1</v>
      </c>
      <c r="AM482" s="39">
        <v>1</v>
      </c>
      <c r="AN482" s="39">
        <v>1</v>
      </c>
      <c r="AP482" s="39">
        <v>1</v>
      </c>
    </row>
    <row r="483" ht="14.25" customHeight="1">
      <c r="E483" s="111" t="s">
        <v>1208</v>
      </c>
      <c r="F483" s="39" t="s">
        <v>516</v>
      </c>
      <c r="G483" s="111" t="s">
        <v>498</v>
      </c>
      <c r="H483" s="313">
        <v>22587</v>
      </c>
      <c r="I483" s="313">
        <v>22590</v>
      </c>
      <c r="L483" s="39" t="s">
        <v>325</v>
      </c>
      <c r="M483" s="39">
        <v>1</v>
      </c>
      <c r="P483" s="39">
        <v>1</v>
      </c>
      <c r="W483" s="39">
        <v>1</v>
      </c>
      <c r="Z483" s="39">
        <v>1</v>
      </c>
      <c r="AA483" s="39">
        <v>1</v>
      </c>
      <c r="AG483" s="39">
        <v>1</v>
      </c>
      <c r="AH483" s="39">
        <v>1</v>
      </c>
      <c r="AI483" s="39">
        <v>1</v>
      </c>
      <c r="AL483" s="39">
        <v>1</v>
      </c>
      <c r="AM483" s="39">
        <v>1</v>
      </c>
      <c r="AN483" s="39">
        <v>1</v>
      </c>
      <c r="AP483" s="39">
        <v>1</v>
      </c>
    </row>
    <row r="484" ht="28.399999999999999" customHeight="1">
      <c r="B484" s="39"/>
      <c r="C484" s="39"/>
      <c r="E484" s="111" t="s">
        <v>1209</v>
      </c>
      <c r="F484" s="39" t="s">
        <v>504</v>
      </c>
      <c r="G484" s="111" t="s">
        <v>498</v>
      </c>
      <c r="H484" s="313">
        <v>22917</v>
      </c>
      <c r="I484" s="313">
        <v>22922</v>
      </c>
      <c r="J484" s="111"/>
      <c r="L484" s="39" t="s">
        <v>325</v>
      </c>
      <c r="M484" s="39">
        <v>1</v>
      </c>
      <c r="P484" s="39">
        <v>1</v>
      </c>
      <c r="V484" s="39">
        <v>1</v>
      </c>
      <c r="W484" s="39"/>
      <c r="Z484" s="39">
        <v>1</v>
      </c>
      <c r="AA484" s="39">
        <v>1</v>
      </c>
      <c r="AE484" s="39">
        <v>1</v>
      </c>
      <c r="AF484" s="39">
        <v>1</v>
      </c>
      <c r="AI484" s="39">
        <v>1</v>
      </c>
      <c r="AJ484" s="39">
        <v>1</v>
      </c>
      <c r="AL484" s="39">
        <v>1</v>
      </c>
      <c r="AM484" s="39">
        <v>1</v>
      </c>
      <c r="AN484" s="39"/>
      <c r="AP484" s="39">
        <v>1</v>
      </c>
      <c r="AQ484" s="39">
        <v>1</v>
      </c>
      <c r="AX484" s="39">
        <v>1</v>
      </c>
      <c r="BE484" s="39">
        <v>1</v>
      </c>
    </row>
    <row r="485" s="162" customFormat="1" ht="41.75" customHeight="1">
      <c r="E485" s="197" t="s">
        <v>1210</v>
      </c>
      <c r="F485" s="162" t="s">
        <v>541</v>
      </c>
      <c r="G485" s="197" t="s">
        <v>498</v>
      </c>
      <c r="H485" s="325">
        <v>23022</v>
      </c>
      <c r="I485" s="325">
        <v>23030</v>
      </c>
      <c r="J485" s="197"/>
      <c r="L485" s="162" t="s">
        <v>492</v>
      </c>
      <c r="Q485" s="162">
        <v>1</v>
      </c>
      <c r="R485" s="162">
        <v>1</v>
      </c>
      <c r="T485" s="162">
        <v>1</v>
      </c>
      <c r="V485" s="162">
        <v>1</v>
      </c>
      <c r="X485" s="162">
        <v>1</v>
      </c>
      <c r="Y485" s="162">
        <v>1</v>
      </c>
      <c r="AB485" s="162">
        <v>1</v>
      </c>
      <c r="AE485" s="162">
        <v>1</v>
      </c>
      <c r="AF485" s="162">
        <v>1</v>
      </c>
      <c r="AG485" s="162">
        <v>1</v>
      </c>
      <c r="AH485" s="162">
        <v>1</v>
      </c>
      <c r="AI485" s="162">
        <v>1</v>
      </c>
      <c r="AJ485" s="162">
        <v>1</v>
      </c>
      <c r="AL485" s="162">
        <v>1</v>
      </c>
      <c r="AM485" s="162">
        <v>1</v>
      </c>
      <c r="AN485" s="162">
        <v>1</v>
      </c>
      <c r="AP485" s="162">
        <v>1</v>
      </c>
      <c r="AQ485" s="162">
        <v>1</v>
      </c>
      <c r="AT485" s="162">
        <v>1</v>
      </c>
      <c r="AW485" s="162">
        <v>1</v>
      </c>
      <c r="BB485" s="162">
        <v>1</v>
      </c>
      <c r="BD485" s="162">
        <v>1</v>
      </c>
    </row>
    <row r="486" ht="28.399999999999999" customHeight="1">
      <c r="B486" s="39" t="s">
        <v>513</v>
      </c>
      <c r="C486" s="39" t="s">
        <v>1211</v>
      </c>
      <c r="D486" s="39" t="s">
        <v>17</v>
      </c>
      <c r="E486" s="111" t="s">
        <v>1212</v>
      </c>
      <c r="F486" s="39" t="s">
        <v>629</v>
      </c>
      <c r="G486" s="111" t="s">
        <v>498</v>
      </c>
      <c r="H486" s="313">
        <v>11940</v>
      </c>
      <c r="I486" s="313">
        <v>11983</v>
      </c>
      <c r="L486" s="39" t="s">
        <v>325</v>
      </c>
      <c r="M486" s="39">
        <v>1</v>
      </c>
      <c r="P486" s="39">
        <v>1</v>
      </c>
      <c r="V486" s="39">
        <v>1</v>
      </c>
      <c r="Z486" s="39">
        <v>1</v>
      </c>
      <c r="AA486" s="39">
        <v>1</v>
      </c>
      <c r="AE486" s="39">
        <v>1</v>
      </c>
      <c r="AF486" s="39">
        <v>1</v>
      </c>
      <c r="AG486" s="39">
        <v>1</v>
      </c>
      <c r="AI486" s="39">
        <v>1</v>
      </c>
      <c r="AL486" s="39">
        <v>1</v>
      </c>
      <c r="AM486" s="39">
        <v>1</v>
      </c>
      <c r="AN486" s="39">
        <v>1</v>
      </c>
      <c r="AP486" s="39">
        <v>1</v>
      </c>
    </row>
    <row r="487" ht="14.25" customHeight="1">
      <c r="E487" s="111" t="s">
        <v>1213</v>
      </c>
      <c r="F487" s="39" t="s">
        <v>541</v>
      </c>
      <c r="G487" s="111" t="s">
        <v>498</v>
      </c>
      <c r="H487" s="313">
        <v>12016</v>
      </c>
      <c r="I487" s="313">
        <v>12024</v>
      </c>
      <c r="L487" s="39" t="s">
        <v>325</v>
      </c>
      <c r="M487" s="39">
        <v>1</v>
      </c>
      <c r="P487" s="39">
        <v>1</v>
      </c>
      <c r="W487" s="39">
        <v>1</v>
      </c>
      <c r="Z487" s="39">
        <v>1</v>
      </c>
      <c r="AA487" s="39">
        <v>1</v>
      </c>
      <c r="AE487" s="39">
        <v>1</v>
      </c>
      <c r="AF487" s="39">
        <v>1</v>
      </c>
      <c r="AL487" s="39">
        <v>1</v>
      </c>
      <c r="AM487" s="39">
        <v>1</v>
      </c>
      <c r="AN487" s="39">
        <v>1</v>
      </c>
      <c r="AO487" s="39">
        <v>1</v>
      </c>
    </row>
    <row r="488" ht="28.399999999999999" customHeight="1">
      <c r="E488" s="111" t="s">
        <v>1214</v>
      </c>
      <c r="F488" s="39" t="s">
        <v>535</v>
      </c>
      <c r="G488" s="111" t="s">
        <v>498</v>
      </c>
      <c r="H488" s="313">
        <v>12254</v>
      </c>
      <c r="I488" s="313">
        <v>12263</v>
      </c>
      <c r="L488" s="39" t="s">
        <v>325</v>
      </c>
      <c r="M488" s="39">
        <v>1</v>
      </c>
      <c r="P488" s="39">
        <v>1</v>
      </c>
      <c r="W488" s="39">
        <v>1</v>
      </c>
      <c r="Z488" s="39">
        <v>1</v>
      </c>
      <c r="AA488" s="39">
        <v>1</v>
      </c>
      <c r="AE488" s="39">
        <v>1</v>
      </c>
      <c r="AF488" s="39">
        <v>1</v>
      </c>
      <c r="AI488" s="39">
        <v>1</v>
      </c>
      <c r="AL488" s="39">
        <v>1</v>
      </c>
      <c r="AM488" s="39">
        <v>1</v>
      </c>
      <c r="AP488" s="39">
        <v>1</v>
      </c>
    </row>
    <row r="489" ht="28.399999999999999" customHeight="1">
      <c r="E489" s="111" t="s">
        <v>1215</v>
      </c>
      <c r="F489" s="39" t="s">
        <v>1216</v>
      </c>
      <c r="G489" s="111" t="s">
        <v>498</v>
      </c>
      <c r="H489" s="313">
        <v>12300</v>
      </c>
      <c r="I489" s="313">
        <v>12370</v>
      </c>
      <c r="L489" s="39" t="s">
        <v>325</v>
      </c>
      <c r="M489" s="39">
        <v>1</v>
      </c>
      <c r="P489" s="39">
        <v>1</v>
      </c>
      <c r="U489" s="39">
        <v>1</v>
      </c>
      <c r="W489" s="39">
        <v>1</v>
      </c>
      <c r="X489" s="39">
        <v>1</v>
      </c>
      <c r="Z489" s="39">
        <v>1</v>
      </c>
      <c r="AD489" s="39">
        <v>1</v>
      </c>
      <c r="AE489" s="39">
        <v>1</v>
      </c>
      <c r="AF489" s="39">
        <v>1</v>
      </c>
      <c r="AG489" s="39">
        <v>1</v>
      </c>
      <c r="AI489" s="39">
        <v>1</v>
      </c>
      <c r="AJ489" s="39">
        <v>1</v>
      </c>
      <c r="AL489" s="39">
        <v>1</v>
      </c>
      <c r="AM489" s="39">
        <v>1</v>
      </c>
      <c r="AP489" s="39">
        <v>1</v>
      </c>
    </row>
    <row r="490" ht="14.25" customHeight="1">
      <c r="E490" s="111" t="s">
        <v>1217</v>
      </c>
      <c r="F490" s="39" t="s">
        <v>625</v>
      </c>
      <c r="G490" s="111" t="s">
        <v>498</v>
      </c>
      <c r="H490" s="313">
        <v>12633</v>
      </c>
      <c r="I490" s="313">
        <v>12640</v>
      </c>
      <c r="L490" s="39" t="s">
        <v>325</v>
      </c>
      <c r="M490" s="39">
        <v>1</v>
      </c>
      <c r="P490" s="39">
        <v>1</v>
      </c>
      <c r="W490" s="39">
        <v>1</v>
      </c>
      <c r="Z490" s="39">
        <v>1</v>
      </c>
      <c r="AA490" s="39">
        <v>1</v>
      </c>
      <c r="AE490" s="39">
        <v>1</v>
      </c>
      <c r="AF490" s="39">
        <v>1</v>
      </c>
      <c r="AJ490" s="39">
        <v>1</v>
      </c>
      <c r="AL490" s="39">
        <v>1</v>
      </c>
      <c r="AM490" s="39">
        <v>1</v>
      </c>
      <c r="AN490" s="39">
        <v>1</v>
      </c>
      <c r="AP490" s="39">
        <v>1</v>
      </c>
    </row>
    <row r="491" ht="41.75" customHeight="1">
      <c r="E491" s="111" t="s">
        <v>1218</v>
      </c>
      <c r="F491" s="39" t="s">
        <v>485</v>
      </c>
      <c r="G491" s="111" t="s">
        <v>498</v>
      </c>
      <c r="H491" s="313">
        <v>18333</v>
      </c>
      <c r="I491" s="313">
        <v>18393</v>
      </c>
      <c r="L491" s="39" t="s">
        <v>325</v>
      </c>
      <c r="M491" s="39">
        <v>1</v>
      </c>
      <c r="P491" s="39">
        <v>1</v>
      </c>
      <c r="U491" s="39">
        <v>1</v>
      </c>
      <c r="W491" s="39">
        <v>1</v>
      </c>
      <c r="Z491" s="39">
        <v>1</v>
      </c>
      <c r="AD491" s="39">
        <v>1</v>
      </c>
      <c r="AE491" s="39">
        <v>1</v>
      </c>
      <c r="AF491" s="39">
        <v>1</v>
      </c>
      <c r="AG491" s="39">
        <v>1</v>
      </c>
      <c r="AH491" s="39">
        <v>1</v>
      </c>
      <c r="AI491" s="39">
        <v>1</v>
      </c>
      <c r="AJ491" s="39">
        <v>1</v>
      </c>
      <c r="AL491" s="39">
        <v>1</v>
      </c>
      <c r="AM491" s="39">
        <v>1</v>
      </c>
      <c r="AN491" s="39">
        <v>1</v>
      </c>
      <c r="AP491" s="39">
        <v>1</v>
      </c>
      <c r="AQ491" s="39">
        <v>1</v>
      </c>
      <c r="AX491" s="39">
        <v>1</v>
      </c>
      <c r="BE491" s="39">
        <v>1</v>
      </c>
    </row>
    <row r="492" s="142" customFormat="1" ht="41.75" customHeight="1">
      <c r="E492" s="196" t="s">
        <v>1219</v>
      </c>
      <c r="F492" s="142" t="s">
        <v>494</v>
      </c>
      <c r="G492" s="196" t="s">
        <v>498</v>
      </c>
      <c r="H492" s="291">
        <v>18720</v>
      </c>
      <c r="I492" s="291">
        <v>18776</v>
      </c>
      <c r="J492" s="196"/>
      <c r="L492" s="142" t="s">
        <v>325</v>
      </c>
      <c r="M492" s="142">
        <v>1</v>
      </c>
      <c r="P492" s="142">
        <v>1</v>
      </c>
      <c r="W492" s="142">
        <v>1</v>
      </c>
      <c r="Z492" s="142">
        <v>1</v>
      </c>
      <c r="AA492" s="142">
        <v>1</v>
      </c>
      <c r="AE492" s="142">
        <v>1</v>
      </c>
      <c r="AF492" s="142">
        <v>1</v>
      </c>
      <c r="AJ492" s="142">
        <v>1</v>
      </c>
      <c r="AL492" s="142">
        <v>1</v>
      </c>
      <c r="AM492" s="142">
        <v>1</v>
      </c>
      <c r="AP492" s="142">
        <v>1</v>
      </c>
      <c r="AQ492" s="142">
        <v>1</v>
      </c>
      <c r="AT492" s="142">
        <v>1</v>
      </c>
      <c r="AX492" s="142">
        <v>1</v>
      </c>
    </row>
    <row r="493" s="142" customFormat="1" ht="41.75" customHeight="1">
      <c r="E493" s="363" t="s">
        <v>1220</v>
      </c>
      <c r="F493" s="142" t="s">
        <v>554</v>
      </c>
      <c r="G493" s="363" t="s">
        <v>498</v>
      </c>
      <c r="H493" s="291">
        <v>18810</v>
      </c>
      <c r="I493" s="291">
        <v>18860</v>
      </c>
      <c r="J493" s="196"/>
      <c r="L493" s="142" t="s">
        <v>492</v>
      </c>
      <c r="R493" s="142">
        <v>1</v>
      </c>
      <c r="T493" s="142">
        <v>1</v>
      </c>
      <c r="U493" s="142">
        <v>1</v>
      </c>
      <c r="V493" s="142">
        <v>1</v>
      </c>
      <c r="Y493" s="142">
        <v>1</v>
      </c>
      <c r="AD493" s="142">
        <v>1</v>
      </c>
      <c r="AE493" s="142">
        <v>1</v>
      </c>
      <c r="AF493" s="142">
        <v>1</v>
      </c>
      <c r="AG493" s="142">
        <v>1</v>
      </c>
      <c r="AH493" s="142">
        <v>1</v>
      </c>
      <c r="AI493" s="142">
        <v>1</v>
      </c>
      <c r="AJ493" s="142">
        <v>1</v>
      </c>
      <c r="AL493" s="142">
        <v>1</v>
      </c>
      <c r="AM493" s="142">
        <v>1</v>
      </c>
      <c r="AN493" s="142">
        <v>1</v>
      </c>
      <c r="AP493" s="142">
        <v>1</v>
      </c>
      <c r="AQ493" s="142">
        <v>1</v>
      </c>
      <c r="AT493" s="142">
        <v>1</v>
      </c>
      <c r="AX493" s="142">
        <v>1</v>
      </c>
    </row>
    <row r="494" ht="28.399999999999999" customHeight="1">
      <c r="E494" s="111" t="s">
        <v>1221</v>
      </c>
      <c r="F494" s="39" t="s">
        <v>625</v>
      </c>
      <c r="G494" s="111" t="s">
        <v>498</v>
      </c>
      <c r="H494" s="313">
        <v>19440</v>
      </c>
      <c r="I494" s="313">
        <v>19447</v>
      </c>
      <c r="L494" s="39" t="s">
        <v>325</v>
      </c>
      <c r="M494" s="39">
        <v>1</v>
      </c>
      <c r="P494" s="39">
        <v>1</v>
      </c>
      <c r="V494" s="39">
        <v>1</v>
      </c>
      <c r="Z494" s="39">
        <v>1</v>
      </c>
      <c r="AA494" s="39">
        <v>1</v>
      </c>
      <c r="AE494" s="39">
        <v>1</v>
      </c>
      <c r="AF494" s="39">
        <v>1</v>
      </c>
      <c r="AG494" s="39">
        <v>1</v>
      </c>
      <c r="AH494" s="39">
        <v>1</v>
      </c>
      <c r="AL494" s="39">
        <v>1</v>
      </c>
      <c r="AN494" s="39">
        <v>1</v>
      </c>
      <c r="AP494" s="39">
        <v>1</v>
      </c>
    </row>
    <row r="495" ht="109" customHeight="1">
      <c r="E495" s="196" t="s">
        <v>1222</v>
      </c>
      <c r="F495" s="39" t="s">
        <v>1223</v>
      </c>
      <c r="G495" s="196" t="s">
        <v>498</v>
      </c>
      <c r="H495" s="291">
        <v>19507</v>
      </c>
      <c r="I495" s="291">
        <v>20054</v>
      </c>
      <c r="L495" s="39" t="s">
        <v>66</v>
      </c>
      <c r="M495" s="39">
        <v>1</v>
      </c>
      <c r="P495" s="39">
        <v>1</v>
      </c>
      <c r="U495" s="39">
        <v>1</v>
      </c>
      <c r="W495" s="39">
        <v>1</v>
      </c>
      <c r="X495" s="39">
        <v>1</v>
      </c>
      <c r="Y495" s="39">
        <v>1</v>
      </c>
      <c r="AD495" s="39">
        <v>1</v>
      </c>
      <c r="AE495" s="39">
        <v>1</v>
      </c>
      <c r="AF495" s="39">
        <v>1</v>
      </c>
      <c r="AG495" s="39">
        <v>1</v>
      </c>
      <c r="AH495" s="39">
        <v>1</v>
      </c>
      <c r="AI495" s="39">
        <v>1</v>
      </c>
      <c r="AJ495" s="39">
        <v>1</v>
      </c>
      <c r="AL495" s="39">
        <v>1</v>
      </c>
      <c r="AM495" s="39">
        <v>1</v>
      </c>
      <c r="AN495" s="39">
        <v>1</v>
      </c>
      <c r="AP495" s="39">
        <v>1</v>
      </c>
      <c r="AQ495" s="39">
        <v>1</v>
      </c>
      <c r="AU495" s="39">
        <v>1</v>
      </c>
      <c r="AV495" s="39">
        <v>1</v>
      </c>
      <c r="AZ495" s="39">
        <v>1</v>
      </c>
      <c r="BI495" s="39">
        <v>1</v>
      </c>
    </row>
    <row r="496" ht="82" customHeight="1">
      <c r="E496" s="358" t="s">
        <v>1224</v>
      </c>
      <c r="F496" s="39" t="s">
        <v>1225</v>
      </c>
      <c r="G496" s="358" t="s">
        <v>498</v>
      </c>
      <c r="H496" s="313">
        <v>20435</v>
      </c>
      <c r="I496" s="313">
        <v>20622</v>
      </c>
      <c r="L496" s="39" t="s">
        <v>325</v>
      </c>
      <c r="O496" s="39">
        <v>1</v>
      </c>
      <c r="P496" s="39">
        <v>1</v>
      </c>
      <c r="U496" s="39">
        <v>1</v>
      </c>
      <c r="W496" s="39">
        <v>1</v>
      </c>
      <c r="X496" s="39">
        <v>1</v>
      </c>
      <c r="Z496" s="39">
        <v>1</v>
      </c>
      <c r="AD496" s="39">
        <v>1</v>
      </c>
      <c r="AE496" s="39">
        <v>1</v>
      </c>
      <c r="AF496" s="39">
        <v>1</v>
      </c>
      <c r="AG496" s="39">
        <v>1</v>
      </c>
      <c r="AH496" s="39">
        <v>1</v>
      </c>
      <c r="AI496" s="39">
        <v>1</v>
      </c>
      <c r="AJ496" s="39">
        <v>1</v>
      </c>
      <c r="AL496" s="39">
        <v>1</v>
      </c>
      <c r="AM496" s="39">
        <v>1</v>
      </c>
      <c r="AN496" s="39">
        <v>1</v>
      </c>
      <c r="AP496" s="39">
        <v>1</v>
      </c>
      <c r="AQ496" s="39">
        <v>1</v>
      </c>
      <c r="AU496" s="39">
        <v>1</v>
      </c>
      <c r="AX496" s="39">
        <v>1</v>
      </c>
      <c r="AZ496" s="39">
        <v>1</v>
      </c>
    </row>
    <row r="497" ht="55.25" customHeight="1">
      <c r="E497" s="363" t="s">
        <v>1226</v>
      </c>
      <c r="F497" s="39" t="s">
        <v>806</v>
      </c>
      <c r="G497" s="363" t="s">
        <v>498</v>
      </c>
      <c r="H497" s="291">
        <v>26198</v>
      </c>
      <c r="I497" s="291">
        <v>26260</v>
      </c>
      <c r="L497" s="39" t="s">
        <v>492</v>
      </c>
      <c r="Q497" s="39">
        <v>1</v>
      </c>
      <c r="T497" s="39">
        <v>1</v>
      </c>
      <c r="U497" s="39">
        <v>1</v>
      </c>
      <c r="V497" s="39">
        <v>1</v>
      </c>
      <c r="Y497" s="39">
        <v>1</v>
      </c>
      <c r="AB497" s="39">
        <v>1</v>
      </c>
      <c r="AD497" s="39">
        <v>1</v>
      </c>
      <c r="AE497" s="39">
        <v>1</v>
      </c>
      <c r="AF497" s="39">
        <v>1</v>
      </c>
      <c r="AG497" s="39">
        <v>1</v>
      </c>
      <c r="AH497" s="39">
        <v>1</v>
      </c>
      <c r="AI497" s="39">
        <v>1</v>
      </c>
      <c r="AJ497" s="39">
        <v>1</v>
      </c>
      <c r="AL497" s="39">
        <v>1</v>
      </c>
      <c r="AM497" s="39">
        <v>1</v>
      </c>
      <c r="AN497" s="39">
        <v>1</v>
      </c>
      <c r="AP497" s="39">
        <v>1</v>
      </c>
      <c r="AQ497" s="39">
        <v>1</v>
      </c>
      <c r="AU497" s="39">
        <v>1</v>
      </c>
      <c r="AZ497" s="39">
        <v>1</v>
      </c>
    </row>
    <row r="498" ht="41.75" customHeight="1">
      <c r="E498" s="363" t="s">
        <v>1227</v>
      </c>
      <c r="F498" s="39" t="s">
        <v>829</v>
      </c>
      <c r="G498" s="363" t="s">
        <v>498</v>
      </c>
      <c r="H498" s="291">
        <v>26582</v>
      </c>
      <c r="I498" s="291">
        <v>26604</v>
      </c>
      <c r="L498" s="39" t="s">
        <v>492</v>
      </c>
      <c r="M498" s="39">
        <v>1</v>
      </c>
      <c r="P498" s="39">
        <v>1</v>
      </c>
      <c r="V498" s="39">
        <v>1</v>
      </c>
      <c r="Y498" s="39">
        <v>1</v>
      </c>
      <c r="AA498" s="39">
        <v>1</v>
      </c>
      <c r="AE498" s="39">
        <v>1</v>
      </c>
      <c r="AF498" s="39">
        <v>1</v>
      </c>
      <c r="AG498" s="39">
        <v>1</v>
      </c>
      <c r="AH498" s="39">
        <v>1</v>
      </c>
      <c r="AI498" s="39">
        <v>1</v>
      </c>
      <c r="AJ498" s="39">
        <v>1</v>
      </c>
      <c r="AL498" s="39">
        <v>1</v>
      </c>
      <c r="AM498" s="39">
        <v>1</v>
      </c>
      <c r="AN498" s="39">
        <v>1</v>
      </c>
      <c r="AP498" s="39">
        <v>1</v>
      </c>
      <c r="AQ498" s="39">
        <v>1</v>
      </c>
      <c r="AW498" s="39">
        <v>1</v>
      </c>
      <c r="BA498" s="39">
        <v>1</v>
      </c>
    </row>
    <row r="499" ht="41.75" customHeight="1">
      <c r="E499" s="358" t="s">
        <v>1228</v>
      </c>
      <c r="F499" s="39" t="s">
        <v>1229</v>
      </c>
      <c r="G499" s="358" t="s">
        <v>498</v>
      </c>
      <c r="H499" s="313">
        <v>26641</v>
      </c>
      <c r="I499" s="313">
        <v>26737</v>
      </c>
      <c r="L499" s="39" t="s">
        <v>325</v>
      </c>
      <c r="O499" s="39">
        <v>1</v>
      </c>
      <c r="P499" s="39">
        <v>1</v>
      </c>
      <c r="U499" s="39">
        <v>1</v>
      </c>
      <c r="W499" s="39">
        <v>1</v>
      </c>
      <c r="X499" s="39">
        <v>1</v>
      </c>
      <c r="Z499" s="39">
        <v>1</v>
      </c>
      <c r="AD499" s="39">
        <v>1</v>
      </c>
      <c r="AE499" s="39">
        <v>1</v>
      </c>
      <c r="AF499" s="39">
        <v>1</v>
      </c>
      <c r="AG499" s="39">
        <v>1</v>
      </c>
      <c r="AI499" s="39">
        <v>1</v>
      </c>
      <c r="AJ499" s="39">
        <v>1</v>
      </c>
      <c r="AL499" s="39">
        <v>1</v>
      </c>
      <c r="AM499" s="39">
        <v>1</v>
      </c>
      <c r="AN499" s="39">
        <v>1</v>
      </c>
      <c r="AP499" s="39">
        <v>1</v>
      </c>
    </row>
    <row r="500" ht="28.399999999999999" customHeight="1">
      <c r="E500" s="358" t="s">
        <v>1230</v>
      </c>
      <c r="F500" s="39" t="s">
        <v>533</v>
      </c>
      <c r="G500" s="358" t="s">
        <v>498</v>
      </c>
      <c r="H500" s="313">
        <v>26793</v>
      </c>
      <c r="I500" s="313">
        <v>26814</v>
      </c>
      <c r="L500" s="39" t="s">
        <v>325</v>
      </c>
      <c r="U500" s="39">
        <v>1</v>
      </c>
      <c r="W500" s="39">
        <v>1</v>
      </c>
      <c r="X500" s="39">
        <v>1</v>
      </c>
      <c r="Z500" s="39">
        <v>1</v>
      </c>
      <c r="AA500" s="39">
        <v>1</v>
      </c>
      <c r="AE500" s="39">
        <v>1</v>
      </c>
      <c r="AF500" s="39">
        <v>1</v>
      </c>
      <c r="AI500" s="39">
        <v>1</v>
      </c>
      <c r="AJ500" s="39">
        <v>1</v>
      </c>
      <c r="AL500" s="39">
        <v>1</v>
      </c>
      <c r="AM500" s="39">
        <v>1</v>
      </c>
      <c r="AN500" s="39">
        <v>1</v>
      </c>
      <c r="AP500" s="39">
        <v>1</v>
      </c>
    </row>
    <row r="501" ht="28.399999999999999" customHeight="1">
      <c r="E501" s="363" t="s">
        <v>1231</v>
      </c>
      <c r="F501" s="39" t="s">
        <v>504</v>
      </c>
      <c r="G501" s="363" t="s">
        <v>498</v>
      </c>
      <c r="H501" s="291">
        <v>26866</v>
      </c>
      <c r="I501" s="291">
        <v>26871</v>
      </c>
      <c r="L501" s="39" t="s">
        <v>492</v>
      </c>
      <c r="S501" s="39">
        <v>1</v>
      </c>
      <c r="T501" s="39">
        <v>1</v>
      </c>
      <c r="V501" s="39">
        <v>1</v>
      </c>
      <c r="Y501" s="39">
        <v>1</v>
      </c>
      <c r="AC501" s="39">
        <v>1</v>
      </c>
      <c r="AE501" s="39">
        <v>1</v>
      </c>
      <c r="AF501" s="39">
        <v>1</v>
      </c>
      <c r="AJ501" s="39">
        <v>1</v>
      </c>
      <c r="AL501" s="39">
        <v>1</v>
      </c>
      <c r="AM501" s="39">
        <v>1</v>
      </c>
      <c r="AP501" s="39">
        <v>1</v>
      </c>
      <c r="AQ501" s="39">
        <v>1</v>
      </c>
      <c r="AS501" s="39">
        <v>1</v>
      </c>
      <c r="AW501" s="39">
        <v>1</v>
      </c>
      <c r="BB501" s="39">
        <v>1</v>
      </c>
    </row>
    <row r="502" ht="55.25" customHeight="1">
      <c r="E502" s="363" t="s">
        <v>1232</v>
      </c>
      <c r="F502" s="39" t="s">
        <v>882</v>
      </c>
      <c r="G502" s="363" t="s">
        <v>498</v>
      </c>
      <c r="H502" s="291">
        <v>26904</v>
      </c>
      <c r="I502" s="291">
        <v>27054</v>
      </c>
      <c r="L502" s="39" t="s">
        <v>325</v>
      </c>
      <c r="M502" s="39">
        <v>1</v>
      </c>
      <c r="P502" s="39">
        <v>1</v>
      </c>
      <c r="U502" s="39">
        <v>1</v>
      </c>
      <c r="W502" s="39">
        <v>1</v>
      </c>
      <c r="X502" s="39">
        <v>1</v>
      </c>
      <c r="Y502" s="39">
        <v>1</v>
      </c>
      <c r="AD502" s="39">
        <v>1</v>
      </c>
      <c r="AE502" s="39">
        <v>1</v>
      </c>
      <c r="AF502" s="39">
        <v>1</v>
      </c>
      <c r="AG502" s="39">
        <v>1</v>
      </c>
      <c r="AH502" s="39">
        <v>1</v>
      </c>
      <c r="AI502" s="39">
        <v>1</v>
      </c>
      <c r="AJ502" s="39">
        <v>1</v>
      </c>
      <c r="AL502" s="39">
        <v>1</v>
      </c>
      <c r="AM502" s="39">
        <v>1</v>
      </c>
      <c r="AN502" s="39">
        <v>1</v>
      </c>
      <c r="AP502" s="39">
        <v>1</v>
      </c>
    </row>
    <row r="503" ht="55.25" customHeight="1">
      <c r="E503" s="363" t="s">
        <v>1233</v>
      </c>
      <c r="F503" s="39" t="s">
        <v>717</v>
      </c>
      <c r="G503" s="363" t="s">
        <v>498</v>
      </c>
      <c r="H503" s="291">
        <v>27097</v>
      </c>
      <c r="I503" s="291">
        <v>27149</v>
      </c>
      <c r="L503" s="39" t="s">
        <v>325</v>
      </c>
      <c r="U503" s="39">
        <v>1</v>
      </c>
      <c r="W503" s="39">
        <v>1</v>
      </c>
      <c r="Y503" s="39">
        <v>1</v>
      </c>
      <c r="AD503" s="39">
        <v>1</v>
      </c>
      <c r="AE503" s="39">
        <v>1</v>
      </c>
      <c r="AF503" s="39">
        <v>1</v>
      </c>
      <c r="AG503" s="39">
        <v>1</v>
      </c>
      <c r="AH503" s="39">
        <v>1</v>
      </c>
      <c r="AI503" s="39">
        <v>1</v>
      </c>
      <c r="AJ503" s="39">
        <v>1</v>
      </c>
      <c r="AL503" s="39">
        <v>1</v>
      </c>
      <c r="AM503" s="39">
        <v>1</v>
      </c>
      <c r="AN503" s="39">
        <v>1</v>
      </c>
      <c r="AP503" s="39">
        <v>1</v>
      </c>
    </row>
    <row r="504" ht="68.650000000000006" customHeight="1">
      <c r="E504" s="363" t="s">
        <v>1234</v>
      </c>
      <c r="F504" s="39" t="s">
        <v>1235</v>
      </c>
      <c r="G504" s="363" t="s">
        <v>498</v>
      </c>
      <c r="H504" s="291">
        <v>27306</v>
      </c>
      <c r="I504" s="291">
        <v>27615</v>
      </c>
      <c r="L504" s="39" t="s">
        <v>492</v>
      </c>
      <c r="U504" s="39">
        <v>1</v>
      </c>
      <c r="W504" s="39">
        <v>1</v>
      </c>
      <c r="X504" s="39">
        <v>1</v>
      </c>
      <c r="Y504" s="39">
        <v>1</v>
      </c>
      <c r="AD504" s="39">
        <v>1</v>
      </c>
      <c r="AE504" s="39">
        <v>1</v>
      </c>
      <c r="AF504" s="39">
        <v>1</v>
      </c>
      <c r="AG504" s="39">
        <v>1</v>
      </c>
      <c r="AH504" s="39">
        <v>1</v>
      </c>
      <c r="AI504" s="39">
        <v>1</v>
      </c>
      <c r="AJ504" s="39">
        <v>1</v>
      </c>
      <c r="AL504" s="39">
        <v>1</v>
      </c>
      <c r="AM504" s="39">
        <v>1</v>
      </c>
      <c r="AN504" s="39">
        <v>1</v>
      </c>
      <c r="AP504" s="39">
        <v>1</v>
      </c>
      <c r="AQ504" s="39">
        <v>1</v>
      </c>
      <c r="AU504" s="39">
        <v>1</v>
      </c>
      <c r="AW504" s="39">
        <v>1</v>
      </c>
      <c r="BA504" s="39">
        <v>1</v>
      </c>
    </row>
    <row r="505" ht="14.25" customHeight="1">
      <c r="E505" s="358" t="s">
        <v>1236</v>
      </c>
      <c r="F505" s="39" t="s">
        <v>618</v>
      </c>
      <c r="G505" s="358" t="s">
        <v>498</v>
      </c>
      <c r="H505" s="313">
        <v>28014</v>
      </c>
      <c r="I505" s="313">
        <v>28020</v>
      </c>
      <c r="L505" s="39" t="s">
        <v>325</v>
      </c>
      <c r="M505" s="39">
        <v>1</v>
      </c>
      <c r="P505" s="39">
        <v>1</v>
      </c>
      <c r="W505" s="39">
        <v>1</v>
      </c>
      <c r="Y505" s="39">
        <v>1</v>
      </c>
      <c r="AA505" s="39">
        <v>1</v>
      </c>
      <c r="AE505" s="39">
        <v>1</v>
      </c>
      <c r="AF505" s="39">
        <v>1</v>
      </c>
      <c r="AL505" s="39">
        <v>1</v>
      </c>
      <c r="AM505" s="39">
        <v>1</v>
      </c>
      <c r="AN505" s="39">
        <v>1</v>
      </c>
      <c r="AP505" s="39">
        <v>1</v>
      </c>
    </row>
    <row r="506" ht="28.399999999999999" customHeight="1">
      <c r="E506" s="358" t="s">
        <v>1237</v>
      </c>
      <c r="F506" s="39" t="s">
        <v>1238</v>
      </c>
      <c r="G506" s="358" t="s">
        <v>498</v>
      </c>
      <c r="H506" s="313">
        <v>28294</v>
      </c>
      <c r="I506" s="313">
        <v>28440</v>
      </c>
      <c r="J506" s="111" t="s">
        <v>1239</v>
      </c>
      <c r="L506" s="39" t="s">
        <v>325</v>
      </c>
      <c r="O506" s="39">
        <v>1</v>
      </c>
      <c r="P506" s="39">
        <v>1</v>
      </c>
      <c r="V506" s="39">
        <v>1</v>
      </c>
      <c r="X506" s="39">
        <v>1</v>
      </c>
      <c r="Y506" s="39">
        <v>1</v>
      </c>
      <c r="AA506" s="39">
        <v>1</v>
      </c>
      <c r="AE506" s="39">
        <v>1</v>
      </c>
      <c r="AF506" s="39">
        <v>1</v>
      </c>
      <c r="AG506" s="39">
        <v>1</v>
      </c>
      <c r="AH506" s="39">
        <v>1</v>
      </c>
      <c r="AI506" s="39">
        <v>1</v>
      </c>
      <c r="AL506" s="39">
        <v>1</v>
      </c>
      <c r="AM506" s="39">
        <v>1</v>
      </c>
      <c r="AN506" s="39">
        <v>1</v>
      </c>
      <c r="AP506" s="39">
        <v>1</v>
      </c>
    </row>
    <row r="507" s="144" customFormat="1" ht="28.399999999999999" customHeight="1">
      <c r="E507" s="364" t="s">
        <v>1240</v>
      </c>
      <c r="F507" s="144" t="s">
        <v>542</v>
      </c>
      <c r="G507" s="364" t="s">
        <v>498</v>
      </c>
      <c r="H507" s="320">
        <v>28535</v>
      </c>
      <c r="I507" s="320">
        <v>28546</v>
      </c>
      <c r="J507" s="145"/>
      <c r="L507" s="144" t="s">
        <v>279</v>
      </c>
      <c r="O507" s="144">
        <v>1</v>
      </c>
      <c r="P507" s="144">
        <v>1</v>
      </c>
      <c r="V507" s="144">
        <v>1</v>
      </c>
      <c r="Z507" s="144">
        <v>1</v>
      </c>
      <c r="AA507" s="144">
        <v>1</v>
      </c>
      <c r="AE507" s="144">
        <v>1</v>
      </c>
      <c r="AF507" s="144">
        <v>1</v>
      </c>
      <c r="AG507" s="144">
        <v>1</v>
      </c>
      <c r="AH507" s="144">
        <v>1</v>
      </c>
      <c r="AI507" s="144">
        <v>1</v>
      </c>
      <c r="AL507" s="144">
        <v>1</v>
      </c>
      <c r="AM507" s="144">
        <v>1</v>
      </c>
      <c r="AP507" s="144">
        <v>1</v>
      </c>
    </row>
    <row r="508" ht="28.399999999999999" customHeight="1">
      <c r="B508" s="39" t="s">
        <v>513</v>
      </c>
      <c r="C508" s="39" t="s">
        <v>1241</v>
      </c>
      <c r="D508" s="39" t="s">
        <v>483</v>
      </c>
      <c r="E508" s="358" t="s">
        <v>1242</v>
      </c>
      <c r="F508" s="39" t="s">
        <v>618</v>
      </c>
      <c r="G508" s="358" t="s">
        <v>498</v>
      </c>
      <c r="H508" s="313">
        <v>26135</v>
      </c>
      <c r="I508" s="313">
        <v>26141</v>
      </c>
      <c r="J508" s="111"/>
      <c r="L508" s="39" t="s">
        <v>66</v>
      </c>
      <c r="M508" s="39">
        <v>1</v>
      </c>
      <c r="P508" s="39">
        <v>1</v>
      </c>
      <c r="W508" s="39">
        <v>1</v>
      </c>
      <c r="Z508" s="39">
        <v>1</v>
      </c>
      <c r="AA508" s="39">
        <v>1</v>
      </c>
      <c r="AE508" s="39">
        <v>1</v>
      </c>
      <c r="AF508" s="39">
        <v>1</v>
      </c>
      <c r="AL508" s="39"/>
      <c r="AM508" s="39"/>
      <c r="AN508" s="39">
        <v>1</v>
      </c>
      <c r="AO508" s="39">
        <v>1</v>
      </c>
      <c r="AP508" s="39">
        <v>1</v>
      </c>
      <c r="AU508" s="39">
        <v>1</v>
      </c>
      <c r="BE508" s="39">
        <v>1</v>
      </c>
      <c r="BF508" s="39">
        <v>1</v>
      </c>
    </row>
    <row r="509" ht="14.25" customHeight="1">
      <c r="B509" s="400"/>
      <c r="C509" s="400" t="s">
        <v>720</v>
      </c>
      <c r="E509" s="378" t="s">
        <v>1243</v>
      </c>
      <c r="F509" s="39" t="s">
        <v>510</v>
      </c>
      <c r="G509" s="378" t="s">
        <v>498</v>
      </c>
      <c r="H509" s="345">
        <v>26182</v>
      </c>
      <c r="I509" s="345">
        <v>26186</v>
      </c>
      <c r="J509" s="128" t="s">
        <v>916</v>
      </c>
      <c r="L509" s="316" t="s">
        <v>66</v>
      </c>
      <c r="AP509" s="39">
        <v>1</v>
      </c>
      <c r="AU509" s="39">
        <v>1</v>
      </c>
      <c r="BE509" s="39">
        <v>1</v>
      </c>
      <c r="BF509" s="39">
        <v>1</v>
      </c>
    </row>
    <row r="510" ht="95.5" customHeight="1">
      <c r="B510" s="400"/>
      <c r="C510" s="400" t="s">
        <v>720</v>
      </c>
      <c r="E510" s="378" t="s">
        <v>1244</v>
      </c>
      <c r="F510" s="39" t="s">
        <v>1245</v>
      </c>
      <c r="G510" s="378" t="s">
        <v>498</v>
      </c>
      <c r="H510" s="345">
        <v>26246</v>
      </c>
      <c r="I510" s="345">
        <v>26397</v>
      </c>
      <c r="J510" s="128" t="s">
        <v>1246</v>
      </c>
      <c r="K510" s="115" t="s">
        <v>1247</v>
      </c>
      <c r="L510" s="39" t="s">
        <v>1248</v>
      </c>
      <c r="N510" s="39">
        <v>1</v>
      </c>
      <c r="P510" s="39">
        <v>1</v>
      </c>
      <c r="Q510" s="39">
        <v>1</v>
      </c>
      <c r="T510" s="39">
        <v>1</v>
      </c>
      <c r="V510" s="39">
        <v>1</v>
      </c>
      <c r="X510" s="39">
        <v>1</v>
      </c>
      <c r="Y510" s="39">
        <v>1</v>
      </c>
      <c r="AA510" s="39">
        <v>1</v>
      </c>
      <c r="AE510" s="39">
        <v>1</v>
      </c>
      <c r="AF510" s="39">
        <v>1</v>
      </c>
      <c r="AG510" s="39">
        <v>1</v>
      </c>
      <c r="AH510" s="39">
        <v>1</v>
      </c>
      <c r="AJ510" s="39">
        <v>1</v>
      </c>
      <c r="AL510" s="39">
        <v>1</v>
      </c>
      <c r="AM510" s="39">
        <v>1</v>
      </c>
      <c r="AN510" s="39">
        <v>1</v>
      </c>
      <c r="AP510" s="39">
        <v>1</v>
      </c>
      <c r="AQ510" s="39">
        <v>1</v>
      </c>
      <c r="AU510" s="39">
        <v>1</v>
      </c>
      <c r="AX510" s="39">
        <v>1</v>
      </c>
      <c r="BF510" s="39">
        <v>1</v>
      </c>
    </row>
    <row r="511" ht="14.25" customHeight="1">
      <c r="E511" s="358" t="s">
        <v>1249</v>
      </c>
      <c r="F511" s="39" t="s">
        <v>829</v>
      </c>
      <c r="G511" s="358" t="s">
        <v>498</v>
      </c>
      <c r="H511" s="313">
        <v>26427</v>
      </c>
      <c r="I511" s="313">
        <v>26449</v>
      </c>
      <c r="L511" s="39" t="s">
        <v>66</v>
      </c>
      <c r="M511" s="39">
        <v>1</v>
      </c>
      <c r="W511" s="39">
        <v>1</v>
      </c>
      <c r="X511" s="39">
        <v>1</v>
      </c>
      <c r="Y511" s="39">
        <v>1</v>
      </c>
      <c r="AA511" s="39">
        <v>1</v>
      </c>
      <c r="AE511" s="39">
        <v>1</v>
      </c>
      <c r="AL511" s="39">
        <v>1</v>
      </c>
      <c r="AO511" s="39">
        <v>1</v>
      </c>
      <c r="BI511" s="39">
        <v>1</v>
      </c>
    </row>
    <row r="512" ht="55.25" customHeight="1">
      <c r="E512" s="358" t="s">
        <v>1250</v>
      </c>
      <c r="F512" s="39" t="s">
        <v>616</v>
      </c>
      <c r="G512" s="358" t="s">
        <v>498</v>
      </c>
      <c r="H512" s="313">
        <v>26587</v>
      </c>
      <c r="I512" s="313">
        <v>26623</v>
      </c>
      <c r="L512" s="39" t="s">
        <v>66</v>
      </c>
      <c r="N512" s="39">
        <v>1</v>
      </c>
      <c r="P512" s="39">
        <v>1</v>
      </c>
      <c r="V512" s="39">
        <v>1</v>
      </c>
      <c r="X512" s="39">
        <v>1</v>
      </c>
      <c r="Y512" s="39">
        <v>1</v>
      </c>
      <c r="AA512" s="39">
        <v>1</v>
      </c>
      <c r="AE512" s="39">
        <v>1</v>
      </c>
      <c r="AF512" s="39">
        <v>1</v>
      </c>
      <c r="AG512" s="39">
        <v>1</v>
      </c>
      <c r="AH512" s="39">
        <v>1</v>
      </c>
      <c r="AI512" s="39">
        <v>1</v>
      </c>
      <c r="AJ512" s="39">
        <v>1</v>
      </c>
      <c r="AL512" s="39">
        <v>1</v>
      </c>
      <c r="AM512" s="39">
        <v>1</v>
      </c>
      <c r="AN512" s="39">
        <v>1</v>
      </c>
      <c r="AP512" s="39">
        <v>1</v>
      </c>
      <c r="BI512" s="39">
        <v>1</v>
      </c>
    </row>
    <row r="513" ht="55.25" customHeight="1">
      <c r="B513" s="400"/>
      <c r="C513" s="400" t="s">
        <v>720</v>
      </c>
      <c r="E513" s="384" t="s">
        <v>1251</v>
      </c>
      <c r="F513" s="382" t="s">
        <v>1156</v>
      </c>
      <c r="G513" s="384" t="s">
        <v>498</v>
      </c>
      <c r="H513" s="385">
        <v>26674</v>
      </c>
      <c r="I513" s="385">
        <v>26756</v>
      </c>
      <c r="J513" s="386" t="s">
        <v>1252</v>
      </c>
      <c r="K513" s="382" t="s">
        <v>1253</v>
      </c>
      <c r="L513" s="113" t="s">
        <v>1248</v>
      </c>
      <c r="N513" s="39">
        <v>1</v>
      </c>
      <c r="P513" s="39">
        <v>1</v>
      </c>
      <c r="Q513" s="39">
        <v>1</v>
      </c>
      <c r="T513" s="39">
        <v>1</v>
      </c>
      <c r="V513" s="39">
        <v>1</v>
      </c>
      <c r="X513" s="39">
        <v>1</v>
      </c>
      <c r="AA513" s="39">
        <v>1</v>
      </c>
      <c r="AE513" s="39">
        <v>1</v>
      </c>
      <c r="AG513" s="39">
        <v>1</v>
      </c>
      <c r="AH513" s="39">
        <v>1</v>
      </c>
      <c r="AJ513" s="39">
        <v>1</v>
      </c>
      <c r="AL513" s="39">
        <v>1</v>
      </c>
      <c r="AM513" s="39">
        <v>1</v>
      </c>
      <c r="AN513" s="39">
        <v>1</v>
      </c>
      <c r="AP513" s="39">
        <v>1</v>
      </c>
      <c r="BF513" s="39">
        <v>1</v>
      </c>
      <c r="BG513" s="39">
        <v>1</v>
      </c>
    </row>
    <row r="514" ht="28.399999999999999" customHeight="1">
      <c r="B514" s="358"/>
      <c r="C514" s="358"/>
      <c r="D514" s="39"/>
      <c r="E514" s="358" t="s">
        <v>1254</v>
      </c>
      <c r="F514" s="39" t="s">
        <v>608</v>
      </c>
      <c r="G514" s="358" t="s">
        <v>498</v>
      </c>
      <c r="H514" s="313">
        <v>26792</v>
      </c>
      <c r="I514" s="313">
        <v>26804</v>
      </c>
      <c r="J514" s="111" t="s">
        <v>1255</v>
      </c>
      <c r="L514" s="39" t="s">
        <v>325</v>
      </c>
      <c r="M514" s="39">
        <v>1</v>
      </c>
      <c r="P514" s="39">
        <v>1</v>
      </c>
      <c r="W514" s="39">
        <v>1</v>
      </c>
      <c r="X514" s="39">
        <v>1</v>
      </c>
      <c r="Z514" s="39">
        <v>1</v>
      </c>
      <c r="AA514" s="39">
        <v>1</v>
      </c>
      <c r="AE514" s="39">
        <v>1</v>
      </c>
      <c r="AF514" s="39">
        <v>1</v>
      </c>
      <c r="AG514" s="39">
        <v>1</v>
      </c>
      <c r="AL514" s="39">
        <v>1</v>
      </c>
      <c r="AM514" s="39">
        <v>1</v>
      </c>
      <c r="AP514" s="39">
        <v>1</v>
      </c>
      <c r="AQ514" s="39">
        <v>1</v>
      </c>
      <c r="BE514" s="39">
        <v>1</v>
      </c>
      <c r="BH514" s="39">
        <v>1</v>
      </c>
    </row>
    <row r="515" ht="41.75" customHeight="1">
      <c r="B515" s="358"/>
      <c r="C515" s="358"/>
      <c r="D515" s="39"/>
      <c r="E515" s="363" t="s">
        <v>1256</v>
      </c>
      <c r="F515" s="39" t="s">
        <v>512</v>
      </c>
      <c r="G515" s="363" t="s">
        <v>498</v>
      </c>
      <c r="H515" s="291">
        <v>26884</v>
      </c>
      <c r="I515" s="291">
        <v>26898</v>
      </c>
      <c r="L515" s="39" t="s">
        <v>492</v>
      </c>
      <c r="N515" s="39">
        <v>1</v>
      </c>
      <c r="P515" s="39">
        <v>1</v>
      </c>
      <c r="V515" s="39">
        <v>1</v>
      </c>
      <c r="Y515" s="39">
        <v>1</v>
      </c>
      <c r="AA515" s="39">
        <v>1</v>
      </c>
      <c r="AE515" s="39">
        <v>1</v>
      </c>
      <c r="AF515" s="39">
        <v>1</v>
      </c>
      <c r="AG515" s="39">
        <v>1</v>
      </c>
      <c r="AH515" s="39">
        <v>1</v>
      </c>
      <c r="AJ515" s="39">
        <v>1</v>
      </c>
      <c r="AL515" s="39">
        <v>1</v>
      </c>
      <c r="AM515" s="39">
        <v>1</v>
      </c>
      <c r="AN515" s="39">
        <v>1</v>
      </c>
      <c r="AP515" s="39">
        <v>1</v>
      </c>
      <c r="BG515" s="39">
        <v>1</v>
      </c>
    </row>
    <row r="516" ht="55.25" customHeight="1">
      <c r="B516" s="400"/>
      <c r="C516" s="400" t="s">
        <v>279</v>
      </c>
      <c r="D516" s="39"/>
      <c r="E516" s="384" t="s">
        <v>1257</v>
      </c>
      <c r="F516" s="39" t="s">
        <v>535</v>
      </c>
      <c r="G516" s="384" t="s">
        <v>498</v>
      </c>
      <c r="H516" s="385">
        <v>27082</v>
      </c>
      <c r="I516" s="385">
        <v>27091</v>
      </c>
      <c r="L516" s="39" t="s">
        <v>325</v>
      </c>
      <c r="N516" s="39">
        <v>1</v>
      </c>
      <c r="P516" s="39">
        <v>1</v>
      </c>
      <c r="V516" s="39">
        <v>1</v>
      </c>
      <c r="Y516" s="39">
        <v>1</v>
      </c>
      <c r="AA516" s="39">
        <v>1</v>
      </c>
      <c r="AE516" s="39">
        <v>1</v>
      </c>
      <c r="AF516" s="39">
        <v>1</v>
      </c>
      <c r="AG516" s="39">
        <v>1</v>
      </c>
      <c r="AH516" s="39">
        <v>1</v>
      </c>
      <c r="AJ516" s="39">
        <v>1</v>
      </c>
      <c r="AK516" s="39">
        <v>1</v>
      </c>
      <c r="AL516" s="39">
        <v>1</v>
      </c>
      <c r="AM516" s="39">
        <v>1</v>
      </c>
      <c r="AN516" s="39">
        <v>1</v>
      </c>
      <c r="AP516" s="39">
        <v>1</v>
      </c>
      <c r="BH516" s="39">
        <v>1</v>
      </c>
    </row>
    <row r="517" ht="41.75" customHeight="1">
      <c r="B517" s="358"/>
      <c r="C517" s="358"/>
      <c r="D517" s="39"/>
      <c r="E517" s="358" t="s">
        <v>1258</v>
      </c>
      <c r="F517" s="39" t="s">
        <v>695</v>
      </c>
      <c r="G517" s="358" t="s">
        <v>498</v>
      </c>
      <c r="H517" s="313">
        <v>27146</v>
      </c>
      <c r="I517" s="313">
        <v>27201</v>
      </c>
      <c r="J517" s="111" t="s">
        <v>1259</v>
      </c>
      <c r="L517" s="39" t="s">
        <v>492</v>
      </c>
      <c r="O517" s="39">
        <v>1</v>
      </c>
      <c r="P517" s="39">
        <v>1</v>
      </c>
      <c r="V517" s="39">
        <v>1</v>
      </c>
      <c r="X517" s="39">
        <v>1</v>
      </c>
      <c r="Z517" s="39">
        <v>1</v>
      </c>
      <c r="AA517" s="39">
        <v>1</v>
      </c>
      <c r="AE517" s="39">
        <v>1</v>
      </c>
      <c r="AF517" s="39">
        <v>1</v>
      </c>
      <c r="AG517" s="39">
        <v>1</v>
      </c>
      <c r="AL517" s="39">
        <v>1</v>
      </c>
      <c r="AM517" s="39">
        <v>1</v>
      </c>
      <c r="AN517" s="39">
        <v>1</v>
      </c>
      <c r="AP517" s="39">
        <v>1</v>
      </c>
      <c r="AQ517" s="39">
        <v>1</v>
      </c>
      <c r="AW517" s="39">
        <v>1</v>
      </c>
      <c r="BA517" s="39">
        <v>1</v>
      </c>
    </row>
    <row r="518" ht="28.399999999999999" customHeight="1">
      <c r="B518" s="358"/>
      <c r="C518" s="358"/>
      <c r="D518" s="39"/>
      <c r="E518" s="358" t="s">
        <v>1260</v>
      </c>
      <c r="F518" s="39" t="s">
        <v>541</v>
      </c>
      <c r="G518" s="358" t="s">
        <v>498</v>
      </c>
      <c r="H518" s="313">
        <v>27300</v>
      </c>
      <c r="I518" s="313">
        <v>27308</v>
      </c>
      <c r="L518" s="39" t="s">
        <v>66</v>
      </c>
      <c r="M518" s="39">
        <v>1</v>
      </c>
      <c r="P518" s="39">
        <v>1</v>
      </c>
      <c r="W518" s="39">
        <v>1</v>
      </c>
      <c r="Z518" s="39">
        <v>1</v>
      </c>
      <c r="AA518" s="39">
        <v>1</v>
      </c>
      <c r="AE518" s="39">
        <v>1</v>
      </c>
      <c r="AF518" s="39">
        <v>1</v>
      </c>
      <c r="AG518" s="39">
        <v>1</v>
      </c>
      <c r="AK518" s="39">
        <v>1</v>
      </c>
      <c r="AL518" s="39">
        <v>1</v>
      </c>
      <c r="AN518" s="39">
        <v>1</v>
      </c>
      <c r="AP518" s="39">
        <v>1</v>
      </c>
      <c r="BI518" s="39">
        <v>1</v>
      </c>
    </row>
    <row r="519" ht="55.25" customHeight="1">
      <c r="B519" s="358"/>
      <c r="C519" s="358"/>
      <c r="D519" s="39"/>
      <c r="E519" s="358" t="s">
        <v>1261</v>
      </c>
      <c r="F519" s="39" t="s">
        <v>668</v>
      </c>
      <c r="G519" s="358" t="s">
        <v>498</v>
      </c>
      <c r="H519" s="313">
        <v>27405</v>
      </c>
      <c r="I519" s="313">
        <v>27445</v>
      </c>
      <c r="L519" s="39" t="s">
        <v>66</v>
      </c>
      <c r="N519" s="39">
        <v>1</v>
      </c>
      <c r="P519" s="39">
        <v>1</v>
      </c>
      <c r="V519" s="39">
        <v>1</v>
      </c>
      <c r="X519" s="39">
        <v>1</v>
      </c>
      <c r="Z519" s="39">
        <v>1</v>
      </c>
      <c r="AA519" s="39">
        <v>1</v>
      </c>
      <c r="AE519" s="39">
        <v>1</v>
      </c>
      <c r="AF519" s="39">
        <v>1</v>
      </c>
      <c r="AG519" s="39">
        <v>1</v>
      </c>
      <c r="AL519" s="39">
        <v>1</v>
      </c>
      <c r="AN519" s="39">
        <v>1</v>
      </c>
      <c r="AP519" s="39">
        <v>1</v>
      </c>
      <c r="AQ519" s="39">
        <v>1</v>
      </c>
      <c r="AU519" s="39">
        <v>1</v>
      </c>
      <c r="AV519" s="39">
        <v>1</v>
      </c>
      <c r="BF519" s="39">
        <v>1</v>
      </c>
    </row>
    <row r="520" ht="28.399999999999999" customHeight="1">
      <c r="B520" s="358"/>
      <c r="C520" s="358"/>
      <c r="D520" s="39"/>
      <c r="E520" s="358" t="s">
        <v>1262</v>
      </c>
      <c r="F520" s="39" t="s">
        <v>542</v>
      </c>
      <c r="G520" s="358" t="s">
        <v>498</v>
      </c>
      <c r="H520" s="313">
        <v>27482</v>
      </c>
      <c r="I520" s="313">
        <v>27493</v>
      </c>
      <c r="L520" s="39" t="s">
        <v>492</v>
      </c>
      <c r="M520" s="39">
        <v>1</v>
      </c>
      <c r="P520" s="39">
        <v>1</v>
      </c>
      <c r="W520" s="39">
        <v>1</v>
      </c>
      <c r="Z520" s="39">
        <v>1</v>
      </c>
      <c r="AA520" s="39">
        <v>1</v>
      </c>
      <c r="AE520" s="39">
        <v>1</v>
      </c>
      <c r="AF520" s="39">
        <v>1</v>
      </c>
      <c r="AL520" s="39">
        <v>1</v>
      </c>
      <c r="BG520" s="39">
        <v>1</v>
      </c>
    </row>
    <row r="521" ht="68.650000000000006" customHeight="1">
      <c r="B521" s="358"/>
      <c r="C521" s="358"/>
      <c r="D521" s="142"/>
      <c r="E521" s="384" t="s">
        <v>1263</v>
      </c>
      <c r="F521" s="39" t="s">
        <v>1264</v>
      </c>
      <c r="G521" s="384" t="s">
        <v>498</v>
      </c>
      <c r="H521" s="385">
        <v>27525</v>
      </c>
      <c r="I521" s="385">
        <v>27599</v>
      </c>
      <c r="J521" s="111" t="s">
        <v>1265</v>
      </c>
      <c r="K521" s="382" t="s">
        <v>1266</v>
      </c>
      <c r="L521" s="39" t="s">
        <v>1248</v>
      </c>
      <c r="M521" s="39"/>
      <c r="P521" s="39"/>
      <c r="Q521" s="39">
        <v>1</v>
      </c>
      <c r="T521" s="39">
        <v>1</v>
      </c>
      <c r="V521" s="39">
        <v>1</v>
      </c>
      <c r="W521" s="39"/>
      <c r="Y521" s="39">
        <v>1</v>
      </c>
      <c r="Z521" s="39"/>
      <c r="AA521" s="39"/>
      <c r="AB521" s="39">
        <v>1</v>
      </c>
      <c r="AE521" s="39">
        <v>1</v>
      </c>
      <c r="AF521" s="39">
        <v>1</v>
      </c>
      <c r="AG521" s="39">
        <v>1</v>
      </c>
      <c r="AH521" s="39">
        <v>1</v>
      </c>
      <c r="AI521" s="39">
        <v>1</v>
      </c>
      <c r="AJ521" s="39">
        <v>1</v>
      </c>
      <c r="AL521" s="39">
        <v>1</v>
      </c>
      <c r="AM521" s="39">
        <v>1</v>
      </c>
      <c r="AN521" s="39">
        <v>1</v>
      </c>
      <c r="AO521" s="39"/>
      <c r="AP521" s="39">
        <v>1</v>
      </c>
      <c r="AQ521" s="382">
        <v>1</v>
      </c>
      <c r="AW521" s="382">
        <v>1</v>
      </c>
      <c r="BA521" s="382">
        <v>1</v>
      </c>
      <c r="BG521" s="39"/>
      <c r="BI521" s="39">
        <v>1</v>
      </c>
    </row>
    <row r="522" ht="41.75" customHeight="1">
      <c r="B522" s="358"/>
      <c r="C522" s="358"/>
      <c r="D522" s="39"/>
      <c r="E522" s="363" t="s">
        <v>1267</v>
      </c>
      <c r="G522" s="363" t="s">
        <v>498</v>
      </c>
      <c r="H522" s="291">
        <v>27634</v>
      </c>
      <c r="I522" s="291"/>
      <c r="L522" s="39" t="s">
        <v>447</v>
      </c>
      <c r="S522" s="39">
        <v>1</v>
      </c>
      <c r="T522" s="39">
        <v>1</v>
      </c>
      <c r="V522" s="39">
        <v>1</v>
      </c>
      <c r="Y522" s="39">
        <v>1</v>
      </c>
      <c r="AC522" s="39">
        <v>1</v>
      </c>
      <c r="AE522" s="39">
        <v>1</v>
      </c>
      <c r="AF522" s="39">
        <v>1</v>
      </c>
      <c r="AG522" s="39">
        <v>1</v>
      </c>
      <c r="AH522" s="39">
        <v>1</v>
      </c>
      <c r="AI522" s="39">
        <v>1</v>
      </c>
      <c r="AJ522" s="39">
        <v>1</v>
      </c>
      <c r="AL522" s="39">
        <v>1</v>
      </c>
      <c r="AM522" s="39">
        <v>1</v>
      </c>
      <c r="AN522" s="39">
        <v>1</v>
      </c>
      <c r="AP522" s="39">
        <v>1</v>
      </c>
      <c r="AQ522" s="39">
        <v>1</v>
      </c>
      <c r="AS522" s="39">
        <v>1</v>
      </c>
      <c r="AX522" s="39">
        <v>1</v>
      </c>
    </row>
    <row r="523" ht="28.399999999999999" customHeight="1">
      <c r="B523" s="358"/>
      <c r="C523" s="358"/>
      <c r="D523" s="39" t="s">
        <v>1268</v>
      </c>
      <c r="E523" s="358" t="s">
        <v>1269</v>
      </c>
      <c r="F523" s="39" t="s">
        <v>504</v>
      </c>
      <c r="G523" s="358" t="s">
        <v>498</v>
      </c>
      <c r="H523" s="313">
        <v>28055</v>
      </c>
      <c r="I523" s="313">
        <v>28060</v>
      </c>
      <c r="L523" s="39" t="s">
        <v>325</v>
      </c>
      <c r="M523" s="39">
        <v>1</v>
      </c>
      <c r="P523" s="39">
        <v>1</v>
      </c>
      <c r="W523" s="39">
        <v>1</v>
      </c>
      <c r="Z523" s="39">
        <v>1</v>
      </c>
      <c r="AA523" s="39">
        <v>1</v>
      </c>
      <c r="AE523" s="39">
        <v>1</v>
      </c>
      <c r="AF523" s="39">
        <v>1</v>
      </c>
      <c r="AG523" s="39">
        <v>1</v>
      </c>
      <c r="AH523" s="39">
        <v>1</v>
      </c>
      <c r="AL523" s="39">
        <v>1</v>
      </c>
      <c r="AM523" s="39">
        <v>1</v>
      </c>
      <c r="AN523" s="39">
        <v>1</v>
      </c>
      <c r="AP523" s="39">
        <v>1</v>
      </c>
      <c r="AQ523" s="39">
        <v>1</v>
      </c>
      <c r="AW523" s="39">
        <v>1</v>
      </c>
      <c r="BC523" s="39">
        <v>1</v>
      </c>
    </row>
    <row r="524" ht="28.399999999999999" customHeight="1">
      <c r="B524" s="358"/>
      <c r="C524" s="358"/>
      <c r="D524" s="39"/>
      <c r="E524" s="358" t="s">
        <v>1270</v>
      </c>
      <c r="F524" s="39" t="s">
        <v>535</v>
      </c>
      <c r="G524" s="358" t="s">
        <v>498</v>
      </c>
      <c r="H524" s="313">
        <v>31851</v>
      </c>
      <c r="I524" s="313">
        <v>31860</v>
      </c>
      <c r="L524" s="39" t="s">
        <v>447</v>
      </c>
      <c r="M524" s="39">
        <v>1</v>
      </c>
      <c r="P524" s="39">
        <v>1</v>
      </c>
      <c r="V524" s="39">
        <v>1</v>
      </c>
      <c r="Z524" s="39">
        <v>1</v>
      </c>
      <c r="AA524" s="39">
        <v>1</v>
      </c>
      <c r="AE524" s="39">
        <v>1</v>
      </c>
      <c r="AF524" s="39">
        <v>1</v>
      </c>
      <c r="AG524" s="39">
        <v>1</v>
      </c>
      <c r="AH524" s="39">
        <v>1</v>
      </c>
      <c r="AI524" s="39">
        <v>1</v>
      </c>
      <c r="AJ524" s="39">
        <v>1</v>
      </c>
      <c r="AL524" s="39">
        <v>1</v>
      </c>
      <c r="AP524" s="39">
        <v>1</v>
      </c>
      <c r="AQ524" s="39">
        <v>1</v>
      </c>
      <c r="AW524" s="39">
        <v>1</v>
      </c>
      <c r="BC524" s="39">
        <v>1</v>
      </c>
    </row>
    <row r="525" ht="28.399999999999999" customHeight="1">
      <c r="B525" s="358"/>
      <c r="C525" s="358"/>
      <c r="D525" s="39"/>
      <c r="E525" s="358" t="s">
        <v>1271</v>
      </c>
      <c r="F525" s="39" t="s">
        <v>535</v>
      </c>
      <c r="G525" s="358" t="s">
        <v>498</v>
      </c>
      <c r="H525" s="313">
        <v>32086</v>
      </c>
      <c r="I525" s="313">
        <v>32095</v>
      </c>
      <c r="L525" s="39" t="s">
        <v>66</v>
      </c>
      <c r="N525" s="39">
        <v>1</v>
      </c>
      <c r="P525" s="39">
        <v>1</v>
      </c>
      <c r="V525" s="39">
        <v>1</v>
      </c>
      <c r="X525" s="39">
        <v>1</v>
      </c>
      <c r="Y525" s="39">
        <v>1</v>
      </c>
      <c r="AA525" s="39">
        <v>1</v>
      </c>
      <c r="AE525" s="39">
        <v>1</v>
      </c>
      <c r="AF525" s="39">
        <v>1</v>
      </c>
      <c r="AG525" s="39">
        <v>1</v>
      </c>
      <c r="AH525" s="39">
        <v>1</v>
      </c>
      <c r="AI525" s="39">
        <v>1</v>
      </c>
      <c r="AJ525" s="39">
        <v>1</v>
      </c>
      <c r="AL525" s="39">
        <v>1</v>
      </c>
      <c r="AM525" s="39">
        <v>1</v>
      </c>
      <c r="AN525" s="39">
        <v>1</v>
      </c>
      <c r="AP525" s="39">
        <v>1</v>
      </c>
      <c r="AQ525" s="39">
        <v>1</v>
      </c>
      <c r="AS525" s="39">
        <v>1</v>
      </c>
      <c r="AV525" s="39">
        <v>1</v>
      </c>
      <c r="BI525" s="39">
        <v>1</v>
      </c>
    </row>
    <row r="526" ht="41.75" customHeight="1">
      <c r="B526" s="358"/>
      <c r="C526" s="358"/>
      <c r="D526" s="39"/>
      <c r="E526" s="358" t="s">
        <v>1272</v>
      </c>
      <c r="F526" s="39" t="s">
        <v>541</v>
      </c>
      <c r="G526" s="358" t="s">
        <v>498</v>
      </c>
      <c r="H526" s="313">
        <v>32191</v>
      </c>
      <c r="I526" s="313">
        <v>32199</v>
      </c>
      <c r="L526" s="39" t="s">
        <v>325</v>
      </c>
      <c r="U526" s="39">
        <v>1</v>
      </c>
      <c r="W526" s="39">
        <v>1</v>
      </c>
      <c r="Y526" s="39">
        <v>1</v>
      </c>
      <c r="AD526" s="39">
        <v>1</v>
      </c>
      <c r="AE526" s="39">
        <v>1</v>
      </c>
      <c r="AF526" s="39">
        <v>1</v>
      </c>
      <c r="AL526" s="39">
        <v>1</v>
      </c>
      <c r="AM526" s="39">
        <v>1</v>
      </c>
      <c r="AN526" s="39">
        <v>1</v>
      </c>
      <c r="AO526" s="39">
        <v>1</v>
      </c>
    </row>
    <row r="527" ht="28.399999999999999" customHeight="1">
      <c r="B527" s="358"/>
      <c r="C527" s="358"/>
      <c r="D527" s="39"/>
      <c r="E527" s="358" t="s">
        <v>1273</v>
      </c>
      <c r="F527" s="39" t="s">
        <v>676</v>
      </c>
      <c r="G527" s="358" t="s">
        <v>498</v>
      </c>
      <c r="H527" s="313">
        <v>32220</v>
      </c>
      <c r="I527" s="313">
        <v>32266</v>
      </c>
      <c r="J527" s="111" t="s">
        <v>1265</v>
      </c>
      <c r="L527" s="39" t="s">
        <v>325</v>
      </c>
      <c r="M527" s="39">
        <v>1</v>
      </c>
      <c r="P527" s="39">
        <v>1</v>
      </c>
      <c r="W527" s="39">
        <v>1</v>
      </c>
      <c r="Y527" s="39">
        <v>1</v>
      </c>
      <c r="AD527" s="39">
        <v>1</v>
      </c>
      <c r="AE527" s="39">
        <v>1</v>
      </c>
      <c r="AF527" s="39">
        <v>1</v>
      </c>
      <c r="AG527" s="39">
        <v>1</v>
      </c>
      <c r="AH527" s="39">
        <v>1</v>
      </c>
      <c r="AJ527" s="39">
        <v>1</v>
      </c>
      <c r="AK527" s="39">
        <v>1</v>
      </c>
      <c r="AL527" s="39">
        <v>1</v>
      </c>
      <c r="AM527" s="39">
        <v>1</v>
      </c>
      <c r="AN527" s="39">
        <v>1</v>
      </c>
      <c r="AP527" s="39">
        <v>1</v>
      </c>
    </row>
    <row r="528" s="144" customFormat="1" ht="14.25" customHeight="1">
      <c r="B528" s="364"/>
      <c r="C528" s="364"/>
      <c r="E528" s="364" t="s">
        <v>1274</v>
      </c>
      <c r="F528" s="144" t="s">
        <v>510</v>
      </c>
      <c r="G528" s="364" t="s">
        <v>498</v>
      </c>
      <c r="H528" s="320">
        <v>32512</v>
      </c>
      <c r="I528" s="320">
        <v>32516</v>
      </c>
      <c r="J528" s="145"/>
      <c r="L528" s="144" t="s">
        <v>66</v>
      </c>
      <c r="BI528" s="144">
        <v>1</v>
      </c>
    </row>
    <row r="529" ht="68.650000000000006" customHeight="1">
      <c r="B529" s="39" t="s">
        <v>513</v>
      </c>
      <c r="C529" s="39" t="s">
        <v>1275</v>
      </c>
      <c r="D529" s="39" t="s">
        <v>218</v>
      </c>
      <c r="E529" s="402" t="s">
        <v>1276</v>
      </c>
      <c r="F529" s="39" t="s">
        <v>586</v>
      </c>
      <c r="G529" s="402" t="s">
        <v>498</v>
      </c>
      <c r="H529" s="277">
        <v>6526</v>
      </c>
      <c r="I529" s="277">
        <v>6620</v>
      </c>
      <c r="J529" s="111" t="s">
        <v>1151</v>
      </c>
      <c r="L529" s="39" t="s">
        <v>447</v>
      </c>
      <c r="M529" s="39">
        <v>1</v>
      </c>
      <c r="P529" s="39">
        <v>1</v>
      </c>
      <c r="V529" s="39">
        <v>1</v>
      </c>
      <c r="X529" s="39">
        <v>1</v>
      </c>
      <c r="Z529" s="39">
        <v>1</v>
      </c>
      <c r="AA529" s="39">
        <v>1</v>
      </c>
      <c r="AG529" s="39">
        <v>1</v>
      </c>
      <c r="AH529" s="39">
        <v>1</v>
      </c>
      <c r="AJ529" s="39">
        <v>1</v>
      </c>
      <c r="AL529" s="39">
        <v>1</v>
      </c>
      <c r="AM529" s="39">
        <v>1</v>
      </c>
      <c r="AN529" s="39">
        <v>1</v>
      </c>
      <c r="AP529" s="39">
        <v>1</v>
      </c>
      <c r="AQ529" s="39">
        <v>1</v>
      </c>
      <c r="AU529" s="39">
        <v>1</v>
      </c>
      <c r="AW529" s="39">
        <v>1</v>
      </c>
      <c r="BA529" s="39">
        <v>1</v>
      </c>
      <c r="BG529" s="39">
        <v>1</v>
      </c>
    </row>
    <row r="530" ht="28.399999999999999" customHeight="1">
      <c r="D530" s="39" t="s">
        <v>1277</v>
      </c>
      <c r="E530" s="358" t="s">
        <v>1278</v>
      </c>
      <c r="F530" s="39" t="s">
        <v>510</v>
      </c>
      <c r="G530" s="358" t="s">
        <v>498</v>
      </c>
      <c r="H530" s="313">
        <v>6692</v>
      </c>
      <c r="I530" s="313">
        <v>6696</v>
      </c>
      <c r="L530" s="39" t="s">
        <v>447</v>
      </c>
      <c r="M530" s="39">
        <v>1</v>
      </c>
      <c r="P530" s="39">
        <v>1</v>
      </c>
      <c r="V530" s="39">
        <v>1</v>
      </c>
      <c r="Z530" s="39">
        <v>1</v>
      </c>
      <c r="AA530" s="39">
        <v>1</v>
      </c>
      <c r="AG530" s="39">
        <v>1</v>
      </c>
      <c r="AH530" s="39">
        <v>1</v>
      </c>
      <c r="AI530" s="39">
        <v>1</v>
      </c>
      <c r="AM530" s="39">
        <v>1</v>
      </c>
      <c r="AN530" s="39">
        <v>1</v>
      </c>
      <c r="AO530" s="39">
        <v>1</v>
      </c>
      <c r="AQ530" s="39">
        <v>1</v>
      </c>
      <c r="AW530" s="39">
        <v>1</v>
      </c>
      <c r="BA530" s="39">
        <v>1</v>
      </c>
    </row>
    <row r="531" ht="41.75" customHeight="1">
      <c r="E531" s="358" t="s">
        <v>1279</v>
      </c>
      <c r="F531" s="39" t="s">
        <v>491</v>
      </c>
      <c r="G531" s="358" t="s">
        <v>498</v>
      </c>
      <c r="H531" s="313">
        <v>6931</v>
      </c>
      <c r="I531" s="313">
        <v>6956</v>
      </c>
      <c r="J531" s="111" t="s">
        <v>1069</v>
      </c>
      <c r="L531" s="39" t="s">
        <v>325</v>
      </c>
      <c r="N531" s="39">
        <v>1</v>
      </c>
      <c r="P531" s="39">
        <v>1</v>
      </c>
      <c r="V531" s="39">
        <v>1</v>
      </c>
      <c r="Y531" s="39">
        <v>1</v>
      </c>
      <c r="AA531" s="39">
        <v>1</v>
      </c>
      <c r="AE531" s="39">
        <v>1</v>
      </c>
      <c r="AF531" s="39">
        <v>1</v>
      </c>
      <c r="AG531" s="39">
        <v>1</v>
      </c>
      <c r="AH531" s="39">
        <v>1</v>
      </c>
      <c r="AI531" s="39">
        <v>1</v>
      </c>
      <c r="AJ531" s="39">
        <v>1</v>
      </c>
      <c r="AL531" s="39">
        <v>1</v>
      </c>
      <c r="AM531" s="39">
        <v>1</v>
      </c>
      <c r="AN531" s="39">
        <v>1</v>
      </c>
      <c r="AP531" s="39">
        <v>1</v>
      </c>
    </row>
    <row r="532" ht="28.399999999999999" customHeight="1">
      <c r="E532" s="358" t="s">
        <v>1280</v>
      </c>
      <c r="F532" s="39" t="s">
        <v>572</v>
      </c>
      <c r="G532" s="358" t="s">
        <v>498</v>
      </c>
      <c r="H532" s="313">
        <v>7040</v>
      </c>
      <c r="I532" s="313">
        <v>7066</v>
      </c>
      <c r="L532" s="39" t="s">
        <v>447</v>
      </c>
      <c r="M532" s="39">
        <v>1</v>
      </c>
      <c r="P532" s="39">
        <v>1</v>
      </c>
      <c r="S532" s="39">
        <v>1</v>
      </c>
      <c r="T532" s="39">
        <v>1</v>
      </c>
      <c r="W532" s="39">
        <v>1</v>
      </c>
      <c r="Z532" s="39">
        <v>1</v>
      </c>
      <c r="AC532" s="39">
        <v>1</v>
      </c>
      <c r="AE532" s="39">
        <v>1</v>
      </c>
      <c r="AJ532" s="39">
        <v>1</v>
      </c>
      <c r="AL532" s="39">
        <v>1</v>
      </c>
      <c r="AM532" s="39">
        <v>1</v>
      </c>
      <c r="AN532" s="39">
        <v>1</v>
      </c>
      <c r="AO532" s="39">
        <v>1</v>
      </c>
      <c r="AQ532" s="39">
        <v>1</v>
      </c>
      <c r="AW532" s="39">
        <v>1</v>
      </c>
      <c r="BA532" s="39">
        <v>1</v>
      </c>
    </row>
    <row r="533" ht="41.75" customHeight="1">
      <c r="E533" s="358" t="s">
        <v>1281</v>
      </c>
      <c r="F533" s="39" t="s">
        <v>485</v>
      </c>
      <c r="G533" s="358" t="s">
        <v>498</v>
      </c>
      <c r="H533" s="313">
        <v>7111</v>
      </c>
      <c r="I533" s="313">
        <v>7171</v>
      </c>
      <c r="J533" s="111" t="s">
        <v>1255</v>
      </c>
      <c r="L533" s="39" t="s">
        <v>447</v>
      </c>
      <c r="Q533" s="39">
        <v>1</v>
      </c>
      <c r="T533" s="39">
        <v>1</v>
      </c>
      <c r="V533" s="39">
        <v>1</v>
      </c>
      <c r="Y533" s="39">
        <v>1</v>
      </c>
      <c r="AB533" s="39">
        <v>1</v>
      </c>
      <c r="AG533" s="39">
        <v>1</v>
      </c>
      <c r="AH533" s="39">
        <v>1</v>
      </c>
      <c r="AJ533" s="39">
        <v>1</v>
      </c>
      <c r="AL533" s="39">
        <v>1</v>
      </c>
      <c r="AM533" s="39">
        <v>1</v>
      </c>
      <c r="AN533" s="39">
        <v>1</v>
      </c>
      <c r="AP533" s="39">
        <v>1</v>
      </c>
      <c r="AQ533" s="39">
        <v>1</v>
      </c>
      <c r="AW533" s="39">
        <v>1</v>
      </c>
      <c r="BA533" s="39">
        <v>1</v>
      </c>
    </row>
    <row r="534" ht="55.25" customHeight="1">
      <c r="E534" s="358" t="s">
        <v>1282</v>
      </c>
      <c r="F534" s="39" t="s">
        <v>1283</v>
      </c>
      <c r="G534" s="358" t="s">
        <v>498</v>
      </c>
      <c r="H534" s="313">
        <v>7304</v>
      </c>
      <c r="I534" s="313">
        <v>7401</v>
      </c>
      <c r="L534" s="39" t="s">
        <v>279</v>
      </c>
      <c r="M534" s="39">
        <v>1</v>
      </c>
      <c r="N534" s="39">
        <v>1</v>
      </c>
      <c r="P534" s="39">
        <v>1</v>
      </c>
      <c r="V534" s="39">
        <v>1</v>
      </c>
      <c r="Z534" s="39">
        <v>1</v>
      </c>
      <c r="AA534" s="39">
        <v>1</v>
      </c>
      <c r="AE534" s="39">
        <v>1</v>
      </c>
      <c r="AF534" s="39">
        <v>1</v>
      </c>
      <c r="AG534" s="39">
        <v>1</v>
      </c>
      <c r="AH534" s="39">
        <v>1</v>
      </c>
      <c r="AI534" s="39">
        <v>1</v>
      </c>
      <c r="AJ534" s="39">
        <v>1</v>
      </c>
      <c r="AL534" s="39">
        <v>1</v>
      </c>
      <c r="AM534" s="39">
        <v>1</v>
      </c>
      <c r="AN534" s="39">
        <v>1</v>
      </c>
      <c r="AP534" s="39">
        <v>1</v>
      </c>
      <c r="AQ534" s="39">
        <v>1</v>
      </c>
      <c r="AS534" s="39">
        <v>1</v>
      </c>
      <c r="AW534" s="39">
        <v>1</v>
      </c>
      <c r="BE534" s="39">
        <v>1</v>
      </c>
    </row>
    <row r="535" ht="14.25" customHeight="1">
      <c r="E535" s="358" t="s">
        <v>1284</v>
      </c>
      <c r="F535" s="39" t="s">
        <v>504</v>
      </c>
      <c r="G535" s="358" t="s">
        <v>498</v>
      </c>
      <c r="H535" s="313">
        <v>7435</v>
      </c>
      <c r="I535" s="313">
        <v>7440</v>
      </c>
      <c r="L535" s="39" t="s">
        <v>325</v>
      </c>
      <c r="M535" s="39">
        <v>1</v>
      </c>
      <c r="P535" s="39">
        <v>1</v>
      </c>
      <c r="W535" s="39">
        <v>1</v>
      </c>
      <c r="Y535" s="39">
        <v>1</v>
      </c>
      <c r="AA535" s="39">
        <v>1</v>
      </c>
      <c r="AK535" s="39">
        <v>1</v>
      </c>
      <c r="AL535" s="39">
        <v>1</v>
      </c>
      <c r="AM535" s="39">
        <v>1</v>
      </c>
      <c r="AN535" s="39">
        <v>1</v>
      </c>
      <c r="AO535" s="39">
        <v>1</v>
      </c>
    </row>
    <row r="536" ht="41.75" customHeight="1">
      <c r="E536" s="360" t="s">
        <v>1285</v>
      </c>
      <c r="F536" s="39" t="s">
        <v>829</v>
      </c>
      <c r="G536" s="360" t="s">
        <v>498</v>
      </c>
      <c r="H536" s="326">
        <v>7509</v>
      </c>
      <c r="I536" s="326">
        <v>7531</v>
      </c>
      <c r="L536" s="247" t="s">
        <v>325</v>
      </c>
      <c r="M536" s="39">
        <v>1</v>
      </c>
      <c r="P536" s="39">
        <v>1</v>
      </c>
      <c r="Q536" s="39">
        <v>1</v>
      </c>
      <c r="T536" s="39">
        <v>1</v>
      </c>
      <c r="V536" s="39">
        <v>1</v>
      </c>
      <c r="Y536" s="39">
        <v>1</v>
      </c>
      <c r="AA536" s="39">
        <v>1</v>
      </c>
      <c r="AE536" s="39">
        <v>1</v>
      </c>
      <c r="AF536" s="39">
        <v>1</v>
      </c>
      <c r="AG536" s="39">
        <v>1</v>
      </c>
      <c r="AH536" s="39">
        <v>1</v>
      </c>
      <c r="AI536" s="39">
        <v>1</v>
      </c>
      <c r="AJ536" s="39">
        <v>1</v>
      </c>
      <c r="AL536" s="39">
        <v>1</v>
      </c>
      <c r="AM536" s="39">
        <v>1</v>
      </c>
      <c r="AN536" s="39">
        <v>1</v>
      </c>
      <c r="AP536" s="39">
        <v>1</v>
      </c>
    </row>
    <row r="537" ht="41.75" customHeight="1">
      <c r="E537" s="358" t="s">
        <v>1286</v>
      </c>
      <c r="F537" s="39" t="s">
        <v>703</v>
      </c>
      <c r="G537" s="358" t="s">
        <v>498</v>
      </c>
      <c r="H537" s="313">
        <v>7591</v>
      </c>
      <c r="I537" s="313">
        <v>7632</v>
      </c>
      <c r="J537" s="111" t="s">
        <v>700</v>
      </c>
      <c r="L537" s="39" t="s">
        <v>447</v>
      </c>
      <c r="Q537" s="39">
        <v>1</v>
      </c>
      <c r="T537" s="39">
        <v>1</v>
      </c>
      <c r="V537" s="39">
        <v>1</v>
      </c>
      <c r="Y537" s="39">
        <v>1</v>
      </c>
      <c r="AB537" s="39">
        <v>1</v>
      </c>
      <c r="AE537" s="39">
        <v>1</v>
      </c>
      <c r="AF537" s="39">
        <v>1</v>
      </c>
      <c r="AG537" s="39">
        <v>1</v>
      </c>
      <c r="AH537" s="39">
        <v>1</v>
      </c>
      <c r="AI537" s="39">
        <v>1</v>
      </c>
      <c r="AJ537" s="39">
        <v>1</v>
      </c>
      <c r="AL537" s="39">
        <v>1</v>
      </c>
      <c r="AM537" s="39">
        <v>1</v>
      </c>
      <c r="AN537" s="39">
        <v>1</v>
      </c>
      <c r="AP537" s="39">
        <v>1</v>
      </c>
      <c r="AQ537" s="39">
        <v>1</v>
      </c>
      <c r="AW537" s="39">
        <v>1</v>
      </c>
      <c r="BA537" s="39">
        <v>1</v>
      </c>
    </row>
    <row r="538" s="144" customFormat="1" ht="41.75" customHeight="1">
      <c r="D538" s="144" t="s">
        <v>1287</v>
      </c>
      <c r="E538" s="364" t="s">
        <v>1288</v>
      </c>
      <c r="F538" s="144" t="s">
        <v>644</v>
      </c>
      <c r="G538" s="364" t="s">
        <v>498</v>
      </c>
      <c r="H538" s="320">
        <v>7739</v>
      </c>
      <c r="I538" s="320">
        <v>7766</v>
      </c>
      <c r="J538" s="145"/>
      <c r="L538" s="144" t="s">
        <v>447</v>
      </c>
      <c r="M538" s="144">
        <v>1</v>
      </c>
      <c r="P538" s="144">
        <v>1</v>
      </c>
      <c r="Q538" s="144">
        <v>1</v>
      </c>
      <c r="T538" s="144">
        <v>1</v>
      </c>
      <c r="V538" s="144">
        <v>1</v>
      </c>
      <c r="Z538" s="144">
        <v>1</v>
      </c>
      <c r="AA538" s="144">
        <v>1</v>
      </c>
      <c r="AE538" s="144">
        <v>1</v>
      </c>
      <c r="AG538" s="144">
        <v>1</v>
      </c>
      <c r="AL538" s="144">
        <v>1</v>
      </c>
      <c r="AM538" s="144">
        <v>1</v>
      </c>
      <c r="AN538" s="144">
        <v>1</v>
      </c>
      <c r="AP538" s="144">
        <v>1</v>
      </c>
      <c r="AQ538" s="144">
        <v>1</v>
      </c>
      <c r="AW538" s="144">
        <v>1</v>
      </c>
      <c r="BA538" s="144">
        <v>1</v>
      </c>
    </row>
    <row r="539" ht="68.650000000000006" customHeight="1">
      <c r="B539" s="39" t="s">
        <v>513</v>
      </c>
      <c r="C539" s="39" t="s">
        <v>1289</v>
      </c>
      <c r="D539" s="403" t="s">
        <v>17</v>
      </c>
      <c r="E539" s="358" t="s">
        <v>1290</v>
      </c>
      <c r="F539" s="39" t="s">
        <v>1291</v>
      </c>
      <c r="G539" s="358" t="s">
        <v>498</v>
      </c>
      <c r="H539" s="313">
        <v>13591</v>
      </c>
      <c r="I539" s="313">
        <v>13771</v>
      </c>
      <c r="J539" s="111" t="s">
        <v>1239</v>
      </c>
      <c r="L539" s="39" t="s">
        <v>447</v>
      </c>
      <c r="M539" s="39">
        <v>1</v>
      </c>
      <c r="P539" s="39">
        <v>1</v>
      </c>
      <c r="Q539" s="39">
        <v>1</v>
      </c>
      <c r="T539" s="39">
        <v>1</v>
      </c>
      <c r="V539" s="39">
        <v>1</v>
      </c>
      <c r="X539" s="39">
        <v>1</v>
      </c>
      <c r="Y539" s="39">
        <v>1</v>
      </c>
      <c r="AB539" s="39">
        <v>1</v>
      </c>
      <c r="AE539" s="39">
        <v>1</v>
      </c>
      <c r="AF539" s="39">
        <v>1</v>
      </c>
      <c r="AG539" s="39">
        <v>1</v>
      </c>
      <c r="AH539" s="39">
        <v>1</v>
      </c>
      <c r="AL539" s="39">
        <v>1</v>
      </c>
      <c r="AM539" s="39">
        <v>1</v>
      </c>
      <c r="AN539" s="39">
        <v>1</v>
      </c>
      <c r="AP539" s="39">
        <v>1</v>
      </c>
    </row>
    <row r="540" ht="28.399999999999999" customHeight="1">
      <c r="E540" s="358" t="s">
        <v>1292</v>
      </c>
      <c r="F540" s="111" t="s">
        <v>510</v>
      </c>
      <c r="G540" s="358" t="s">
        <v>498</v>
      </c>
      <c r="H540" s="313">
        <v>13928</v>
      </c>
      <c r="I540" s="313">
        <v>13932</v>
      </c>
      <c r="L540" s="39" t="s">
        <v>325</v>
      </c>
      <c r="M540" s="39">
        <v>1</v>
      </c>
      <c r="P540" s="39">
        <v>1</v>
      </c>
      <c r="V540" s="39">
        <v>1</v>
      </c>
      <c r="Y540" s="39">
        <v>1</v>
      </c>
      <c r="AA540" s="39">
        <v>1</v>
      </c>
      <c r="AG540" s="39">
        <v>1</v>
      </c>
      <c r="AL540" s="39">
        <v>1</v>
      </c>
      <c r="AM540" s="39">
        <v>1</v>
      </c>
      <c r="AN540" s="39">
        <v>1</v>
      </c>
      <c r="AO540" s="39">
        <v>1</v>
      </c>
    </row>
    <row r="541" ht="41.75" customHeight="1">
      <c r="D541" s="39" t="s">
        <v>1293</v>
      </c>
      <c r="E541" s="358" t="s">
        <v>1294</v>
      </c>
      <c r="F541" s="111" t="s">
        <v>1295</v>
      </c>
      <c r="G541" s="358" t="s">
        <v>498</v>
      </c>
      <c r="H541" s="313">
        <v>14374</v>
      </c>
      <c r="I541" s="313">
        <v>14442</v>
      </c>
      <c r="J541" s="111" t="s">
        <v>700</v>
      </c>
      <c r="K541" s="111"/>
      <c r="L541" s="111" t="s">
        <v>325</v>
      </c>
      <c r="M541" s="111">
        <v>1</v>
      </c>
      <c r="N541" s="111"/>
      <c r="O541" s="111"/>
      <c r="P541" s="39">
        <v>1</v>
      </c>
      <c r="U541" s="39">
        <v>1</v>
      </c>
      <c r="W541" s="39">
        <v>1</v>
      </c>
      <c r="X541" s="39">
        <v>1</v>
      </c>
      <c r="Y541" s="39">
        <v>1</v>
      </c>
      <c r="AD541" s="39">
        <v>1</v>
      </c>
      <c r="AE541" s="39">
        <v>1</v>
      </c>
      <c r="AF541" s="39">
        <v>1</v>
      </c>
      <c r="AG541" s="39">
        <v>1</v>
      </c>
      <c r="AH541" s="39">
        <v>1</v>
      </c>
      <c r="AI541" s="39">
        <v>1</v>
      </c>
      <c r="AJ541" s="39">
        <v>1</v>
      </c>
      <c r="AL541" s="39">
        <v>1</v>
      </c>
      <c r="AM541" s="39">
        <v>1</v>
      </c>
      <c r="AN541" s="39">
        <v>1</v>
      </c>
      <c r="AP541" s="39">
        <v>1</v>
      </c>
    </row>
    <row r="542" ht="41.75" customHeight="1">
      <c r="E542" s="363" t="s">
        <v>1296</v>
      </c>
      <c r="F542" s="39" t="s">
        <v>891</v>
      </c>
      <c r="G542" s="363" t="s">
        <v>498</v>
      </c>
      <c r="H542" s="291">
        <v>14971</v>
      </c>
      <c r="I542" s="291">
        <v>15005</v>
      </c>
      <c r="J542" s="111" t="s">
        <v>1297</v>
      </c>
      <c r="L542" s="39" t="s">
        <v>492</v>
      </c>
      <c r="Q542" s="39">
        <v>1</v>
      </c>
      <c r="T542" s="39">
        <v>1</v>
      </c>
      <c r="U542" s="39">
        <v>1</v>
      </c>
      <c r="V542" s="39">
        <v>1</v>
      </c>
      <c r="Y542" s="39">
        <v>1</v>
      </c>
      <c r="AD542" s="39">
        <v>1</v>
      </c>
      <c r="AE542" s="39">
        <v>1</v>
      </c>
      <c r="AF542" s="39">
        <v>1</v>
      </c>
      <c r="AG542" s="39">
        <v>1</v>
      </c>
      <c r="AH542" s="39">
        <v>1</v>
      </c>
      <c r="AI542" s="39">
        <v>1</v>
      </c>
      <c r="AJ542" s="39">
        <v>1</v>
      </c>
      <c r="AL542" s="39">
        <v>1</v>
      </c>
      <c r="AM542" s="39">
        <v>1</v>
      </c>
      <c r="AN542" s="39">
        <v>1</v>
      </c>
      <c r="AP542" s="39">
        <v>1</v>
      </c>
    </row>
    <row r="543" ht="28.399999999999999" customHeight="1">
      <c r="E543" s="111" t="s">
        <v>1298</v>
      </c>
      <c r="F543" s="39" t="s">
        <v>529</v>
      </c>
      <c r="G543" s="111" t="s">
        <v>498</v>
      </c>
      <c r="H543" s="313">
        <v>15901</v>
      </c>
      <c r="I543" s="313">
        <v>15921</v>
      </c>
      <c r="L543" s="39" t="s">
        <v>325</v>
      </c>
      <c r="M543" s="39">
        <v>1</v>
      </c>
      <c r="P543" s="39">
        <v>1</v>
      </c>
      <c r="W543" s="39">
        <v>1</v>
      </c>
      <c r="X543" s="39">
        <v>1</v>
      </c>
      <c r="Z543" s="39">
        <v>1</v>
      </c>
      <c r="AA543" s="39">
        <v>1</v>
      </c>
      <c r="AE543" s="39">
        <v>1</v>
      </c>
      <c r="AF543" s="39">
        <v>1</v>
      </c>
      <c r="AG543" s="39">
        <v>1</v>
      </c>
      <c r="AH543" s="39">
        <v>1</v>
      </c>
      <c r="AL543" s="39">
        <v>1</v>
      </c>
      <c r="AM543" s="39">
        <v>1</v>
      </c>
      <c r="AN543" s="39">
        <v>1</v>
      </c>
      <c r="AP543" s="39">
        <v>1</v>
      </c>
    </row>
    <row r="544" ht="28.399999999999999" customHeight="1">
      <c r="E544" s="111" t="s">
        <v>1299</v>
      </c>
      <c r="F544" s="111" t="s">
        <v>508</v>
      </c>
      <c r="G544" s="111" t="s">
        <v>498</v>
      </c>
      <c r="H544" s="313">
        <v>16086</v>
      </c>
      <c r="I544" s="313">
        <v>16104</v>
      </c>
      <c r="L544" s="39" t="s">
        <v>325</v>
      </c>
      <c r="M544" s="39">
        <v>1</v>
      </c>
      <c r="P544" s="39">
        <v>1</v>
      </c>
      <c r="W544" s="39">
        <v>1</v>
      </c>
      <c r="Z544" s="39">
        <v>1</v>
      </c>
      <c r="AD544" s="39">
        <v>1</v>
      </c>
      <c r="AE544" s="39">
        <v>1</v>
      </c>
      <c r="AF544" s="39">
        <v>1</v>
      </c>
      <c r="AL544" s="39">
        <v>1</v>
      </c>
      <c r="AM544" s="39">
        <v>1</v>
      </c>
      <c r="AN544" s="39">
        <v>1</v>
      </c>
      <c r="AO544" s="39">
        <v>1</v>
      </c>
    </row>
    <row r="545" ht="28.399999999999999" customHeight="1">
      <c r="E545" s="111" t="s">
        <v>1300</v>
      </c>
      <c r="F545" s="39" t="s">
        <v>608</v>
      </c>
      <c r="G545" s="111" t="s">
        <v>498</v>
      </c>
      <c r="H545" s="313">
        <v>16231</v>
      </c>
      <c r="I545" s="313">
        <v>16243</v>
      </c>
      <c r="L545" s="39" t="s">
        <v>325</v>
      </c>
      <c r="O545" s="39">
        <v>1</v>
      </c>
      <c r="P545" s="39">
        <v>1</v>
      </c>
      <c r="V545" s="39">
        <v>1</v>
      </c>
      <c r="X545" s="39">
        <v>1</v>
      </c>
      <c r="Z545" s="39">
        <v>1</v>
      </c>
      <c r="AA545" s="39">
        <v>1</v>
      </c>
      <c r="AE545" s="39">
        <v>1</v>
      </c>
      <c r="AF545" s="39">
        <v>1</v>
      </c>
      <c r="AG545" s="39">
        <v>1</v>
      </c>
      <c r="AH545" s="39">
        <v>1</v>
      </c>
      <c r="AI545" s="39">
        <v>1</v>
      </c>
      <c r="AL545" s="39">
        <v>1</v>
      </c>
      <c r="AM545" s="39">
        <v>1</v>
      </c>
      <c r="AN545" s="39">
        <v>1</v>
      </c>
      <c r="AP545" s="39">
        <v>1</v>
      </c>
    </row>
    <row r="546" s="144" customFormat="1" ht="28.399999999999999" customHeight="1">
      <c r="B546" s="404"/>
      <c r="C546" s="404" t="s">
        <v>1301</v>
      </c>
      <c r="D546" s="395" t="s">
        <v>1302</v>
      </c>
      <c r="E546" s="197" t="s">
        <v>1303</v>
      </c>
      <c r="F546" s="144" t="s">
        <v>572</v>
      </c>
      <c r="G546" s="197" t="s">
        <v>498</v>
      </c>
      <c r="H546" s="325">
        <v>16560</v>
      </c>
      <c r="I546" s="325">
        <v>16586</v>
      </c>
      <c r="J546" s="145"/>
      <c r="L546" s="144" t="s">
        <v>447</v>
      </c>
      <c r="R546" s="144">
        <v>1</v>
      </c>
      <c r="T546" s="144">
        <v>1</v>
      </c>
      <c r="V546" s="144">
        <v>1</v>
      </c>
      <c r="Y546" s="144">
        <v>1</v>
      </c>
      <c r="AD546" s="144">
        <v>1</v>
      </c>
      <c r="AE546" s="144">
        <v>1</v>
      </c>
      <c r="AF546" s="144">
        <v>1</v>
      </c>
      <c r="AG546" s="144">
        <v>1</v>
      </c>
      <c r="AH546" s="144">
        <v>1</v>
      </c>
      <c r="AI546" s="144">
        <v>1</v>
      </c>
      <c r="AJ546" s="144">
        <v>1</v>
      </c>
      <c r="AL546" s="144">
        <v>1</v>
      </c>
      <c r="AM546" s="144">
        <v>1</v>
      </c>
      <c r="AN546" s="144">
        <v>1</v>
      </c>
      <c r="AP546" s="144">
        <v>1</v>
      </c>
    </row>
    <row r="547" ht="28.399999999999999" customHeight="1">
      <c r="B547" s="39" t="s">
        <v>513</v>
      </c>
      <c r="C547" s="39" t="s">
        <v>1304</v>
      </c>
      <c r="D547" s="39" t="s">
        <v>73</v>
      </c>
      <c r="E547" s="358" t="s">
        <v>1305</v>
      </c>
      <c r="F547" s="39" t="s">
        <v>504</v>
      </c>
      <c r="G547" s="358" t="s">
        <v>498</v>
      </c>
      <c r="H547" s="313">
        <v>11142</v>
      </c>
      <c r="I547" s="313">
        <v>11147</v>
      </c>
      <c r="J547" s="111" t="s">
        <v>1306</v>
      </c>
      <c r="L547" s="39" t="s">
        <v>325</v>
      </c>
      <c r="M547" s="39">
        <v>1</v>
      </c>
      <c r="P547" s="39">
        <v>1</v>
      </c>
      <c r="W547" s="39">
        <v>1</v>
      </c>
      <c r="Z547" s="39">
        <v>1</v>
      </c>
      <c r="AA547" s="39">
        <v>1</v>
      </c>
      <c r="AG547" s="39">
        <v>1</v>
      </c>
      <c r="AH547" s="39">
        <v>1</v>
      </c>
      <c r="AL547" s="39">
        <v>1</v>
      </c>
      <c r="AM547" s="39">
        <v>1</v>
      </c>
      <c r="AN547" s="39">
        <v>1</v>
      </c>
      <c r="AP547" s="39">
        <v>1</v>
      </c>
      <c r="AQ547" s="39">
        <v>1</v>
      </c>
      <c r="AT547" s="39">
        <v>1</v>
      </c>
      <c r="AX547" s="39">
        <v>1</v>
      </c>
    </row>
    <row r="548" ht="28.399999999999999" customHeight="1">
      <c r="E548" s="111" t="s">
        <v>1307</v>
      </c>
      <c r="F548" s="39" t="s">
        <v>504</v>
      </c>
      <c r="G548" s="111" t="s">
        <v>498</v>
      </c>
      <c r="H548" s="313">
        <v>26602</v>
      </c>
      <c r="I548" s="313">
        <v>26607</v>
      </c>
      <c r="J548" s="111" t="s">
        <v>1306</v>
      </c>
      <c r="L548" s="39" t="s">
        <v>325</v>
      </c>
      <c r="M548" s="39">
        <v>1</v>
      </c>
      <c r="P548" s="39">
        <v>1</v>
      </c>
      <c r="W548" s="39">
        <v>1</v>
      </c>
      <c r="Y548" s="39">
        <v>1</v>
      </c>
      <c r="AA548" s="39">
        <v>1</v>
      </c>
      <c r="AG548" s="39">
        <v>1</v>
      </c>
      <c r="AH548" s="39">
        <v>1</v>
      </c>
      <c r="AL548" s="39">
        <v>1</v>
      </c>
      <c r="AM548" s="39">
        <v>1</v>
      </c>
      <c r="AN548" s="39">
        <v>1</v>
      </c>
      <c r="AP548" s="39">
        <v>1</v>
      </c>
    </row>
    <row r="549" ht="55.25" customHeight="1">
      <c r="D549" s="316"/>
      <c r="E549" s="196" t="s">
        <v>1308</v>
      </c>
      <c r="F549" s="39" t="s">
        <v>930</v>
      </c>
      <c r="G549" s="196" t="s">
        <v>498</v>
      </c>
      <c r="H549" s="291">
        <v>26680</v>
      </c>
      <c r="I549" s="291">
        <v>26729</v>
      </c>
      <c r="J549" s="111" t="s">
        <v>1309</v>
      </c>
      <c r="L549" s="39" t="s">
        <v>492</v>
      </c>
      <c r="N549" s="39">
        <v>1</v>
      </c>
      <c r="P549" s="39">
        <v>1</v>
      </c>
      <c r="U549" s="39">
        <v>1</v>
      </c>
      <c r="V549" s="39">
        <v>1</v>
      </c>
      <c r="Y549" s="39">
        <v>1</v>
      </c>
      <c r="AB549" s="39">
        <v>1</v>
      </c>
      <c r="AD549" s="39">
        <v>1</v>
      </c>
      <c r="AE549" s="39">
        <v>1</v>
      </c>
      <c r="AF549" s="39">
        <v>1</v>
      </c>
      <c r="AG549" s="39">
        <v>1</v>
      </c>
      <c r="AH549" s="39">
        <v>1</v>
      </c>
      <c r="AJ549" s="39">
        <v>1</v>
      </c>
      <c r="AL549" s="39">
        <v>1</v>
      </c>
      <c r="AM549" s="39">
        <v>1</v>
      </c>
      <c r="AN549" s="39">
        <v>1</v>
      </c>
      <c r="AP549" s="39">
        <v>1</v>
      </c>
      <c r="AQ549" s="39">
        <v>1</v>
      </c>
      <c r="AS549" s="39">
        <v>1</v>
      </c>
      <c r="AW549" s="39">
        <v>1</v>
      </c>
      <c r="BA549" s="39">
        <v>1</v>
      </c>
      <c r="BG549" s="39">
        <v>1</v>
      </c>
    </row>
    <row r="550" ht="28.399999999999999" customHeight="1">
      <c r="E550" s="196" t="s">
        <v>1310</v>
      </c>
      <c r="F550" s="39" t="s">
        <v>898</v>
      </c>
      <c r="G550" s="196" t="s">
        <v>498</v>
      </c>
      <c r="H550" s="291">
        <v>26843</v>
      </c>
      <c r="I550" s="291">
        <v>26862</v>
      </c>
      <c r="L550" s="39" t="s">
        <v>66</v>
      </c>
      <c r="U550" s="39">
        <v>1</v>
      </c>
      <c r="W550" s="39">
        <v>1</v>
      </c>
      <c r="X550" s="39">
        <v>1</v>
      </c>
      <c r="Y550" s="39">
        <v>1</v>
      </c>
      <c r="AD550" s="39">
        <v>1</v>
      </c>
      <c r="AG550" s="39">
        <v>1</v>
      </c>
      <c r="AH550" s="39">
        <v>1</v>
      </c>
      <c r="AK550" s="39">
        <v>1</v>
      </c>
      <c r="AL550" s="39">
        <v>1</v>
      </c>
      <c r="AM550" s="39">
        <v>1</v>
      </c>
      <c r="AN550" s="39">
        <v>1</v>
      </c>
      <c r="AP550" s="39">
        <v>1</v>
      </c>
      <c r="BI550" s="39">
        <v>1</v>
      </c>
    </row>
    <row r="551" ht="15.75" customHeight="1">
      <c r="B551" s="39"/>
      <c r="C551" s="39"/>
      <c r="E551" s="196" t="s">
        <v>1311</v>
      </c>
      <c r="F551" s="39" t="s">
        <v>535</v>
      </c>
      <c r="G551" s="196" t="s">
        <v>498</v>
      </c>
      <c r="H551" s="291">
        <v>26892</v>
      </c>
      <c r="I551" s="291">
        <v>26901</v>
      </c>
      <c r="J551" s="111"/>
      <c r="L551" s="39" t="s">
        <v>66</v>
      </c>
      <c r="M551" s="39">
        <v>1</v>
      </c>
      <c r="P551" s="39">
        <v>1</v>
      </c>
      <c r="W551" s="39">
        <v>1</v>
      </c>
      <c r="Z551" s="39">
        <v>1</v>
      </c>
      <c r="AA551" s="39">
        <v>1</v>
      </c>
      <c r="AG551" s="39">
        <v>1</v>
      </c>
      <c r="AL551" s="39">
        <v>1</v>
      </c>
      <c r="AO551" s="39">
        <v>1</v>
      </c>
      <c r="AQ551" s="39">
        <v>1</v>
      </c>
      <c r="AT551" s="39">
        <v>1</v>
      </c>
      <c r="AV551" s="39">
        <v>1</v>
      </c>
      <c r="BF551" s="39">
        <v>1</v>
      </c>
    </row>
    <row r="552" ht="28.399999999999999" customHeight="1">
      <c r="B552" s="39"/>
      <c r="C552" s="39"/>
      <c r="E552" s="196" t="s">
        <v>1312</v>
      </c>
      <c r="F552" s="39" t="s">
        <v>625</v>
      </c>
      <c r="G552" s="196" t="s">
        <v>498</v>
      </c>
      <c r="H552" s="291">
        <v>26977</v>
      </c>
      <c r="I552" s="291">
        <v>26984</v>
      </c>
      <c r="L552" s="39" t="s">
        <v>325</v>
      </c>
      <c r="M552" s="39">
        <v>1</v>
      </c>
      <c r="P552" s="39">
        <v>1</v>
      </c>
      <c r="V552" s="39">
        <v>1</v>
      </c>
      <c r="Y552" s="39">
        <v>1</v>
      </c>
      <c r="AA552" s="39">
        <v>1</v>
      </c>
      <c r="AE552" s="39">
        <v>1</v>
      </c>
      <c r="AF552" s="39">
        <v>1</v>
      </c>
      <c r="AG552" s="39">
        <v>1</v>
      </c>
      <c r="AH552" s="39">
        <v>1</v>
      </c>
      <c r="AJ552" s="39">
        <v>1</v>
      </c>
      <c r="AK552" s="39">
        <v>1</v>
      </c>
      <c r="AL552" s="39">
        <v>1</v>
      </c>
      <c r="AM552" s="39">
        <v>1</v>
      </c>
      <c r="AN552" s="39">
        <v>1</v>
      </c>
      <c r="AP552" s="39">
        <v>1</v>
      </c>
      <c r="AQ552" s="39">
        <v>1</v>
      </c>
      <c r="AX552" s="39">
        <v>1</v>
      </c>
      <c r="BE552" s="39">
        <v>1</v>
      </c>
    </row>
    <row r="553" s="144" customFormat="1" ht="41.75" customHeight="1">
      <c r="E553" s="197" t="s">
        <v>1313</v>
      </c>
      <c r="F553" s="144" t="s">
        <v>529</v>
      </c>
      <c r="G553" s="197" t="s">
        <v>498</v>
      </c>
      <c r="H553" s="325">
        <v>27081</v>
      </c>
      <c r="I553" s="325">
        <v>27101</v>
      </c>
      <c r="J553" s="145"/>
      <c r="L553" s="144" t="s">
        <v>325</v>
      </c>
      <c r="U553" s="144">
        <v>1</v>
      </c>
      <c r="W553" s="144">
        <v>1</v>
      </c>
      <c r="Y553" s="144">
        <v>1</v>
      </c>
      <c r="AD553" s="144">
        <v>1</v>
      </c>
      <c r="AE553" s="144">
        <v>1</v>
      </c>
      <c r="AF553" s="144">
        <v>1</v>
      </c>
      <c r="AG553" s="144">
        <v>1</v>
      </c>
      <c r="AH553" s="144">
        <v>1</v>
      </c>
      <c r="AL553" s="144">
        <v>1</v>
      </c>
      <c r="AM553" s="144">
        <v>1</v>
      </c>
      <c r="AN553" s="144">
        <v>1</v>
      </c>
      <c r="AO553" s="144">
        <v>1</v>
      </c>
    </row>
    <row r="554" ht="14.25" customHeight="1">
      <c r="B554" s="39" t="s">
        <v>513</v>
      </c>
      <c r="C554" s="39" t="s">
        <v>1314</v>
      </c>
      <c r="D554" s="39" t="s">
        <v>73</v>
      </c>
      <c r="E554" s="358" t="s">
        <v>1315</v>
      </c>
      <c r="F554" s="39" t="s">
        <v>625</v>
      </c>
      <c r="G554" s="358" t="s">
        <v>498</v>
      </c>
      <c r="H554" s="313">
        <v>690</v>
      </c>
      <c r="I554" s="313">
        <v>697</v>
      </c>
      <c r="L554" s="39" t="s">
        <v>325</v>
      </c>
      <c r="M554" s="39">
        <v>1</v>
      </c>
      <c r="P554" s="39">
        <v>1</v>
      </c>
      <c r="W554" s="39">
        <v>1</v>
      </c>
      <c r="Z554" s="39">
        <v>1</v>
      </c>
      <c r="AA554" s="39">
        <v>1</v>
      </c>
      <c r="AE554" s="39">
        <v>1</v>
      </c>
      <c r="AF554" s="39">
        <v>1</v>
      </c>
      <c r="AL554" s="39">
        <v>1</v>
      </c>
      <c r="AM554" s="39">
        <v>1</v>
      </c>
      <c r="AN554" s="39">
        <v>1</v>
      </c>
      <c r="AP554" s="39">
        <v>1</v>
      </c>
    </row>
    <row r="555" ht="14.25" customHeight="1">
      <c r="E555" s="358" t="s">
        <v>1316</v>
      </c>
      <c r="F555" s="39" t="s">
        <v>546</v>
      </c>
      <c r="G555" s="358" t="s">
        <v>498</v>
      </c>
      <c r="H555" s="313">
        <v>8761</v>
      </c>
      <c r="I555" s="313">
        <v>8771</v>
      </c>
      <c r="L555" s="39" t="s">
        <v>66</v>
      </c>
      <c r="M555" s="39">
        <v>1</v>
      </c>
      <c r="P555" s="39">
        <v>1</v>
      </c>
      <c r="W555" s="39">
        <v>1</v>
      </c>
      <c r="Y555" s="39">
        <v>1</v>
      </c>
      <c r="AA555" s="39">
        <v>1</v>
      </c>
      <c r="AE555" s="39">
        <v>1</v>
      </c>
      <c r="AF555" s="39">
        <v>1</v>
      </c>
      <c r="AL555" s="39">
        <v>1</v>
      </c>
      <c r="AM555" s="39">
        <v>1</v>
      </c>
      <c r="AN555" s="39">
        <v>1</v>
      </c>
      <c r="AO555" s="39">
        <v>1</v>
      </c>
      <c r="BF555" s="39">
        <v>1</v>
      </c>
    </row>
    <row r="556" ht="28.399999999999999" customHeight="1">
      <c r="E556" s="111" t="s">
        <v>1317</v>
      </c>
      <c r="F556" s="39" t="s">
        <v>504</v>
      </c>
      <c r="G556" s="111" t="s">
        <v>498</v>
      </c>
      <c r="H556" s="313">
        <v>9393</v>
      </c>
      <c r="I556" s="313">
        <v>9398</v>
      </c>
      <c r="L556" s="39" t="s">
        <v>325</v>
      </c>
      <c r="M556" s="39">
        <v>1</v>
      </c>
      <c r="P556" s="39">
        <v>1</v>
      </c>
      <c r="V556" s="39">
        <v>1</v>
      </c>
      <c r="Y556" s="39">
        <v>1</v>
      </c>
      <c r="AA556" s="39">
        <v>1</v>
      </c>
      <c r="AG556" s="39">
        <v>1</v>
      </c>
      <c r="AH556" s="39">
        <v>1</v>
      </c>
      <c r="AL556" s="39">
        <v>1</v>
      </c>
      <c r="AM556" s="39">
        <v>1</v>
      </c>
      <c r="AN556" s="39">
        <v>1</v>
      </c>
      <c r="AP556" s="39">
        <v>1</v>
      </c>
    </row>
    <row r="557" ht="28.399999999999999" customHeight="1">
      <c r="E557" s="358" t="s">
        <v>1318</v>
      </c>
      <c r="F557" s="39" t="s">
        <v>535</v>
      </c>
      <c r="G557" s="358" t="s">
        <v>498</v>
      </c>
      <c r="H557" s="313">
        <v>17876</v>
      </c>
      <c r="I557" s="313">
        <v>17885</v>
      </c>
      <c r="L557" s="39" t="s">
        <v>325</v>
      </c>
      <c r="M557" s="39">
        <v>1</v>
      </c>
      <c r="P557" s="39">
        <v>1</v>
      </c>
      <c r="W557" s="39">
        <v>1</v>
      </c>
      <c r="Z557" s="39">
        <v>1</v>
      </c>
      <c r="AA557" s="39">
        <v>1</v>
      </c>
      <c r="AE557" s="39">
        <v>1</v>
      </c>
      <c r="AF557" s="39">
        <v>1</v>
      </c>
      <c r="AG557" s="39">
        <v>1</v>
      </c>
      <c r="AH557" s="39">
        <v>1</v>
      </c>
      <c r="AI557" s="39">
        <v>1</v>
      </c>
      <c r="AJ557" s="39">
        <v>1</v>
      </c>
      <c r="AL557" s="39">
        <v>1</v>
      </c>
      <c r="AM557" s="39">
        <v>1</v>
      </c>
      <c r="AN557" s="39">
        <v>1</v>
      </c>
      <c r="AP557" s="39">
        <v>1</v>
      </c>
    </row>
    <row r="558" ht="41.75" customHeight="1">
      <c r="B558" s="39"/>
      <c r="C558" s="39"/>
      <c r="E558" s="111" t="s">
        <v>1319</v>
      </c>
      <c r="F558" s="39" t="s">
        <v>516</v>
      </c>
      <c r="G558" s="111" t="s">
        <v>498</v>
      </c>
      <c r="H558" s="313">
        <v>22969</v>
      </c>
      <c r="I558" s="313">
        <v>22972</v>
      </c>
      <c r="J558" s="111"/>
      <c r="L558" s="39" t="s">
        <v>447</v>
      </c>
      <c r="M558" s="39">
        <v>1</v>
      </c>
      <c r="P558" s="39">
        <v>1</v>
      </c>
      <c r="W558" s="39">
        <v>1</v>
      </c>
      <c r="Z558" s="39">
        <v>1</v>
      </c>
      <c r="AA558" s="39">
        <v>1</v>
      </c>
      <c r="AE558" s="39">
        <v>1</v>
      </c>
      <c r="AF558" s="39">
        <v>1</v>
      </c>
      <c r="AG558" s="39">
        <v>1</v>
      </c>
      <c r="AH558" s="39">
        <v>1</v>
      </c>
      <c r="AI558" s="39"/>
      <c r="AJ558" s="39"/>
      <c r="AL558" s="39">
        <v>1</v>
      </c>
      <c r="AM558" s="39">
        <v>1</v>
      </c>
      <c r="AN558" s="39">
        <v>1</v>
      </c>
      <c r="AP558" s="39">
        <v>1</v>
      </c>
      <c r="BG558" s="39">
        <v>1</v>
      </c>
    </row>
    <row r="559" ht="28.399999999999999" customHeight="1">
      <c r="B559" s="39"/>
      <c r="C559" s="39"/>
      <c r="E559" s="111" t="s">
        <v>1320</v>
      </c>
      <c r="F559" s="39" t="s">
        <v>535</v>
      </c>
      <c r="G559" s="111" t="s">
        <v>498</v>
      </c>
      <c r="H559" s="313">
        <v>23002</v>
      </c>
      <c r="I559" s="313">
        <v>23011</v>
      </c>
      <c r="J559" s="111"/>
      <c r="L559" s="39" t="s">
        <v>66</v>
      </c>
      <c r="M559" s="39">
        <v>1</v>
      </c>
      <c r="P559" s="39">
        <v>1</v>
      </c>
      <c r="W559" s="39">
        <v>1</v>
      </c>
      <c r="Y559" s="39">
        <v>1</v>
      </c>
      <c r="Z559" s="39"/>
      <c r="AA559" s="39">
        <v>1</v>
      </c>
      <c r="AG559" s="39">
        <v>1</v>
      </c>
      <c r="AH559" s="39">
        <v>1</v>
      </c>
      <c r="AI559" s="39"/>
      <c r="AL559" s="39">
        <v>1</v>
      </c>
      <c r="AM559" s="39">
        <v>1</v>
      </c>
      <c r="AN559" s="39">
        <v>1</v>
      </c>
      <c r="AP559" s="39">
        <v>1</v>
      </c>
      <c r="BF559" s="39">
        <v>1</v>
      </c>
      <c r="BI559" s="39">
        <v>1</v>
      </c>
    </row>
    <row r="560" ht="14.25" customHeight="1">
      <c r="B560" s="39"/>
      <c r="C560" s="39"/>
      <c r="E560" s="358" t="s">
        <v>1321</v>
      </c>
      <c r="F560" s="111" t="s">
        <v>516</v>
      </c>
      <c r="G560" s="358" t="s">
        <v>498</v>
      </c>
      <c r="H560" s="313">
        <v>23330</v>
      </c>
      <c r="I560" s="313">
        <v>23333</v>
      </c>
      <c r="J560" s="111"/>
      <c r="K560" s="111"/>
      <c r="L560" s="111" t="s">
        <v>325</v>
      </c>
      <c r="M560" s="39">
        <v>1</v>
      </c>
      <c r="P560" s="39">
        <v>1</v>
      </c>
      <c r="V560" s="39">
        <v>1</v>
      </c>
      <c r="W560" s="39"/>
      <c r="Z560" s="39">
        <v>1</v>
      </c>
      <c r="AA560" s="39">
        <v>1</v>
      </c>
      <c r="AE560" s="39">
        <v>1</v>
      </c>
      <c r="AF560" s="39">
        <v>1</v>
      </c>
      <c r="AG560" s="39">
        <v>1</v>
      </c>
      <c r="AH560" s="39">
        <v>1</v>
      </c>
      <c r="AI560" s="39"/>
      <c r="AJ560" s="39">
        <v>1</v>
      </c>
      <c r="AL560" s="39">
        <v>1</v>
      </c>
      <c r="AM560" s="39">
        <v>1</v>
      </c>
      <c r="AN560" s="39">
        <v>1</v>
      </c>
      <c r="AP560" s="39">
        <v>1</v>
      </c>
    </row>
    <row r="561" ht="28.399999999999999" customHeight="1">
      <c r="B561" s="39"/>
      <c r="C561" s="39"/>
      <c r="E561" s="358" t="s">
        <v>1322</v>
      </c>
      <c r="F561" s="39" t="s">
        <v>510</v>
      </c>
      <c r="G561" s="358" t="s">
        <v>498</v>
      </c>
      <c r="H561" s="313">
        <v>23589</v>
      </c>
      <c r="I561" s="313">
        <v>23593</v>
      </c>
      <c r="J561" s="111"/>
      <c r="L561" s="39" t="s">
        <v>325</v>
      </c>
      <c r="M561" s="39">
        <v>1</v>
      </c>
      <c r="P561" s="39">
        <v>1</v>
      </c>
      <c r="V561" s="39">
        <v>1</v>
      </c>
      <c r="Z561" s="39">
        <v>1</v>
      </c>
      <c r="AA561" s="39">
        <v>1</v>
      </c>
      <c r="AE561" s="39">
        <v>1</v>
      </c>
      <c r="AF561" s="39">
        <v>1</v>
      </c>
      <c r="AG561" s="39">
        <v>1</v>
      </c>
      <c r="AH561" s="39">
        <v>1</v>
      </c>
      <c r="AJ561" s="39">
        <v>1</v>
      </c>
      <c r="AL561" s="39">
        <v>1</v>
      </c>
      <c r="AN561" s="39">
        <v>1</v>
      </c>
      <c r="AP561" s="39">
        <v>1</v>
      </c>
    </row>
    <row r="562" ht="28.399999999999999" customHeight="1">
      <c r="B562" s="39" t="s">
        <v>513</v>
      </c>
      <c r="C562" s="39" t="s">
        <v>1323</v>
      </c>
      <c r="D562" s="39" t="s">
        <v>17</v>
      </c>
      <c r="E562" s="358" t="s">
        <v>1324</v>
      </c>
      <c r="F562" s="39" t="s">
        <v>512</v>
      </c>
      <c r="G562" s="358" t="s">
        <v>498</v>
      </c>
      <c r="H562" s="313">
        <v>11229</v>
      </c>
      <c r="I562" s="313">
        <v>11243</v>
      </c>
      <c r="L562" s="39" t="s">
        <v>325</v>
      </c>
      <c r="M562" s="39">
        <v>1</v>
      </c>
      <c r="P562" s="39">
        <v>1</v>
      </c>
      <c r="V562" s="39">
        <v>1</v>
      </c>
      <c r="Y562" s="39">
        <v>1</v>
      </c>
      <c r="AA562" s="39">
        <v>1</v>
      </c>
      <c r="AE562" s="39">
        <v>1</v>
      </c>
      <c r="AF562" s="39">
        <v>1</v>
      </c>
      <c r="AL562" s="39">
        <v>1</v>
      </c>
      <c r="AM562" s="39">
        <v>1</v>
      </c>
      <c r="AN562" s="39">
        <v>1</v>
      </c>
      <c r="AO562" s="39">
        <v>1</v>
      </c>
    </row>
    <row r="563" ht="14.25" customHeight="1">
      <c r="E563" s="358" t="s">
        <v>1325</v>
      </c>
      <c r="F563" s="39" t="s">
        <v>654</v>
      </c>
      <c r="G563" s="358" t="s">
        <v>498</v>
      </c>
      <c r="H563" s="313">
        <v>11282</v>
      </c>
      <c r="I563" s="313">
        <v>11306</v>
      </c>
      <c r="L563" s="39" t="s">
        <v>325</v>
      </c>
      <c r="M563" s="39">
        <v>1</v>
      </c>
      <c r="P563" s="39">
        <v>1</v>
      </c>
      <c r="V563" s="39">
        <v>1</v>
      </c>
      <c r="Y563" s="39">
        <v>1</v>
      </c>
      <c r="AA563" s="39">
        <v>1</v>
      </c>
      <c r="AE563" s="39">
        <v>1</v>
      </c>
      <c r="AF563" s="39">
        <v>1</v>
      </c>
      <c r="AL563" s="39">
        <v>1</v>
      </c>
      <c r="AM563" s="39">
        <v>1</v>
      </c>
      <c r="AN563" s="39">
        <v>1</v>
      </c>
      <c r="AO563" s="39">
        <v>1</v>
      </c>
    </row>
    <row r="564" ht="14.25" customHeight="1">
      <c r="E564" s="358" t="s">
        <v>1326</v>
      </c>
      <c r="F564" s="39" t="s">
        <v>535</v>
      </c>
      <c r="G564" s="358" t="s">
        <v>498</v>
      </c>
      <c r="H564" s="313">
        <v>11345</v>
      </c>
      <c r="I564" s="313">
        <v>11354</v>
      </c>
      <c r="L564" s="39" t="s">
        <v>325</v>
      </c>
      <c r="M564" s="39">
        <v>1</v>
      </c>
      <c r="P564" s="39">
        <v>1</v>
      </c>
      <c r="V564" s="39">
        <v>1</v>
      </c>
      <c r="Y564" s="39">
        <v>1</v>
      </c>
      <c r="AA564" s="39">
        <v>1</v>
      </c>
      <c r="AE564" s="39">
        <v>1</v>
      </c>
      <c r="AF564" s="39">
        <v>1</v>
      </c>
      <c r="AL564" s="39">
        <v>1</v>
      </c>
      <c r="AM564" s="39">
        <v>1</v>
      </c>
      <c r="AN564" s="39">
        <v>1</v>
      </c>
      <c r="AO564" s="39">
        <v>1</v>
      </c>
    </row>
    <row r="565" ht="14.25" customHeight="1">
      <c r="E565" s="358" t="s">
        <v>1327</v>
      </c>
      <c r="F565" s="39" t="s">
        <v>535</v>
      </c>
      <c r="G565" s="358" t="s">
        <v>498</v>
      </c>
      <c r="H565" s="313">
        <v>11634</v>
      </c>
      <c r="I565" s="313">
        <v>11643</v>
      </c>
      <c r="L565" s="39" t="s">
        <v>325</v>
      </c>
      <c r="U565" s="39">
        <v>1</v>
      </c>
      <c r="W565" s="39">
        <v>1</v>
      </c>
      <c r="Y565" s="39">
        <v>1</v>
      </c>
      <c r="AA565" s="39">
        <v>1</v>
      </c>
      <c r="AE565" s="39">
        <v>1</v>
      </c>
      <c r="AF565" s="39">
        <v>1</v>
      </c>
      <c r="AL565" s="39">
        <v>1</v>
      </c>
      <c r="AM565" s="39">
        <v>1</v>
      </c>
      <c r="AN565" s="39">
        <v>1</v>
      </c>
      <c r="AO565" s="39">
        <v>1</v>
      </c>
    </row>
    <row r="566" ht="68.650000000000006" customHeight="1">
      <c r="E566" s="358" t="s">
        <v>1328</v>
      </c>
      <c r="F566" s="39" t="s">
        <v>1329</v>
      </c>
      <c r="G566" s="358" t="s">
        <v>498</v>
      </c>
      <c r="H566" s="313">
        <v>21350</v>
      </c>
      <c r="I566" s="313">
        <v>24830</v>
      </c>
      <c r="J566" s="111" t="s">
        <v>1330</v>
      </c>
      <c r="L566" s="39" t="s">
        <v>325</v>
      </c>
      <c r="M566" s="39">
        <v>1</v>
      </c>
      <c r="P566" s="39">
        <v>1</v>
      </c>
      <c r="W566" s="39">
        <v>1</v>
      </c>
      <c r="Z566" s="39">
        <v>1</v>
      </c>
      <c r="AA566" s="39">
        <v>1</v>
      </c>
      <c r="AF566" s="39">
        <v>1</v>
      </c>
      <c r="AL566" s="39">
        <v>1</v>
      </c>
      <c r="AP566" s="39">
        <v>1</v>
      </c>
      <c r="AQ566" s="39">
        <v>1</v>
      </c>
      <c r="AS566" s="39">
        <v>1</v>
      </c>
      <c r="AU566" s="39">
        <v>1</v>
      </c>
      <c r="AX566" s="39">
        <v>1</v>
      </c>
    </row>
    <row r="567" ht="14.25" customHeight="1">
      <c r="E567" s="358" t="s">
        <v>1331</v>
      </c>
      <c r="F567" s="39" t="s">
        <v>871</v>
      </c>
      <c r="G567" s="358" t="s">
        <v>498</v>
      </c>
      <c r="H567" s="313">
        <v>21438</v>
      </c>
      <c r="I567" s="313">
        <v>21597</v>
      </c>
      <c r="J567" s="111" t="s">
        <v>1330</v>
      </c>
      <c r="L567" s="39" t="s">
        <v>325</v>
      </c>
      <c r="M567" s="39">
        <v>1</v>
      </c>
      <c r="P567" s="39">
        <v>1</v>
      </c>
      <c r="W567" s="39">
        <v>1</v>
      </c>
      <c r="Z567" s="39">
        <v>1</v>
      </c>
      <c r="AA567" s="39">
        <v>1</v>
      </c>
      <c r="AE567" s="39">
        <v>1</v>
      </c>
      <c r="AF567" s="39">
        <v>1</v>
      </c>
      <c r="AJ567" s="39">
        <v>1</v>
      </c>
      <c r="AL567" s="39">
        <v>1</v>
      </c>
      <c r="AN567" s="39">
        <v>1</v>
      </c>
      <c r="AP567" s="39">
        <v>1</v>
      </c>
      <c r="AQ567" s="39">
        <v>1</v>
      </c>
      <c r="AU567" s="39">
        <v>1</v>
      </c>
      <c r="AX567" s="39">
        <v>1</v>
      </c>
      <c r="AZ567" s="39">
        <v>1</v>
      </c>
    </row>
    <row r="568" ht="55.25" customHeight="1">
      <c r="D568" s="403"/>
      <c r="E568" s="111" t="s">
        <v>1332</v>
      </c>
      <c r="F568" s="39" t="s">
        <v>726</v>
      </c>
      <c r="G568" s="111" t="s">
        <v>498</v>
      </c>
      <c r="H568" s="313">
        <v>21673</v>
      </c>
      <c r="I568" s="313">
        <v>21748</v>
      </c>
      <c r="L568" s="39" t="s">
        <v>447</v>
      </c>
      <c r="M568" s="39">
        <v>1</v>
      </c>
      <c r="P568" s="39">
        <v>1</v>
      </c>
      <c r="W568" s="39">
        <v>1</v>
      </c>
      <c r="Y568" s="39">
        <v>1</v>
      </c>
      <c r="AA568" s="39">
        <v>1</v>
      </c>
      <c r="AE568" s="39">
        <v>1</v>
      </c>
      <c r="AF568" s="39">
        <v>1</v>
      </c>
      <c r="AJ568" s="39">
        <v>1</v>
      </c>
      <c r="AL568" s="39">
        <v>1</v>
      </c>
      <c r="AN568" s="39">
        <v>1</v>
      </c>
      <c r="AP568" s="39">
        <v>1</v>
      </c>
      <c r="AQ568" s="39">
        <v>1</v>
      </c>
      <c r="AU568" s="39">
        <v>1</v>
      </c>
      <c r="AW568" s="39">
        <v>1</v>
      </c>
      <c r="BA568" s="39">
        <v>1</v>
      </c>
    </row>
    <row r="569" ht="28.399999999999999" customHeight="1">
      <c r="E569" s="358" t="s">
        <v>1333</v>
      </c>
      <c r="F569" s="39" t="s">
        <v>625</v>
      </c>
      <c r="G569" s="358" t="s">
        <v>498</v>
      </c>
      <c r="H569" s="313">
        <v>21804</v>
      </c>
      <c r="I569" s="313">
        <v>21811</v>
      </c>
      <c r="J569" s="111" t="s">
        <v>1143</v>
      </c>
      <c r="L569" s="39" t="s">
        <v>325</v>
      </c>
      <c r="M569" s="39">
        <v>1</v>
      </c>
      <c r="P569" s="39">
        <v>1</v>
      </c>
      <c r="W569" s="39">
        <v>1</v>
      </c>
      <c r="Y569" s="39">
        <v>1</v>
      </c>
      <c r="AA569" s="39">
        <v>1</v>
      </c>
      <c r="AF569" s="39">
        <v>1</v>
      </c>
      <c r="AN569" s="39">
        <v>1</v>
      </c>
      <c r="AO569" s="39">
        <v>1</v>
      </c>
      <c r="AQ569" s="39">
        <v>1</v>
      </c>
      <c r="AU569" s="39">
        <v>1</v>
      </c>
      <c r="AX569" s="39">
        <v>1</v>
      </c>
    </row>
    <row r="570" ht="41.75" customHeight="1">
      <c r="E570" s="111" t="s">
        <v>1334</v>
      </c>
      <c r="F570" s="39" t="s">
        <v>629</v>
      </c>
      <c r="G570" s="111" t="s">
        <v>498</v>
      </c>
      <c r="H570" s="313">
        <v>21843</v>
      </c>
      <c r="I570" s="313">
        <v>21886</v>
      </c>
      <c r="J570" s="111" t="s">
        <v>1255</v>
      </c>
      <c r="L570" s="39" t="s">
        <v>325</v>
      </c>
      <c r="M570" s="39">
        <v>1</v>
      </c>
      <c r="P570" s="39">
        <v>1</v>
      </c>
      <c r="W570" s="39">
        <v>1</v>
      </c>
      <c r="Z570" s="39">
        <v>1</v>
      </c>
      <c r="AA570" s="39">
        <v>1</v>
      </c>
      <c r="AE570" s="39">
        <v>1</v>
      </c>
      <c r="AF570" s="39">
        <v>1</v>
      </c>
      <c r="AL570" s="39">
        <v>1</v>
      </c>
      <c r="AP570" s="39">
        <v>1</v>
      </c>
      <c r="AQ570" s="39">
        <v>1</v>
      </c>
      <c r="AU570" s="39">
        <v>1</v>
      </c>
      <c r="AX570" s="39">
        <v>1</v>
      </c>
      <c r="BH570" s="39">
        <v>1</v>
      </c>
    </row>
    <row r="571" ht="28.399999999999999" customHeight="1">
      <c r="E571" s="358" t="s">
        <v>1335</v>
      </c>
      <c r="F571" s="39" t="s">
        <v>703</v>
      </c>
      <c r="G571" s="358" t="s">
        <v>498</v>
      </c>
      <c r="H571" s="313">
        <v>22023</v>
      </c>
      <c r="I571" s="313">
        <v>22064</v>
      </c>
      <c r="L571" s="39" t="s">
        <v>492</v>
      </c>
      <c r="M571" s="39">
        <v>1</v>
      </c>
      <c r="P571" s="39">
        <v>1</v>
      </c>
      <c r="W571" s="39">
        <v>1</v>
      </c>
      <c r="Z571" s="39">
        <v>1</v>
      </c>
      <c r="AA571" s="39">
        <v>1</v>
      </c>
      <c r="AE571" s="39">
        <v>1</v>
      </c>
      <c r="AF571" s="39">
        <v>1</v>
      </c>
      <c r="AJ571" s="39">
        <v>1</v>
      </c>
      <c r="AL571" s="39">
        <v>1</v>
      </c>
      <c r="AN571" s="39">
        <v>1</v>
      </c>
      <c r="AP571" s="39">
        <v>1</v>
      </c>
      <c r="AQ571" s="39">
        <v>1</v>
      </c>
      <c r="AU571" s="39">
        <v>1</v>
      </c>
      <c r="AX571" s="39">
        <v>1</v>
      </c>
      <c r="BA571" s="39">
        <v>1</v>
      </c>
    </row>
    <row r="572" ht="28.399999999999999" customHeight="1">
      <c r="E572" s="111" t="s">
        <v>1336</v>
      </c>
      <c r="F572" s="39" t="s">
        <v>542</v>
      </c>
      <c r="G572" s="111" t="s">
        <v>498</v>
      </c>
      <c r="H572" s="313">
        <v>22106</v>
      </c>
      <c r="I572" s="313">
        <v>22117</v>
      </c>
      <c r="L572" s="39" t="s">
        <v>325</v>
      </c>
      <c r="M572" s="39">
        <v>1</v>
      </c>
      <c r="P572" s="39">
        <v>1</v>
      </c>
      <c r="W572" s="39">
        <v>1</v>
      </c>
      <c r="Z572" s="39">
        <v>1</v>
      </c>
      <c r="AA572" s="39">
        <v>1</v>
      </c>
      <c r="AE572" s="39">
        <v>1</v>
      </c>
      <c r="AF572" s="39">
        <v>1</v>
      </c>
      <c r="AK572" s="39">
        <v>1</v>
      </c>
      <c r="AL572" s="39">
        <v>1</v>
      </c>
      <c r="AO572" s="39">
        <v>1</v>
      </c>
    </row>
    <row r="573" ht="28.399999999999999" customHeight="1">
      <c r="E573" s="111" t="s">
        <v>1337</v>
      </c>
      <c r="F573" s="39" t="s">
        <v>544</v>
      </c>
      <c r="G573" s="111" t="s">
        <v>498</v>
      </c>
      <c r="H573" s="313">
        <v>22148</v>
      </c>
      <c r="I573" s="313">
        <v>22163</v>
      </c>
      <c r="L573" s="39" t="s">
        <v>325</v>
      </c>
      <c r="M573" s="39">
        <v>1</v>
      </c>
      <c r="P573" s="39">
        <v>1</v>
      </c>
      <c r="W573" s="39">
        <v>1</v>
      </c>
      <c r="Z573" s="39">
        <v>1</v>
      </c>
      <c r="AA573" s="39">
        <v>1</v>
      </c>
      <c r="AE573" s="39">
        <v>1</v>
      </c>
      <c r="AF573" s="39">
        <v>1</v>
      </c>
      <c r="AL573" s="39">
        <v>1</v>
      </c>
      <c r="AM573" s="39">
        <v>1</v>
      </c>
      <c r="AN573" s="39">
        <v>1</v>
      </c>
      <c r="AP573" s="39">
        <v>1</v>
      </c>
      <c r="AQ573" s="39">
        <v>1</v>
      </c>
      <c r="AS573" s="39">
        <v>1</v>
      </c>
      <c r="AX573" s="39">
        <v>1</v>
      </c>
    </row>
    <row r="574" ht="28.399999999999999" customHeight="1">
      <c r="E574" s="111" t="s">
        <v>1338</v>
      </c>
      <c r="F574" s="39" t="s">
        <v>829</v>
      </c>
      <c r="G574" s="111" t="s">
        <v>498</v>
      </c>
      <c r="H574" s="313">
        <v>22276</v>
      </c>
      <c r="I574" s="313">
        <v>22298</v>
      </c>
      <c r="J574" s="111" t="s">
        <v>1259</v>
      </c>
      <c r="L574" s="39" t="s">
        <v>325</v>
      </c>
      <c r="M574" s="39">
        <v>1</v>
      </c>
      <c r="P574" s="39">
        <v>1</v>
      </c>
      <c r="W574" s="39">
        <v>1</v>
      </c>
      <c r="Z574" s="39">
        <v>1</v>
      </c>
      <c r="AA574" s="39">
        <v>1</v>
      </c>
      <c r="AE574" s="39">
        <v>1</v>
      </c>
      <c r="AF574" s="39">
        <v>1</v>
      </c>
      <c r="AL574" s="39">
        <v>1</v>
      </c>
      <c r="AN574" s="39">
        <v>1</v>
      </c>
      <c r="AP574" s="39">
        <v>1</v>
      </c>
    </row>
    <row r="575" ht="28.399999999999999" customHeight="1">
      <c r="E575" s="111" t="s">
        <v>1339</v>
      </c>
      <c r="F575" s="39" t="s">
        <v>758</v>
      </c>
      <c r="G575" s="111" t="s">
        <v>498</v>
      </c>
      <c r="H575" s="313">
        <v>22457</v>
      </c>
      <c r="I575" s="313">
        <v>22489</v>
      </c>
      <c r="J575" s="111" t="s">
        <v>1340</v>
      </c>
      <c r="L575" s="39" t="s">
        <v>325</v>
      </c>
      <c r="AQ575" s="39">
        <v>1</v>
      </c>
      <c r="AS575" s="39">
        <v>1</v>
      </c>
      <c r="AT575" s="39">
        <v>1</v>
      </c>
      <c r="AX575" s="39">
        <v>1</v>
      </c>
    </row>
    <row r="576" ht="14.25" customHeight="1">
      <c r="E576" s="111" t="s">
        <v>1341</v>
      </c>
      <c r="F576" s="39" t="s">
        <v>546</v>
      </c>
      <c r="G576" s="111" t="s">
        <v>498</v>
      </c>
      <c r="H576" s="313">
        <v>22865</v>
      </c>
      <c r="I576" s="313">
        <v>22875</v>
      </c>
      <c r="L576" s="39" t="s">
        <v>325</v>
      </c>
      <c r="M576" s="39">
        <v>1</v>
      </c>
      <c r="P576" s="39">
        <v>1</v>
      </c>
      <c r="W576" s="39">
        <v>1</v>
      </c>
      <c r="Z576" s="39">
        <v>1</v>
      </c>
      <c r="AA576" s="39">
        <v>1</v>
      </c>
      <c r="AJ576" s="39">
        <v>1</v>
      </c>
      <c r="AL576" s="39">
        <v>1</v>
      </c>
      <c r="AN576" s="39">
        <v>1</v>
      </c>
      <c r="AO576" s="39">
        <v>1</v>
      </c>
      <c r="AQ576" s="39">
        <v>1</v>
      </c>
      <c r="AX576" s="39">
        <v>1</v>
      </c>
      <c r="AZ576" s="39">
        <v>1</v>
      </c>
    </row>
    <row r="577" ht="14.25" customHeight="1">
      <c r="B577" s="39"/>
      <c r="C577" s="39"/>
      <c r="E577" s="111" t="s">
        <v>1342</v>
      </c>
      <c r="F577" s="39" t="s">
        <v>516</v>
      </c>
      <c r="G577" s="111" t="s">
        <v>498</v>
      </c>
      <c r="H577" s="313">
        <v>22942</v>
      </c>
      <c r="I577" s="313">
        <v>22945</v>
      </c>
      <c r="J577" s="111"/>
      <c r="L577" s="39" t="s">
        <v>447</v>
      </c>
      <c r="M577" s="39"/>
      <c r="P577" s="39"/>
      <c r="Q577" s="39"/>
      <c r="R577" s="39"/>
      <c r="T577" s="39"/>
      <c r="V577" s="39"/>
      <c r="X577" s="39"/>
      <c r="Y577" s="39"/>
      <c r="AB577" s="39"/>
      <c r="AE577" s="39"/>
      <c r="AG577" s="39"/>
      <c r="AH577" s="39"/>
      <c r="AI577" s="39"/>
      <c r="AJ577" s="39"/>
      <c r="AK577" s="39"/>
      <c r="AL577" s="39"/>
      <c r="AM577" s="39"/>
      <c r="AN577" s="39"/>
      <c r="AP577" s="39"/>
      <c r="BG577" s="39">
        <v>1</v>
      </c>
    </row>
    <row r="578" ht="14.25" customHeight="1">
      <c r="E578" s="111" t="s">
        <v>1343</v>
      </c>
      <c r="F578" s="39" t="s">
        <v>516</v>
      </c>
      <c r="G578" s="111" t="s">
        <v>498</v>
      </c>
      <c r="H578" s="313">
        <v>35745</v>
      </c>
      <c r="I578" s="313">
        <v>35748</v>
      </c>
      <c r="L578" s="39" t="s">
        <v>325</v>
      </c>
      <c r="M578" s="39">
        <v>1</v>
      </c>
      <c r="P578" s="39">
        <v>1</v>
      </c>
      <c r="W578" s="39">
        <v>1</v>
      </c>
      <c r="Z578" s="39">
        <v>1</v>
      </c>
      <c r="AA578" s="39">
        <v>1</v>
      </c>
      <c r="AE578" s="39">
        <v>1</v>
      </c>
      <c r="AL578" s="39">
        <v>1</v>
      </c>
      <c r="AM578" s="39">
        <v>1</v>
      </c>
      <c r="AN578" s="39">
        <v>1</v>
      </c>
      <c r="AO578" s="39">
        <v>1</v>
      </c>
    </row>
    <row r="579" ht="28.399999999999999" customHeight="1">
      <c r="B579" s="144"/>
      <c r="E579" s="111" t="s">
        <v>1344</v>
      </c>
      <c r="F579" s="39" t="s">
        <v>510</v>
      </c>
      <c r="G579" s="145" t="s">
        <v>498</v>
      </c>
      <c r="H579" s="320">
        <v>36056</v>
      </c>
      <c r="I579" s="320">
        <v>36060</v>
      </c>
      <c r="L579" s="39" t="s">
        <v>325</v>
      </c>
      <c r="M579" s="39">
        <v>1</v>
      </c>
      <c r="P579" s="39">
        <v>1</v>
      </c>
      <c r="V579" s="39">
        <v>1</v>
      </c>
      <c r="Z579" s="39">
        <v>1</v>
      </c>
      <c r="AA579" s="39">
        <v>1</v>
      </c>
      <c r="AE579" s="39">
        <v>1</v>
      </c>
      <c r="AF579" s="39">
        <v>1</v>
      </c>
      <c r="AG579" s="39">
        <v>1</v>
      </c>
      <c r="AH579" s="39">
        <v>1</v>
      </c>
      <c r="AI579" s="39">
        <v>1</v>
      </c>
      <c r="AJ579" s="39">
        <v>1</v>
      </c>
      <c r="AL579" s="39">
        <v>1</v>
      </c>
      <c r="AM579" s="39">
        <v>1</v>
      </c>
      <c r="AN579" s="39">
        <v>1</v>
      </c>
      <c r="AP579" s="39">
        <v>1</v>
      </c>
      <c r="AQ579" s="39">
        <v>1</v>
      </c>
      <c r="AU579" s="39">
        <v>1</v>
      </c>
      <c r="AX579" s="39">
        <v>1</v>
      </c>
    </row>
    <row r="580" s="211" customFormat="1" ht="21.75" customHeight="1">
      <c r="B580" s="113" t="s">
        <v>513</v>
      </c>
      <c r="C580" s="405" t="s">
        <v>1345</v>
      </c>
      <c r="D580" s="211" t="s">
        <v>1346</v>
      </c>
      <c r="E580" s="406" t="s">
        <v>1347</v>
      </c>
      <c r="F580" s="211" t="s">
        <v>625</v>
      </c>
      <c r="G580" s="407" t="s">
        <v>498</v>
      </c>
      <c r="H580" s="408">
        <v>6440</v>
      </c>
      <c r="I580" s="408">
        <v>6447</v>
      </c>
      <c r="J580" s="366" t="s">
        <v>1348</v>
      </c>
      <c r="L580" s="409" t="s">
        <v>325</v>
      </c>
      <c r="M580" s="211">
        <v>1</v>
      </c>
      <c r="P580" s="211">
        <v>1</v>
      </c>
      <c r="V580" s="211">
        <v>1</v>
      </c>
      <c r="Z580" s="211">
        <v>1</v>
      </c>
      <c r="AA580" s="211">
        <v>1</v>
      </c>
      <c r="AE580" s="211">
        <v>1</v>
      </c>
      <c r="AF580" s="211">
        <v>1</v>
      </c>
      <c r="AG580" s="211">
        <v>1</v>
      </c>
      <c r="AH580" s="211">
        <v>1</v>
      </c>
      <c r="AJ580" s="211">
        <v>1</v>
      </c>
      <c r="AL580" s="211">
        <v>1</v>
      </c>
      <c r="AN580" s="211">
        <v>1</v>
      </c>
      <c r="AP580" s="211">
        <v>1</v>
      </c>
      <c r="AQ580" s="211">
        <v>1</v>
      </c>
      <c r="AU580" s="211">
        <v>1</v>
      </c>
      <c r="AX580" s="211">
        <v>1</v>
      </c>
    </row>
    <row r="581" ht="41.75" customHeight="1">
      <c r="B581" s="39" t="s">
        <v>513</v>
      </c>
      <c r="C581" s="39" t="s">
        <v>1349</v>
      </c>
      <c r="D581" s="39" t="s">
        <v>248</v>
      </c>
      <c r="E581" s="111" t="s">
        <v>1350</v>
      </c>
      <c r="F581" s="39" t="s">
        <v>827</v>
      </c>
      <c r="G581" s="111" t="s">
        <v>498</v>
      </c>
      <c r="H581" s="313">
        <v>10148</v>
      </c>
      <c r="I581" s="313">
        <v>10187</v>
      </c>
      <c r="L581" s="39" t="s">
        <v>325</v>
      </c>
      <c r="M581" s="39">
        <v>1</v>
      </c>
      <c r="P581" s="39">
        <v>1</v>
      </c>
      <c r="W581" s="39">
        <v>1</v>
      </c>
      <c r="Z581" s="39">
        <v>1</v>
      </c>
      <c r="AA581" s="39">
        <v>1</v>
      </c>
      <c r="AE581" s="39">
        <v>1</v>
      </c>
      <c r="AF581" s="39">
        <v>1</v>
      </c>
      <c r="AL581" s="39">
        <v>1</v>
      </c>
      <c r="AM581" s="39">
        <v>1</v>
      </c>
      <c r="AN581" s="39">
        <v>1</v>
      </c>
      <c r="AP581" s="39">
        <v>1</v>
      </c>
      <c r="AQ581" s="39">
        <v>1</v>
      </c>
      <c r="AS581" s="39">
        <v>1</v>
      </c>
      <c r="AX581" s="39">
        <v>1</v>
      </c>
    </row>
    <row r="582" ht="28.399999999999999" customHeight="1">
      <c r="E582" s="111" t="s">
        <v>1351</v>
      </c>
      <c r="F582" s="39" t="s">
        <v>516</v>
      </c>
      <c r="G582" s="111" t="s">
        <v>498</v>
      </c>
      <c r="H582" s="313">
        <v>15556</v>
      </c>
      <c r="I582" s="313">
        <v>15559</v>
      </c>
      <c r="L582" s="39" t="s">
        <v>325</v>
      </c>
      <c r="M582" s="39">
        <v>1</v>
      </c>
      <c r="P582" s="39">
        <v>1</v>
      </c>
      <c r="W582" s="39">
        <v>1</v>
      </c>
      <c r="Z582" s="39">
        <v>1</v>
      </c>
      <c r="AA582" s="39">
        <v>1</v>
      </c>
      <c r="AE582" s="39">
        <v>1</v>
      </c>
      <c r="AF582" s="39">
        <v>1</v>
      </c>
      <c r="AL582" s="39">
        <v>1</v>
      </c>
      <c r="AM582" s="39">
        <v>1</v>
      </c>
      <c r="AN582" s="39">
        <v>1</v>
      </c>
      <c r="AP582" s="39">
        <v>1</v>
      </c>
    </row>
    <row r="583" ht="28.399999999999999" customHeight="1">
      <c r="E583" s="111" t="s">
        <v>1352</v>
      </c>
      <c r="F583" s="39" t="s">
        <v>546</v>
      </c>
      <c r="G583" s="111" t="s">
        <v>498</v>
      </c>
      <c r="H583" s="313">
        <v>15744</v>
      </c>
      <c r="I583" s="313">
        <v>15754</v>
      </c>
      <c r="L583" s="39" t="s">
        <v>325</v>
      </c>
      <c r="M583" s="39">
        <v>1</v>
      </c>
      <c r="P583" s="39">
        <v>1</v>
      </c>
      <c r="W583" s="39">
        <v>1</v>
      </c>
      <c r="Z583" s="39">
        <v>1</v>
      </c>
      <c r="AA583" s="39">
        <v>1</v>
      </c>
      <c r="AE583" s="39">
        <v>1</v>
      </c>
      <c r="AF583" s="39">
        <v>1</v>
      </c>
      <c r="AL583" s="39">
        <v>1</v>
      </c>
      <c r="AM583" s="39">
        <v>1</v>
      </c>
      <c r="AN583" s="39">
        <v>1</v>
      </c>
      <c r="AP583" s="39">
        <v>1</v>
      </c>
    </row>
    <row r="584" ht="41.75" customHeight="1">
      <c r="E584" s="196" t="s">
        <v>1353</v>
      </c>
      <c r="F584" s="39" t="s">
        <v>572</v>
      </c>
      <c r="G584" s="196" t="s">
        <v>498</v>
      </c>
      <c r="H584" s="291">
        <v>16077</v>
      </c>
      <c r="I584" s="291">
        <v>16103</v>
      </c>
      <c r="L584" s="39" t="s">
        <v>325</v>
      </c>
      <c r="U584" s="39">
        <v>1</v>
      </c>
      <c r="V584" s="39">
        <v>1</v>
      </c>
      <c r="Y584" s="39">
        <v>1</v>
      </c>
      <c r="AD584" s="39">
        <v>1</v>
      </c>
      <c r="AE584" s="39">
        <v>1</v>
      </c>
      <c r="AF584" s="39">
        <v>1</v>
      </c>
      <c r="AH584" s="39">
        <v>1</v>
      </c>
      <c r="AI584" s="39">
        <v>1</v>
      </c>
      <c r="AJ584" s="39">
        <v>1</v>
      </c>
      <c r="AL584" s="39">
        <v>1</v>
      </c>
      <c r="AM584" s="39">
        <v>1</v>
      </c>
      <c r="AN584" s="39">
        <v>1</v>
      </c>
      <c r="AO584" s="39">
        <v>1</v>
      </c>
      <c r="AQ584" s="39">
        <v>1</v>
      </c>
      <c r="AU584" s="39">
        <v>1</v>
      </c>
      <c r="AX584" s="39">
        <v>1</v>
      </c>
      <c r="AZ584" s="39">
        <v>1</v>
      </c>
    </row>
    <row r="585" ht="41.75" customHeight="1">
      <c r="B585" s="401"/>
      <c r="C585" s="401" t="s">
        <v>1354</v>
      </c>
      <c r="E585" s="330" t="s">
        <v>1355</v>
      </c>
      <c r="F585" s="39" t="s">
        <v>616</v>
      </c>
      <c r="G585" s="330" t="s">
        <v>498</v>
      </c>
      <c r="H585" s="346">
        <v>16268</v>
      </c>
      <c r="I585" s="346">
        <v>16304</v>
      </c>
      <c r="J585" s="128" t="s">
        <v>1003</v>
      </c>
      <c r="L585" s="127" t="s">
        <v>325</v>
      </c>
      <c r="U585" s="39">
        <v>1</v>
      </c>
      <c r="V585" s="39">
        <v>1</v>
      </c>
      <c r="Y585" s="39">
        <v>1</v>
      </c>
      <c r="AD585" s="39">
        <v>1</v>
      </c>
      <c r="AE585" s="39">
        <v>1</v>
      </c>
      <c r="AF585" s="39">
        <v>1</v>
      </c>
      <c r="AG585" s="39">
        <v>1</v>
      </c>
      <c r="AH585" s="39">
        <v>1</v>
      </c>
      <c r="AI585" s="39">
        <v>1</v>
      </c>
      <c r="AJ585" s="39">
        <v>1</v>
      </c>
      <c r="AL585" s="39">
        <v>1</v>
      </c>
      <c r="AM585" s="39">
        <v>1</v>
      </c>
      <c r="AN585" s="39">
        <v>1</v>
      </c>
      <c r="AP585" s="39">
        <v>1</v>
      </c>
    </row>
    <row r="586" ht="41.75" customHeight="1">
      <c r="B586" s="401"/>
      <c r="C586" s="401" t="s">
        <v>1354</v>
      </c>
      <c r="E586" s="330" t="s">
        <v>1356</v>
      </c>
      <c r="F586" s="247" t="s">
        <v>1357</v>
      </c>
      <c r="G586" s="330" t="s">
        <v>498</v>
      </c>
      <c r="H586" s="346">
        <v>16364</v>
      </c>
      <c r="I586" s="346"/>
      <c r="J586" s="128" t="s">
        <v>1139</v>
      </c>
      <c r="L586" s="127" t="s">
        <v>325</v>
      </c>
      <c r="U586" s="39">
        <v>1</v>
      </c>
      <c r="W586" s="39">
        <v>1</v>
      </c>
      <c r="Y586" s="39">
        <v>1</v>
      </c>
      <c r="AD586" s="39">
        <v>1</v>
      </c>
      <c r="AE586" s="39">
        <v>1</v>
      </c>
      <c r="AF586" s="39">
        <v>1</v>
      </c>
      <c r="AG586" s="39">
        <v>1</v>
      </c>
      <c r="AH586" s="39">
        <v>1</v>
      </c>
      <c r="AI586" s="39">
        <v>1</v>
      </c>
      <c r="AL586" s="39">
        <v>1</v>
      </c>
      <c r="AM586" s="39">
        <v>1</v>
      </c>
      <c r="AN586" s="39">
        <v>1</v>
      </c>
      <c r="AP586" s="39">
        <v>1</v>
      </c>
    </row>
    <row r="587" ht="14.25" customHeight="1">
      <c r="E587" s="410" t="s">
        <v>1358</v>
      </c>
      <c r="F587" s="39" t="s">
        <v>508</v>
      </c>
      <c r="G587" s="410" t="s">
        <v>498</v>
      </c>
      <c r="H587" s="411">
        <v>16515</v>
      </c>
      <c r="I587" s="411">
        <v>16533</v>
      </c>
      <c r="J587" s="111" t="s">
        <v>1359</v>
      </c>
      <c r="L587" s="39" t="s">
        <v>325</v>
      </c>
      <c r="M587" s="39">
        <v>1</v>
      </c>
      <c r="P587" s="39">
        <v>1</v>
      </c>
      <c r="W587" s="39">
        <v>1</v>
      </c>
      <c r="Z587" s="39">
        <v>1</v>
      </c>
      <c r="AA587" s="39">
        <v>1</v>
      </c>
      <c r="AE587" s="39">
        <v>1</v>
      </c>
      <c r="AF587" s="39">
        <v>1</v>
      </c>
      <c r="AL587" s="39">
        <v>1</v>
      </c>
      <c r="AM587" s="39">
        <v>1</v>
      </c>
      <c r="AN587" s="39">
        <v>1</v>
      </c>
      <c r="AO587" s="39">
        <v>1</v>
      </c>
    </row>
    <row r="588" s="144" customFormat="1" ht="28.399999999999999" customHeight="1">
      <c r="E588" s="412" t="s">
        <v>1360</v>
      </c>
      <c r="F588" s="144" t="s">
        <v>525</v>
      </c>
      <c r="G588" s="412" t="s">
        <v>498</v>
      </c>
      <c r="H588" s="413">
        <v>16720</v>
      </c>
      <c r="I588" s="413">
        <v>16743</v>
      </c>
      <c r="J588" s="145"/>
      <c r="L588" s="144" t="s">
        <v>325</v>
      </c>
      <c r="M588" s="144">
        <v>1</v>
      </c>
      <c r="P588" s="144">
        <v>1</v>
      </c>
      <c r="W588" s="144">
        <v>1</v>
      </c>
      <c r="Z588" s="144">
        <v>1</v>
      </c>
      <c r="AA588" s="144">
        <v>1</v>
      </c>
      <c r="AE588" s="144">
        <v>1</v>
      </c>
      <c r="AF588" s="144">
        <v>1</v>
      </c>
      <c r="AG588" s="144">
        <v>1</v>
      </c>
      <c r="AL588" s="144">
        <v>1</v>
      </c>
      <c r="AM588" s="144">
        <v>1</v>
      </c>
      <c r="AN588" s="144">
        <v>1</v>
      </c>
      <c r="AP588" s="144">
        <v>1</v>
      </c>
      <c r="AQ588" s="144">
        <v>1</v>
      </c>
      <c r="AU588" s="144">
        <v>1</v>
      </c>
      <c r="AX588" s="144">
        <v>1</v>
      </c>
    </row>
    <row r="589" ht="41.75" customHeight="1">
      <c r="B589" s="39" t="s">
        <v>513</v>
      </c>
      <c r="C589" s="39" t="s">
        <v>1361</v>
      </c>
      <c r="D589" s="39" t="s">
        <v>483</v>
      </c>
      <c r="E589" s="358" t="s">
        <v>1362</v>
      </c>
      <c r="F589" s="39" t="s">
        <v>516</v>
      </c>
      <c r="G589" s="358" t="s">
        <v>498</v>
      </c>
      <c r="H589" s="313">
        <v>12367</v>
      </c>
      <c r="I589" s="313">
        <v>12370</v>
      </c>
      <c r="L589" s="39" t="s">
        <v>325</v>
      </c>
      <c r="M589" s="39">
        <v>1</v>
      </c>
      <c r="P589" s="39">
        <v>1</v>
      </c>
      <c r="W589" s="39">
        <v>1</v>
      </c>
      <c r="Z589" s="39">
        <v>1</v>
      </c>
      <c r="AA589" s="39">
        <v>1</v>
      </c>
      <c r="AF589" s="39">
        <v>1</v>
      </c>
      <c r="AL589" s="39">
        <v>1</v>
      </c>
      <c r="AN589" s="39">
        <v>1</v>
      </c>
      <c r="AO589" s="39">
        <v>1</v>
      </c>
    </row>
    <row r="590" ht="28.399999999999999" customHeight="1">
      <c r="E590" s="358" t="s">
        <v>1363</v>
      </c>
      <c r="F590" s="39" t="s">
        <v>542</v>
      </c>
      <c r="G590" s="358" t="s">
        <v>498</v>
      </c>
      <c r="H590" s="313">
        <v>12467</v>
      </c>
      <c r="I590" s="313">
        <v>12478</v>
      </c>
      <c r="L590" s="39" t="s">
        <v>325</v>
      </c>
      <c r="M590" s="39">
        <v>1</v>
      </c>
      <c r="P590" s="39">
        <v>1</v>
      </c>
      <c r="W590" s="39">
        <v>1</v>
      </c>
      <c r="Z590" s="39">
        <v>1</v>
      </c>
      <c r="AA590" s="39">
        <v>1</v>
      </c>
      <c r="AF590" s="39">
        <v>1</v>
      </c>
      <c r="AL590" s="39">
        <v>1</v>
      </c>
      <c r="AN590" s="39">
        <v>1</v>
      </c>
      <c r="AP590" s="39">
        <v>1</v>
      </c>
    </row>
    <row r="591" ht="28.399999999999999" customHeight="1">
      <c r="B591" s="39"/>
      <c r="C591" s="39"/>
      <c r="D591" s="111"/>
      <c r="E591" s="111" t="s">
        <v>1364</v>
      </c>
      <c r="F591" s="39" t="s">
        <v>546</v>
      </c>
      <c r="G591" s="111" t="s">
        <v>498</v>
      </c>
      <c r="H591" s="313">
        <v>12849</v>
      </c>
      <c r="I591" s="313">
        <v>12859</v>
      </c>
      <c r="L591" s="39" t="s">
        <v>325</v>
      </c>
      <c r="M591" s="39">
        <v>1</v>
      </c>
      <c r="N591" s="39"/>
      <c r="P591" s="39">
        <v>1</v>
      </c>
      <c r="W591" s="39"/>
      <c r="Y591" s="39"/>
      <c r="Z591" s="39">
        <v>1</v>
      </c>
      <c r="AA591" s="39">
        <v>1</v>
      </c>
      <c r="AE591" s="39">
        <v>1</v>
      </c>
      <c r="AF591" s="39">
        <v>1</v>
      </c>
      <c r="AG591" s="39"/>
      <c r="AH591" s="39">
        <v>1</v>
      </c>
      <c r="AI591" s="39"/>
      <c r="AJ591" s="39"/>
      <c r="AL591" s="39">
        <v>1</v>
      </c>
      <c r="AM591" s="39">
        <v>1</v>
      </c>
      <c r="AN591" s="39">
        <v>1</v>
      </c>
      <c r="AP591" s="39">
        <v>1</v>
      </c>
    </row>
    <row r="592" ht="14.25" customHeight="1">
      <c r="E592" s="358" t="s">
        <v>1365</v>
      </c>
      <c r="F592" s="39" t="s">
        <v>502</v>
      </c>
      <c r="G592" s="358" t="s">
        <v>498</v>
      </c>
      <c r="H592" s="313">
        <v>13099</v>
      </c>
      <c r="I592" s="313">
        <v>13116</v>
      </c>
      <c r="J592" s="111" t="s">
        <v>1366</v>
      </c>
      <c r="L592" s="39" t="s">
        <v>325</v>
      </c>
      <c r="M592" s="39">
        <v>1</v>
      </c>
      <c r="P592" s="39">
        <v>1</v>
      </c>
      <c r="Z592" s="39">
        <v>1</v>
      </c>
      <c r="AA592" s="39">
        <v>1</v>
      </c>
      <c r="AF592" s="39">
        <v>1</v>
      </c>
      <c r="AL592" s="39">
        <v>1</v>
      </c>
      <c r="AN592" s="39">
        <v>1</v>
      </c>
      <c r="AO592" s="39">
        <v>1</v>
      </c>
    </row>
    <row r="593" ht="41.75" customHeight="1">
      <c r="E593" s="414" t="s">
        <v>1367</v>
      </c>
      <c r="F593" s="39" t="s">
        <v>562</v>
      </c>
      <c r="G593" s="414" t="s">
        <v>498</v>
      </c>
      <c r="H593" s="411">
        <v>13178</v>
      </c>
      <c r="I593" s="411">
        <v>13213</v>
      </c>
      <c r="J593" s="111" t="s">
        <v>1368</v>
      </c>
      <c r="L593" s="39" t="s">
        <v>325</v>
      </c>
      <c r="M593" s="39">
        <v>1</v>
      </c>
      <c r="P593" s="39">
        <v>1</v>
      </c>
      <c r="W593" s="39">
        <v>1</v>
      </c>
      <c r="Z593" s="39">
        <v>1</v>
      </c>
      <c r="AA593" s="39">
        <v>1</v>
      </c>
      <c r="AE593" s="39">
        <v>1</v>
      </c>
      <c r="AF593" s="39">
        <v>1</v>
      </c>
      <c r="AG593" s="39">
        <v>1</v>
      </c>
      <c r="AL593" s="39">
        <v>1</v>
      </c>
      <c r="AM593" s="39">
        <v>1</v>
      </c>
      <c r="AN593" s="39">
        <v>1</v>
      </c>
      <c r="AO593" s="39">
        <v>1</v>
      </c>
    </row>
    <row r="594" ht="41.75" customHeight="1">
      <c r="E594" s="414" t="s">
        <v>1369</v>
      </c>
      <c r="F594" s="39" t="s">
        <v>1370</v>
      </c>
      <c r="G594" s="414" t="s">
        <v>498</v>
      </c>
      <c r="H594" s="411">
        <v>13286</v>
      </c>
      <c r="I594" s="411">
        <v>13362</v>
      </c>
      <c r="L594" s="39" t="s">
        <v>325</v>
      </c>
      <c r="M594" s="39">
        <v>1</v>
      </c>
      <c r="P594" s="39">
        <v>1</v>
      </c>
      <c r="U594" s="39">
        <v>1</v>
      </c>
      <c r="V594" s="39">
        <v>1</v>
      </c>
      <c r="X594" s="39">
        <v>1</v>
      </c>
      <c r="Z594" s="39">
        <v>1</v>
      </c>
      <c r="AD594" s="39">
        <v>1</v>
      </c>
      <c r="AE594" s="39">
        <v>1</v>
      </c>
      <c r="AF594" s="39">
        <v>1</v>
      </c>
      <c r="AG594" s="39">
        <v>1</v>
      </c>
      <c r="AL594" s="39">
        <v>1</v>
      </c>
      <c r="AM594" s="39">
        <v>1</v>
      </c>
      <c r="AN594" s="39">
        <v>1</v>
      </c>
      <c r="AP594" s="39">
        <v>1</v>
      </c>
    </row>
    <row r="595" ht="28.399999999999999" customHeight="1">
      <c r="E595" s="358" t="s">
        <v>1371</v>
      </c>
      <c r="F595" s="39" t="s">
        <v>584</v>
      </c>
      <c r="G595" s="358" t="s">
        <v>498</v>
      </c>
      <c r="H595" s="313">
        <v>21814</v>
      </c>
      <c r="I595" s="313">
        <v>21845</v>
      </c>
      <c r="L595" s="39" t="s">
        <v>325</v>
      </c>
      <c r="M595" s="39">
        <v>1</v>
      </c>
      <c r="P595" s="39">
        <v>1</v>
      </c>
      <c r="W595" s="39">
        <v>1</v>
      </c>
      <c r="X595" s="39">
        <v>1</v>
      </c>
      <c r="Z595" s="39">
        <v>1</v>
      </c>
      <c r="AA595" s="39">
        <v>1</v>
      </c>
      <c r="AE595" s="39">
        <v>1</v>
      </c>
      <c r="AF595" s="39">
        <v>1</v>
      </c>
      <c r="AH595" s="39">
        <v>1</v>
      </c>
      <c r="AJ595" s="39">
        <v>1</v>
      </c>
      <c r="AL595" s="39">
        <v>1</v>
      </c>
      <c r="AM595" s="39">
        <v>1</v>
      </c>
      <c r="AN595" s="39">
        <v>1</v>
      </c>
      <c r="AP595" s="39">
        <v>1</v>
      </c>
    </row>
    <row r="596" s="144" customFormat="1" ht="14.25" customHeight="1">
      <c r="E596" s="145" t="s">
        <v>1372</v>
      </c>
      <c r="F596" s="144" t="s">
        <v>491</v>
      </c>
      <c r="G596" s="145" t="s">
        <v>498</v>
      </c>
      <c r="H596" s="320">
        <v>21911</v>
      </c>
      <c r="I596" s="320">
        <v>21936</v>
      </c>
      <c r="J596" s="145"/>
      <c r="L596" s="144" t="s">
        <v>325</v>
      </c>
      <c r="M596" s="144">
        <v>1</v>
      </c>
      <c r="P596" s="144">
        <v>1</v>
      </c>
      <c r="W596" s="144">
        <v>1</v>
      </c>
      <c r="Z596" s="144">
        <v>1</v>
      </c>
      <c r="AA596" s="144">
        <v>1</v>
      </c>
      <c r="AH596" s="144">
        <v>1</v>
      </c>
      <c r="AI596" s="144">
        <v>1</v>
      </c>
      <c r="AK596" s="144">
        <v>1</v>
      </c>
      <c r="AL596" s="144">
        <v>1</v>
      </c>
      <c r="AM596" s="144">
        <v>1</v>
      </c>
      <c r="AN596" s="144">
        <v>1</v>
      </c>
      <c r="AP596" s="144">
        <v>1</v>
      </c>
    </row>
    <row r="597" ht="28.399999999999999" customHeight="1">
      <c r="B597" s="39" t="s">
        <v>513</v>
      </c>
      <c r="C597" s="39" t="s">
        <v>1373</v>
      </c>
      <c r="D597" s="39" t="s">
        <v>483</v>
      </c>
      <c r="E597" s="414" t="s">
        <v>1374</v>
      </c>
      <c r="F597" s="39" t="s">
        <v>508</v>
      </c>
      <c r="G597" s="414" t="s">
        <v>498</v>
      </c>
      <c r="H597" s="411">
        <v>9284</v>
      </c>
      <c r="I597" s="411">
        <v>9302</v>
      </c>
      <c r="L597" s="39" t="s">
        <v>325</v>
      </c>
      <c r="N597" s="39">
        <v>1</v>
      </c>
      <c r="P597" s="39">
        <v>1</v>
      </c>
      <c r="V597" s="39">
        <v>1</v>
      </c>
      <c r="Y597" s="39">
        <v>1</v>
      </c>
      <c r="AA597" s="39">
        <v>1</v>
      </c>
      <c r="AE597" s="39">
        <v>1</v>
      </c>
      <c r="AF597" s="39">
        <v>1</v>
      </c>
      <c r="AG597" s="39">
        <v>1</v>
      </c>
      <c r="AH597" s="39">
        <v>1</v>
      </c>
      <c r="AI597" s="39">
        <v>1</v>
      </c>
      <c r="AL597" s="39">
        <v>1</v>
      </c>
      <c r="AM597" s="39">
        <v>1</v>
      </c>
      <c r="AN597" s="39">
        <v>1</v>
      </c>
      <c r="AP597" s="39">
        <v>1</v>
      </c>
    </row>
    <row r="598" ht="28.399999999999999" customHeight="1">
      <c r="E598" s="196" t="s">
        <v>1375</v>
      </c>
      <c r="F598" s="39" t="s">
        <v>542</v>
      </c>
      <c r="G598" s="196" t="s">
        <v>498</v>
      </c>
      <c r="H598" s="291">
        <v>9803</v>
      </c>
      <c r="I598" s="291">
        <v>9814</v>
      </c>
      <c r="L598" s="39" t="s">
        <v>447</v>
      </c>
      <c r="S598" s="39">
        <v>1</v>
      </c>
      <c r="T598" s="39">
        <v>1</v>
      </c>
      <c r="V598" s="39">
        <v>1</v>
      </c>
      <c r="Y598" s="39">
        <v>1</v>
      </c>
      <c r="AC598" s="39">
        <v>1</v>
      </c>
      <c r="AE598" s="39">
        <v>1</v>
      </c>
      <c r="AF598" s="39">
        <v>1</v>
      </c>
      <c r="AG598" s="39">
        <v>1</v>
      </c>
      <c r="AH598" s="39">
        <v>1</v>
      </c>
      <c r="AI598" s="39">
        <v>1</v>
      </c>
      <c r="AJ598" s="39">
        <v>1</v>
      </c>
      <c r="AL598" s="39">
        <v>1</v>
      </c>
      <c r="AM598" s="39">
        <v>1</v>
      </c>
      <c r="AN598" s="39">
        <v>1</v>
      </c>
      <c r="AP598" s="39">
        <v>1</v>
      </c>
    </row>
    <row r="599" ht="28.399999999999999" customHeight="1">
      <c r="E599" s="111" t="s">
        <v>1376</v>
      </c>
      <c r="F599" s="39" t="s">
        <v>510</v>
      </c>
      <c r="G599" s="111" t="s">
        <v>498</v>
      </c>
      <c r="H599" s="313">
        <v>10002</v>
      </c>
      <c r="I599" s="313">
        <v>10006</v>
      </c>
      <c r="L599" s="39" t="s">
        <v>325</v>
      </c>
      <c r="M599" s="39">
        <v>1</v>
      </c>
      <c r="P599" s="39">
        <v>1</v>
      </c>
      <c r="V599" s="39">
        <v>1</v>
      </c>
      <c r="Z599" s="39">
        <v>1</v>
      </c>
      <c r="AA599" s="39">
        <v>1</v>
      </c>
      <c r="AE599" s="39">
        <v>1</v>
      </c>
      <c r="AF599" s="39">
        <v>1</v>
      </c>
      <c r="AG599" s="39">
        <v>1</v>
      </c>
      <c r="AH599" s="39">
        <v>1</v>
      </c>
      <c r="AL599" s="39">
        <v>1</v>
      </c>
      <c r="AM599" s="39">
        <v>1</v>
      </c>
      <c r="AN599" s="39">
        <v>1</v>
      </c>
      <c r="AP599" s="39">
        <v>1</v>
      </c>
    </row>
    <row r="600" ht="28.399999999999999" customHeight="1">
      <c r="E600" s="111" t="s">
        <v>1377</v>
      </c>
      <c r="F600" s="39" t="s">
        <v>510</v>
      </c>
      <c r="G600" s="111" t="s">
        <v>498</v>
      </c>
      <c r="H600" s="313">
        <v>10113</v>
      </c>
      <c r="I600" s="313">
        <v>10117</v>
      </c>
      <c r="L600" s="39" t="s">
        <v>325</v>
      </c>
      <c r="M600" s="39">
        <v>1</v>
      </c>
      <c r="P600" s="39">
        <v>1</v>
      </c>
      <c r="V600" s="39">
        <v>1</v>
      </c>
      <c r="Z600" s="39">
        <v>1</v>
      </c>
      <c r="AA600" s="39">
        <v>1</v>
      </c>
      <c r="AE600" s="39">
        <v>1</v>
      </c>
      <c r="AF600" s="39">
        <v>1</v>
      </c>
      <c r="AG600" s="39">
        <v>1</v>
      </c>
      <c r="AH600" s="39">
        <v>1</v>
      </c>
      <c r="AL600" s="39">
        <v>1</v>
      </c>
      <c r="AM600" s="39">
        <v>1</v>
      </c>
      <c r="AN600" s="39">
        <v>1</v>
      </c>
      <c r="AP600" s="39">
        <v>1</v>
      </c>
    </row>
    <row r="601" ht="28.399999999999999" customHeight="1">
      <c r="B601" s="401"/>
      <c r="C601" s="401" t="s">
        <v>1354</v>
      </c>
      <c r="E601" s="415" t="s">
        <v>1378</v>
      </c>
      <c r="F601" s="39" t="s">
        <v>535</v>
      </c>
      <c r="G601" s="415" t="s">
        <v>498</v>
      </c>
      <c r="H601" s="416">
        <v>13283</v>
      </c>
      <c r="I601" s="416">
        <v>13292</v>
      </c>
      <c r="J601" s="128" t="s">
        <v>1379</v>
      </c>
      <c r="L601" s="127" t="s">
        <v>325</v>
      </c>
      <c r="N601" s="39">
        <v>1</v>
      </c>
      <c r="P601" s="39">
        <v>1</v>
      </c>
      <c r="V601" s="39">
        <v>1</v>
      </c>
      <c r="Y601" s="39">
        <v>1</v>
      </c>
      <c r="AA601" s="39">
        <v>1</v>
      </c>
      <c r="AE601" s="39">
        <v>1</v>
      </c>
      <c r="AF601" s="39">
        <v>1</v>
      </c>
      <c r="AG601" s="39">
        <v>1</v>
      </c>
      <c r="AH601" s="39">
        <v>1</v>
      </c>
      <c r="AI601" s="39">
        <v>1</v>
      </c>
      <c r="AJ601" s="39">
        <v>1</v>
      </c>
      <c r="AL601" s="39">
        <v>1</v>
      </c>
      <c r="AM601" s="39">
        <v>1</v>
      </c>
      <c r="AN601" s="39">
        <v>1</v>
      </c>
      <c r="AP601" s="39">
        <v>1</v>
      </c>
    </row>
    <row r="602" ht="28.399999999999999" customHeight="1">
      <c r="E602" s="358" t="s">
        <v>1380</v>
      </c>
      <c r="F602" s="39" t="s">
        <v>541</v>
      </c>
      <c r="G602" s="358" t="s">
        <v>498</v>
      </c>
      <c r="H602" s="313">
        <v>13371</v>
      </c>
      <c r="I602" s="313">
        <v>13379</v>
      </c>
      <c r="L602" s="39" t="s">
        <v>325</v>
      </c>
      <c r="M602" s="39">
        <v>1</v>
      </c>
      <c r="P602" s="39">
        <v>1</v>
      </c>
      <c r="V602" s="39">
        <v>1</v>
      </c>
      <c r="Z602" s="39">
        <v>1</v>
      </c>
      <c r="AA602" s="39">
        <v>1</v>
      </c>
      <c r="AE602" s="39">
        <v>1</v>
      </c>
      <c r="AF602" s="39">
        <v>1</v>
      </c>
      <c r="AG602" s="39">
        <v>1</v>
      </c>
      <c r="AH602" s="39">
        <v>1</v>
      </c>
      <c r="AI602" s="39">
        <v>1</v>
      </c>
      <c r="AL602" s="39">
        <v>1</v>
      </c>
      <c r="AM602" s="39">
        <v>1</v>
      </c>
      <c r="AN602" s="39">
        <v>1</v>
      </c>
      <c r="AP602" s="39">
        <v>1</v>
      </c>
    </row>
    <row r="603" ht="95.5" customHeight="1">
      <c r="B603" s="39"/>
      <c r="C603" s="39"/>
      <c r="D603" s="111"/>
      <c r="E603" s="410" t="s">
        <v>1381</v>
      </c>
      <c r="F603" s="39" t="s">
        <v>1382</v>
      </c>
      <c r="G603" s="410" t="s">
        <v>498</v>
      </c>
      <c r="H603" s="411">
        <v>13448</v>
      </c>
      <c r="I603" s="411">
        <v>14204</v>
      </c>
      <c r="J603" s="111" t="s">
        <v>814</v>
      </c>
      <c r="L603" s="39" t="s">
        <v>447</v>
      </c>
      <c r="M603" s="39">
        <v>1</v>
      </c>
      <c r="N603" s="39">
        <v>1</v>
      </c>
      <c r="P603" s="39">
        <v>1</v>
      </c>
      <c r="Q603" s="39">
        <v>1</v>
      </c>
      <c r="T603" s="39">
        <v>1</v>
      </c>
      <c r="U603" s="39"/>
      <c r="V603" s="39">
        <v>1</v>
      </c>
      <c r="W603" s="39"/>
      <c r="X603" s="39">
        <v>1</v>
      </c>
      <c r="Y603" s="39">
        <v>1</v>
      </c>
      <c r="AB603" s="39">
        <v>1</v>
      </c>
      <c r="AD603" s="39"/>
      <c r="AE603" s="39">
        <v>1</v>
      </c>
      <c r="AF603" s="39">
        <v>1</v>
      </c>
      <c r="AG603" s="39">
        <v>1</v>
      </c>
      <c r="AH603" s="39">
        <v>1</v>
      </c>
      <c r="AI603" s="39">
        <v>1</v>
      </c>
      <c r="AJ603" s="39">
        <v>1</v>
      </c>
      <c r="AL603" s="39">
        <v>1</v>
      </c>
      <c r="AM603" s="39">
        <v>1</v>
      </c>
      <c r="AN603" s="39">
        <v>1</v>
      </c>
      <c r="AP603" s="39">
        <v>1</v>
      </c>
    </row>
    <row r="604" ht="41.75" customHeight="1">
      <c r="E604" s="358" t="s">
        <v>1383</v>
      </c>
      <c r="F604" s="39" t="s">
        <v>516</v>
      </c>
      <c r="G604" s="358" t="s">
        <v>498</v>
      </c>
      <c r="H604" s="313">
        <v>14567</v>
      </c>
      <c r="I604" s="313">
        <v>14570</v>
      </c>
      <c r="J604" s="111" t="s">
        <v>1255</v>
      </c>
      <c r="L604" s="39" t="s">
        <v>325</v>
      </c>
      <c r="M604" s="39">
        <v>1</v>
      </c>
      <c r="P604" s="39">
        <v>1</v>
      </c>
      <c r="V604" s="39">
        <v>1</v>
      </c>
      <c r="Y604" s="39">
        <v>1</v>
      </c>
      <c r="AA604" s="39">
        <v>1</v>
      </c>
      <c r="AE604" s="39">
        <v>1</v>
      </c>
      <c r="AF604" s="39">
        <v>1</v>
      </c>
      <c r="AG604" s="39">
        <v>1</v>
      </c>
      <c r="AH604" s="39">
        <v>1</v>
      </c>
      <c r="AL604" s="39">
        <v>1</v>
      </c>
      <c r="AM604" s="39">
        <v>1</v>
      </c>
      <c r="AN604" s="39">
        <v>1</v>
      </c>
      <c r="AP604" s="39">
        <v>1</v>
      </c>
    </row>
    <row r="605" ht="28.399999999999999" customHeight="1">
      <c r="E605" s="358" t="s">
        <v>1384</v>
      </c>
      <c r="F605" s="39" t="s">
        <v>703</v>
      </c>
      <c r="G605" s="358" t="s">
        <v>498</v>
      </c>
      <c r="H605" s="313">
        <v>14877</v>
      </c>
      <c r="I605" s="313">
        <v>14918</v>
      </c>
      <c r="L605" s="39" t="s">
        <v>325</v>
      </c>
      <c r="M605" s="39">
        <v>1</v>
      </c>
      <c r="P605" s="39">
        <v>1</v>
      </c>
      <c r="W605" s="39">
        <v>1</v>
      </c>
      <c r="Z605" s="39">
        <v>1</v>
      </c>
      <c r="AA605" s="39">
        <v>1</v>
      </c>
      <c r="AE605" s="39">
        <v>1</v>
      </c>
      <c r="AF605" s="39">
        <v>1</v>
      </c>
      <c r="AG605" s="39">
        <v>1</v>
      </c>
      <c r="AH605" s="39">
        <v>1</v>
      </c>
      <c r="AL605" s="39">
        <v>1</v>
      </c>
      <c r="AM605" s="39">
        <v>1</v>
      </c>
      <c r="AN605" s="39">
        <v>1</v>
      </c>
      <c r="AP605" s="39">
        <v>1</v>
      </c>
    </row>
    <row r="606" ht="28.399999999999999" customHeight="1">
      <c r="E606" s="340" t="s">
        <v>1385</v>
      </c>
      <c r="F606" s="39" t="s">
        <v>703</v>
      </c>
      <c r="G606" s="340" t="s">
        <v>498</v>
      </c>
      <c r="H606" s="341">
        <v>14997</v>
      </c>
      <c r="I606" s="341">
        <v>15038</v>
      </c>
      <c r="J606" s="111" t="s">
        <v>1386</v>
      </c>
      <c r="L606" s="39" t="s">
        <v>325</v>
      </c>
      <c r="M606" s="39">
        <v>1</v>
      </c>
      <c r="P606" s="39">
        <v>1</v>
      </c>
      <c r="W606" s="39">
        <v>1</v>
      </c>
      <c r="Z606" s="39">
        <v>1</v>
      </c>
      <c r="AA606" s="39">
        <v>1</v>
      </c>
      <c r="AE606" s="39">
        <v>1</v>
      </c>
      <c r="AF606" s="39">
        <v>1</v>
      </c>
      <c r="AG606" s="39">
        <v>1</v>
      </c>
      <c r="AH606" s="39">
        <v>1</v>
      </c>
      <c r="AL606" s="39">
        <v>1</v>
      </c>
      <c r="AM606" s="39">
        <v>1</v>
      </c>
      <c r="AN606" s="39">
        <v>1</v>
      </c>
      <c r="AP606" s="39">
        <v>1</v>
      </c>
    </row>
    <row r="607" ht="28.399999999999999" customHeight="1">
      <c r="D607" s="39" t="s">
        <v>1277</v>
      </c>
      <c r="E607" s="358" t="s">
        <v>1387</v>
      </c>
      <c r="F607" s="39" t="s">
        <v>618</v>
      </c>
      <c r="G607" s="358" t="s">
        <v>498</v>
      </c>
      <c r="H607" s="313">
        <v>26959</v>
      </c>
      <c r="I607" s="313">
        <v>26965</v>
      </c>
      <c r="L607" s="39" t="s">
        <v>325</v>
      </c>
      <c r="M607" s="39">
        <v>1</v>
      </c>
      <c r="P607" s="39">
        <v>1</v>
      </c>
      <c r="W607" s="39">
        <v>1</v>
      </c>
      <c r="Y607" s="39">
        <v>1</v>
      </c>
      <c r="AA607" s="39">
        <v>1</v>
      </c>
      <c r="AE607" s="39">
        <v>1</v>
      </c>
      <c r="AF607" s="39">
        <v>1</v>
      </c>
      <c r="AL607" s="39">
        <v>1</v>
      </c>
      <c r="AM607" s="39">
        <v>1</v>
      </c>
      <c r="AN607" s="39">
        <v>1</v>
      </c>
      <c r="AP607" s="39">
        <v>1</v>
      </c>
    </row>
    <row r="608" ht="41.75" customHeight="1">
      <c r="D608" s="39" t="s">
        <v>1277</v>
      </c>
      <c r="E608" s="111" t="s">
        <v>1388</v>
      </c>
      <c r="F608" s="39" t="s">
        <v>502</v>
      </c>
      <c r="G608" s="111" t="s">
        <v>498</v>
      </c>
      <c r="H608" s="313">
        <v>27220</v>
      </c>
      <c r="I608" s="313">
        <v>27237</v>
      </c>
      <c r="L608" s="39" t="s">
        <v>325</v>
      </c>
      <c r="M608" s="39">
        <v>1</v>
      </c>
      <c r="P608" s="39">
        <v>1</v>
      </c>
      <c r="V608" s="39">
        <v>1</v>
      </c>
      <c r="Y608" s="39">
        <v>1</v>
      </c>
      <c r="AA608" s="39">
        <v>1</v>
      </c>
      <c r="AE608" s="39">
        <v>1</v>
      </c>
      <c r="AF608" s="39">
        <v>1</v>
      </c>
      <c r="AL608" s="39">
        <v>1</v>
      </c>
      <c r="AM608" s="39">
        <v>1</v>
      </c>
      <c r="AN608" s="39">
        <v>1</v>
      </c>
      <c r="AP608" s="39">
        <v>1</v>
      </c>
    </row>
    <row r="609" ht="14.25" customHeight="1">
      <c r="D609" s="39" t="s">
        <v>1277</v>
      </c>
      <c r="E609" s="111" t="s">
        <v>1389</v>
      </c>
      <c r="F609" s="39" t="s">
        <v>608</v>
      </c>
      <c r="G609" s="111" t="s">
        <v>498</v>
      </c>
      <c r="H609" s="313">
        <v>27523</v>
      </c>
      <c r="I609" s="313">
        <v>27535</v>
      </c>
      <c r="L609" s="39" t="s">
        <v>447</v>
      </c>
      <c r="Q609" s="39">
        <v>1</v>
      </c>
      <c r="T609" s="39">
        <v>1</v>
      </c>
      <c r="V609" s="39">
        <v>1</v>
      </c>
      <c r="Y609" s="39">
        <v>1</v>
      </c>
      <c r="AB609" s="39">
        <v>1</v>
      </c>
      <c r="AE609" s="39">
        <v>1</v>
      </c>
      <c r="AF609" s="39">
        <v>1</v>
      </c>
      <c r="AG609" s="39">
        <v>1</v>
      </c>
      <c r="AH609" s="39">
        <v>1</v>
      </c>
      <c r="AJ609" s="39">
        <v>1</v>
      </c>
      <c r="AL609" s="39">
        <v>1</v>
      </c>
      <c r="AM609" s="39">
        <v>1</v>
      </c>
      <c r="AN609" s="39">
        <v>1</v>
      </c>
      <c r="AP609" s="39">
        <v>1</v>
      </c>
    </row>
    <row r="610" s="144" customFormat="1" ht="14.25" customHeight="1">
      <c r="E610" s="364" t="s">
        <v>1390</v>
      </c>
      <c r="F610" s="144" t="s">
        <v>510</v>
      </c>
      <c r="G610" s="364" t="s">
        <v>498</v>
      </c>
      <c r="H610" s="320">
        <v>28104</v>
      </c>
      <c r="I610" s="320">
        <v>28108</v>
      </c>
      <c r="J610" s="145"/>
      <c r="L610" s="144" t="s">
        <v>325</v>
      </c>
      <c r="N610" s="144">
        <v>1</v>
      </c>
      <c r="P610" s="144">
        <v>1</v>
      </c>
      <c r="V610" s="144">
        <v>1</v>
      </c>
      <c r="Y610" s="144">
        <v>1</v>
      </c>
      <c r="AA610" s="144">
        <v>1</v>
      </c>
      <c r="AE610" s="144">
        <v>1</v>
      </c>
      <c r="AF610" s="144">
        <v>1</v>
      </c>
      <c r="AG610" s="144">
        <v>1</v>
      </c>
      <c r="AH610" s="144">
        <v>1</v>
      </c>
      <c r="AI610" s="144">
        <v>1</v>
      </c>
      <c r="AJ610" s="144">
        <v>1</v>
      </c>
      <c r="AL610" s="144">
        <v>1</v>
      </c>
      <c r="AM610" s="144">
        <v>1</v>
      </c>
      <c r="AN610" s="144">
        <v>1</v>
      </c>
      <c r="AP610" s="144">
        <v>1</v>
      </c>
    </row>
    <row r="611" ht="28.399999999999999" customHeight="1">
      <c r="A611" s="125" t="s">
        <v>1391</v>
      </c>
      <c r="B611" s="39" t="s">
        <v>513</v>
      </c>
      <c r="C611" s="39" t="s">
        <v>1392</v>
      </c>
      <c r="D611" s="39" t="s">
        <v>1346</v>
      </c>
      <c r="E611" s="358" t="s">
        <v>1393</v>
      </c>
      <c r="F611" s="39" t="s">
        <v>541</v>
      </c>
      <c r="G611" s="358" t="s">
        <v>498</v>
      </c>
      <c r="H611" s="313">
        <v>13129</v>
      </c>
      <c r="I611" s="313">
        <v>13137</v>
      </c>
      <c r="L611" s="39" t="s">
        <v>325</v>
      </c>
      <c r="M611" s="39">
        <v>1</v>
      </c>
      <c r="P611" s="39">
        <v>1</v>
      </c>
      <c r="W611" s="39">
        <v>1</v>
      </c>
      <c r="Z611" s="39">
        <v>1</v>
      </c>
      <c r="AA611" s="39">
        <v>1</v>
      </c>
      <c r="AE611" s="39">
        <v>1</v>
      </c>
      <c r="AF611" s="39">
        <v>1</v>
      </c>
      <c r="AG611" s="39">
        <v>1</v>
      </c>
      <c r="AL611" s="39">
        <v>1</v>
      </c>
      <c r="AM611" s="39">
        <v>1</v>
      </c>
      <c r="AN611" s="39">
        <v>1</v>
      </c>
      <c r="AP611" s="39">
        <v>1</v>
      </c>
    </row>
    <row r="612" ht="28.399999999999999" customHeight="1">
      <c r="E612" s="358" t="s">
        <v>1394</v>
      </c>
      <c r="F612" s="39" t="s">
        <v>610</v>
      </c>
      <c r="G612" s="358" t="s">
        <v>498</v>
      </c>
      <c r="H612" s="313">
        <v>13725</v>
      </c>
      <c r="I612" s="313">
        <v>13738</v>
      </c>
      <c r="J612" s="111" t="s">
        <v>1395</v>
      </c>
      <c r="L612" s="39" t="s">
        <v>325</v>
      </c>
      <c r="M612" s="39">
        <v>1</v>
      </c>
      <c r="P612" s="39">
        <v>1</v>
      </c>
      <c r="W612" s="39">
        <v>1</v>
      </c>
      <c r="Z612" s="39">
        <v>1</v>
      </c>
      <c r="AA612" s="39">
        <v>1</v>
      </c>
      <c r="AE612" s="39">
        <v>1</v>
      </c>
      <c r="AF612" s="39">
        <v>1</v>
      </c>
      <c r="AG612" s="39">
        <v>1</v>
      </c>
      <c r="AL612" s="39">
        <v>1</v>
      </c>
      <c r="AM612" s="39">
        <v>1</v>
      </c>
      <c r="AN612" s="39">
        <v>1</v>
      </c>
      <c r="AP612" s="39">
        <v>1</v>
      </c>
    </row>
    <row r="613" ht="28.399999999999999" customHeight="1">
      <c r="D613" s="39" t="s">
        <v>1277</v>
      </c>
      <c r="E613" s="358" t="s">
        <v>1396</v>
      </c>
      <c r="F613" s="39" t="s">
        <v>502</v>
      </c>
      <c r="G613" s="358" t="s">
        <v>498</v>
      </c>
      <c r="H613" s="313">
        <v>30250</v>
      </c>
      <c r="I613" s="313">
        <v>30267</v>
      </c>
      <c r="L613" s="39" t="s">
        <v>325</v>
      </c>
      <c r="M613" s="39">
        <v>1</v>
      </c>
      <c r="P613" s="39">
        <v>1</v>
      </c>
      <c r="W613" s="39">
        <v>1</v>
      </c>
      <c r="Z613" s="39">
        <v>1</v>
      </c>
      <c r="AA613" s="39">
        <v>1</v>
      </c>
      <c r="AE613" s="39">
        <v>1</v>
      </c>
      <c r="AF613" s="39">
        <v>1</v>
      </c>
      <c r="AG613" s="39">
        <v>1</v>
      </c>
      <c r="AI613" s="39">
        <v>1</v>
      </c>
      <c r="AL613" s="39">
        <v>1</v>
      </c>
      <c r="AM613" s="39">
        <v>1</v>
      </c>
      <c r="AN613" s="39">
        <v>1</v>
      </c>
      <c r="AO613" s="39">
        <v>1</v>
      </c>
    </row>
    <row r="614" s="144" customFormat="1" ht="14.25" customHeight="1">
      <c r="E614" s="145" t="s">
        <v>1397</v>
      </c>
      <c r="F614" s="144" t="s">
        <v>510</v>
      </c>
      <c r="G614" s="145" t="s">
        <v>498</v>
      </c>
      <c r="H614" s="320">
        <v>30821</v>
      </c>
      <c r="I614" s="320">
        <v>30825</v>
      </c>
      <c r="J614" s="145"/>
      <c r="L614" s="144" t="s">
        <v>325</v>
      </c>
      <c r="M614" s="144">
        <v>1</v>
      </c>
      <c r="P614" s="144">
        <v>1</v>
      </c>
      <c r="W614" s="144">
        <v>1</v>
      </c>
      <c r="Y614" s="144">
        <v>1</v>
      </c>
      <c r="AA614" s="144">
        <v>1</v>
      </c>
      <c r="AJ614" s="144">
        <v>1</v>
      </c>
      <c r="AL614" s="144">
        <v>1</v>
      </c>
      <c r="AM614" s="144">
        <v>1</v>
      </c>
      <c r="AN614" s="144">
        <v>1</v>
      </c>
      <c r="AO614" s="144">
        <v>1</v>
      </c>
    </row>
    <row r="615" ht="28.399999999999999" customHeight="1">
      <c r="B615" s="39" t="s">
        <v>513</v>
      </c>
      <c r="C615" s="39" t="s">
        <v>1398</v>
      </c>
      <c r="D615" s="316" t="s">
        <v>1399</v>
      </c>
      <c r="E615" s="111" t="s">
        <v>1400</v>
      </c>
      <c r="F615" s="39" t="s">
        <v>512</v>
      </c>
      <c r="G615" s="111" t="s">
        <v>498</v>
      </c>
      <c r="H615" s="313">
        <v>15224</v>
      </c>
      <c r="I615" s="313">
        <v>15238</v>
      </c>
      <c r="L615" s="39" t="s">
        <v>325</v>
      </c>
      <c r="M615" s="39">
        <v>1</v>
      </c>
      <c r="P615" s="39">
        <v>1</v>
      </c>
      <c r="W615" s="39">
        <v>1</v>
      </c>
      <c r="Z615" s="39">
        <v>1</v>
      </c>
      <c r="AA615" s="39">
        <v>1</v>
      </c>
      <c r="AG615" s="39">
        <v>1</v>
      </c>
      <c r="AH615" s="39">
        <v>1</v>
      </c>
      <c r="AM615" s="39">
        <v>1</v>
      </c>
      <c r="AP615" s="39">
        <v>1</v>
      </c>
    </row>
    <row r="616" ht="28.399999999999999" customHeight="1">
      <c r="E616" s="111" t="s">
        <v>1401</v>
      </c>
      <c r="F616" s="39" t="s">
        <v>516</v>
      </c>
      <c r="G616" s="111" t="s">
        <v>498</v>
      </c>
      <c r="H616" s="313">
        <v>15341</v>
      </c>
      <c r="I616" s="313">
        <v>15344</v>
      </c>
      <c r="L616" s="39" t="s">
        <v>325</v>
      </c>
      <c r="M616" s="39">
        <v>1</v>
      </c>
      <c r="P616" s="39">
        <v>1</v>
      </c>
      <c r="W616" s="39">
        <v>1</v>
      </c>
      <c r="Z616" s="39">
        <v>1</v>
      </c>
      <c r="AA616" s="39">
        <v>1</v>
      </c>
      <c r="AG616" s="39">
        <v>1</v>
      </c>
      <c r="AH616" s="39">
        <v>1</v>
      </c>
      <c r="AM616" s="39">
        <v>1</v>
      </c>
      <c r="AP616" s="39">
        <v>1</v>
      </c>
    </row>
    <row r="617" ht="28.399999999999999" customHeight="1">
      <c r="E617" s="111" t="s">
        <v>1402</v>
      </c>
      <c r="F617" s="39" t="s">
        <v>539</v>
      </c>
      <c r="G617" s="111" t="s">
        <v>498</v>
      </c>
      <c r="H617" s="313">
        <v>21469</v>
      </c>
      <c r="I617" s="313">
        <v>21497</v>
      </c>
      <c r="L617" s="39" t="s">
        <v>325</v>
      </c>
      <c r="M617" s="39">
        <v>1</v>
      </c>
      <c r="P617" s="39">
        <v>1</v>
      </c>
      <c r="W617" s="39">
        <v>1</v>
      </c>
      <c r="Z617" s="39">
        <v>1</v>
      </c>
      <c r="AA617" s="39">
        <v>1</v>
      </c>
      <c r="AG617" s="39">
        <v>1</v>
      </c>
      <c r="AH617" s="39">
        <v>1</v>
      </c>
      <c r="AL617" s="39">
        <v>1</v>
      </c>
      <c r="AM617" s="39">
        <v>1</v>
      </c>
      <c r="AP617" s="39">
        <v>1</v>
      </c>
    </row>
    <row r="618" s="144" customFormat="1" ht="28.5" customHeight="1">
      <c r="E618" s="145" t="s">
        <v>1403</v>
      </c>
      <c r="F618" s="144" t="s">
        <v>620</v>
      </c>
      <c r="G618" s="145" t="s">
        <v>498</v>
      </c>
      <c r="H618" s="320">
        <v>22896</v>
      </c>
      <c r="I618" s="320">
        <v>22926</v>
      </c>
      <c r="J618" s="145"/>
      <c r="L618" s="144" t="s">
        <v>325</v>
      </c>
      <c r="O618" s="144">
        <v>1</v>
      </c>
      <c r="P618" s="144">
        <v>1</v>
      </c>
      <c r="W618" s="144">
        <v>1</v>
      </c>
      <c r="X618" s="144">
        <v>1</v>
      </c>
      <c r="Z618" s="144">
        <v>1</v>
      </c>
      <c r="AA618" s="144">
        <v>1</v>
      </c>
      <c r="AG618" s="144">
        <v>1</v>
      </c>
      <c r="AH618" s="144">
        <v>1</v>
      </c>
      <c r="AL618" s="144">
        <v>1</v>
      </c>
      <c r="AM618" s="144">
        <v>1</v>
      </c>
      <c r="AN618" s="144">
        <v>1</v>
      </c>
      <c r="AP618" s="144">
        <v>1</v>
      </c>
    </row>
    <row r="619" ht="71.25" customHeight="1">
      <c r="A619" s="128" t="s">
        <v>1404</v>
      </c>
      <c r="B619" s="39" t="s">
        <v>482</v>
      </c>
      <c r="C619" s="39" t="s">
        <v>1405</v>
      </c>
      <c r="D619" s="39" t="s">
        <v>218</v>
      </c>
      <c r="E619" s="363" t="s">
        <v>1406</v>
      </c>
      <c r="F619" s="39" t="s">
        <v>1407</v>
      </c>
      <c r="G619" s="363" t="s">
        <v>498</v>
      </c>
      <c r="H619" s="291">
        <v>9010</v>
      </c>
      <c r="I619" s="291">
        <v>9239</v>
      </c>
      <c r="L619" s="39" t="s">
        <v>447</v>
      </c>
      <c r="M619" s="39">
        <v>1</v>
      </c>
      <c r="P619" s="39">
        <v>1</v>
      </c>
      <c r="V619" s="39">
        <v>1</v>
      </c>
      <c r="Z619" s="39">
        <v>1</v>
      </c>
      <c r="AA619" s="39">
        <v>1</v>
      </c>
      <c r="AE619" s="39">
        <v>1</v>
      </c>
      <c r="AF619" s="39">
        <v>1</v>
      </c>
      <c r="AG619" s="39">
        <v>1</v>
      </c>
      <c r="AH619" s="39">
        <v>1</v>
      </c>
      <c r="AJ619" s="39">
        <v>1</v>
      </c>
      <c r="AK619" s="39">
        <v>1</v>
      </c>
      <c r="AL619" s="39">
        <v>1</v>
      </c>
      <c r="AM619" s="39">
        <v>1</v>
      </c>
      <c r="AN619" s="39">
        <v>1</v>
      </c>
      <c r="AP619" s="39">
        <v>1</v>
      </c>
      <c r="AQ619" s="39">
        <v>1</v>
      </c>
      <c r="AS619" s="39">
        <v>1</v>
      </c>
      <c r="AU619" s="39">
        <v>1</v>
      </c>
      <c r="AX619" s="39">
        <v>1</v>
      </c>
      <c r="BG619" s="39">
        <v>1</v>
      </c>
    </row>
    <row r="620" ht="14.25" customHeight="1">
      <c r="E620" s="196" t="s">
        <v>1408</v>
      </c>
      <c r="F620" s="39" t="s">
        <v>646</v>
      </c>
      <c r="G620" s="196" t="s">
        <v>498</v>
      </c>
      <c r="H620" s="291">
        <v>9267</v>
      </c>
      <c r="I620" s="291">
        <v>9283</v>
      </c>
      <c r="L620" s="39" t="s">
        <v>447</v>
      </c>
      <c r="AQ620" s="39">
        <v>1</v>
      </c>
      <c r="AW620" s="39">
        <v>1</v>
      </c>
      <c r="BG620" s="39">
        <v>1</v>
      </c>
      <c r="BJ620" s="39">
        <v>1</v>
      </c>
    </row>
    <row r="621" ht="71.25" customHeight="1">
      <c r="E621" s="417" t="s">
        <v>1409</v>
      </c>
      <c r="F621" s="418" t="s">
        <v>1410</v>
      </c>
      <c r="G621" s="417" t="s">
        <v>498</v>
      </c>
      <c r="H621" s="291">
        <v>9302</v>
      </c>
      <c r="I621" s="291">
        <v>9430</v>
      </c>
      <c r="K621" s="382" t="s">
        <v>1266</v>
      </c>
      <c r="L621" s="39" t="s">
        <v>1248</v>
      </c>
      <c r="M621" s="39">
        <v>1</v>
      </c>
      <c r="P621" s="39">
        <v>1</v>
      </c>
      <c r="V621" s="39">
        <v>1</v>
      </c>
      <c r="Z621" s="39">
        <v>1</v>
      </c>
      <c r="AA621" s="39">
        <v>1</v>
      </c>
      <c r="AE621" s="39">
        <v>1</v>
      </c>
      <c r="AF621" s="39">
        <v>1</v>
      </c>
      <c r="AG621" s="39">
        <v>1</v>
      </c>
      <c r="AH621" s="39">
        <v>1</v>
      </c>
      <c r="AJ621" s="39">
        <v>1</v>
      </c>
      <c r="AK621" s="39">
        <v>1</v>
      </c>
      <c r="AL621" s="39">
        <v>1</v>
      </c>
      <c r="AM621" s="39">
        <v>1</v>
      </c>
      <c r="AN621" s="39">
        <v>1</v>
      </c>
      <c r="AP621" s="39">
        <v>1</v>
      </c>
      <c r="BG621" s="39">
        <v>1</v>
      </c>
      <c r="BI621" s="382">
        <v>1</v>
      </c>
    </row>
    <row r="622" ht="14.25" customHeight="1">
      <c r="E622" s="358" t="s">
        <v>1411</v>
      </c>
      <c r="F622" s="39" t="s">
        <v>572</v>
      </c>
      <c r="G622" s="358" t="s">
        <v>498</v>
      </c>
      <c r="H622" s="313">
        <v>9457</v>
      </c>
      <c r="I622" s="313">
        <v>9483</v>
      </c>
      <c r="L622" s="39" t="s">
        <v>325</v>
      </c>
      <c r="O622" s="39">
        <v>1</v>
      </c>
      <c r="P622" s="39">
        <v>1</v>
      </c>
      <c r="X622" s="39">
        <v>1</v>
      </c>
      <c r="Z622" s="39">
        <v>1</v>
      </c>
      <c r="AA622" s="39">
        <v>1</v>
      </c>
      <c r="AK622" s="39">
        <v>1</v>
      </c>
      <c r="AL622" s="39">
        <v>1</v>
      </c>
      <c r="AM622" s="39">
        <v>1</v>
      </c>
      <c r="AN622" s="39">
        <v>1</v>
      </c>
      <c r="AO622" s="39">
        <v>1</v>
      </c>
    </row>
    <row r="623" ht="14.25" customHeight="1">
      <c r="E623" s="358" t="s">
        <v>1412</v>
      </c>
      <c r="F623" s="39" t="s">
        <v>512</v>
      </c>
      <c r="G623" s="358" t="s">
        <v>498</v>
      </c>
      <c r="H623" s="313">
        <v>9571</v>
      </c>
      <c r="I623" s="313">
        <v>9585</v>
      </c>
      <c r="L623" s="39" t="s">
        <v>325</v>
      </c>
      <c r="AQ623" s="39">
        <v>1</v>
      </c>
      <c r="AS623" s="39">
        <v>1</v>
      </c>
      <c r="AX623" s="39">
        <v>1</v>
      </c>
    </row>
    <row r="624" ht="42.75" customHeight="1">
      <c r="E624" s="111" t="s">
        <v>1413</v>
      </c>
      <c r="F624" s="39" t="s">
        <v>539</v>
      </c>
      <c r="G624" s="111" t="s">
        <v>498</v>
      </c>
      <c r="H624" s="313">
        <v>9619</v>
      </c>
      <c r="I624" s="313">
        <v>9647</v>
      </c>
      <c r="L624" s="39" t="s">
        <v>325</v>
      </c>
      <c r="M624" s="39">
        <v>1</v>
      </c>
      <c r="P624" s="39">
        <v>1</v>
      </c>
      <c r="V624" s="39">
        <v>1</v>
      </c>
      <c r="Z624" s="39">
        <v>1</v>
      </c>
      <c r="AA624" s="39">
        <v>1</v>
      </c>
      <c r="AE624" s="39">
        <v>1</v>
      </c>
      <c r="AF624" s="39">
        <v>1</v>
      </c>
      <c r="AG624" s="39">
        <v>1</v>
      </c>
      <c r="AJ624" s="39">
        <v>1</v>
      </c>
      <c r="AK624" s="39">
        <v>1</v>
      </c>
      <c r="AL624" s="39">
        <v>1</v>
      </c>
      <c r="AM624" s="39">
        <v>1</v>
      </c>
      <c r="AN624" s="39">
        <v>1</v>
      </c>
      <c r="AP624" s="39">
        <v>1</v>
      </c>
      <c r="AQ624" s="39">
        <v>1</v>
      </c>
      <c r="AS624" s="39">
        <v>1</v>
      </c>
      <c r="AX624" s="39">
        <v>1</v>
      </c>
    </row>
    <row r="625" ht="28.5" customHeight="1">
      <c r="E625" s="111" t="s">
        <v>1414</v>
      </c>
      <c r="F625" s="39" t="s">
        <v>1020</v>
      </c>
      <c r="G625" s="111" t="s">
        <v>498</v>
      </c>
      <c r="H625" s="313">
        <v>9702</v>
      </c>
      <c r="I625" s="313">
        <v>9753</v>
      </c>
      <c r="L625" s="39" t="s">
        <v>325</v>
      </c>
      <c r="M625" s="39">
        <v>1</v>
      </c>
      <c r="P625" s="39">
        <v>1</v>
      </c>
      <c r="V625" s="39">
        <v>1</v>
      </c>
      <c r="Y625" s="39">
        <v>1</v>
      </c>
      <c r="AA625" s="39">
        <v>1</v>
      </c>
      <c r="AE625" s="39">
        <v>1</v>
      </c>
      <c r="AF625" s="39">
        <v>1</v>
      </c>
      <c r="AG625" s="39">
        <v>1</v>
      </c>
      <c r="AH625" s="39">
        <v>1</v>
      </c>
      <c r="AK625" s="39">
        <v>1</v>
      </c>
      <c r="AL625" s="39">
        <v>1</v>
      </c>
      <c r="AM625" s="39">
        <v>1</v>
      </c>
      <c r="AN625" s="39">
        <v>1</v>
      </c>
      <c r="AP625" s="39">
        <v>1</v>
      </c>
    </row>
    <row r="626" ht="14.25" customHeight="1">
      <c r="E626" s="358" t="s">
        <v>1415</v>
      </c>
      <c r="F626" s="39" t="s">
        <v>610</v>
      </c>
      <c r="G626" s="358" t="s">
        <v>498</v>
      </c>
      <c r="H626" s="313">
        <v>9794</v>
      </c>
      <c r="I626" s="313">
        <v>9807</v>
      </c>
      <c r="L626" s="39" t="s">
        <v>1416</v>
      </c>
      <c r="O626" s="39">
        <v>1</v>
      </c>
      <c r="P626" s="39">
        <v>1</v>
      </c>
      <c r="W626" s="39">
        <v>1</v>
      </c>
      <c r="X626" s="39">
        <v>1</v>
      </c>
      <c r="Z626" s="39">
        <v>1</v>
      </c>
      <c r="AA626" s="39">
        <v>1</v>
      </c>
      <c r="AK626" s="39">
        <v>1</v>
      </c>
      <c r="AL626" s="39">
        <v>1</v>
      </c>
      <c r="AM626" s="39">
        <v>1</v>
      </c>
      <c r="AN626" s="39">
        <v>1</v>
      </c>
      <c r="AO626" s="39">
        <v>1</v>
      </c>
    </row>
    <row r="627" ht="28.399999999999999" customHeight="1">
      <c r="E627" s="358" t="s">
        <v>1417</v>
      </c>
      <c r="F627" s="39" t="s">
        <v>829</v>
      </c>
      <c r="G627" s="358" t="s">
        <v>498</v>
      </c>
      <c r="H627" s="313">
        <v>9961</v>
      </c>
      <c r="I627" s="313">
        <v>9983</v>
      </c>
      <c r="L627" s="39" t="s">
        <v>325</v>
      </c>
      <c r="M627" s="39">
        <v>1</v>
      </c>
      <c r="O627" s="39">
        <v>1</v>
      </c>
      <c r="P627" s="39">
        <v>1</v>
      </c>
      <c r="W627" s="39">
        <v>1</v>
      </c>
      <c r="X627" s="39">
        <v>1</v>
      </c>
      <c r="Z627" s="39">
        <v>1</v>
      </c>
      <c r="AA627" s="39">
        <v>1</v>
      </c>
      <c r="AF627" s="39">
        <v>1</v>
      </c>
      <c r="AG627" s="39">
        <v>1</v>
      </c>
      <c r="AK627" s="39">
        <v>1</v>
      </c>
      <c r="AL627" s="39">
        <v>1</v>
      </c>
      <c r="AM627" s="39">
        <v>1</v>
      </c>
      <c r="AN627" s="39">
        <v>1</v>
      </c>
      <c r="AP627" s="39">
        <v>1</v>
      </c>
    </row>
    <row r="628" ht="14.25" customHeight="1">
      <c r="E628" s="111" t="s">
        <v>1418</v>
      </c>
      <c r="F628" s="39" t="s">
        <v>491</v>
      </c>
      <c r="G628" s="111" t="s">
        <v>498</v>
      </c>
      <c r="H628" s="313">
        <v>10250</v>
      </c>
      <c r="I628" s="313">
        <v>10275</v>
      </c>
      <c r="L628" s="39" t="s">
        <v>325</v>
      </c>
      <c r="M628" s="39">
        <v>1</v>
      </c>
      <c r="P628" s="39">
        <v>1</v>
      </c>
      <c r="W628" s="39">
        <v>1</v>
      </c>
      <c r="X628" s="39">
        <v>1</v>
      </c>
      <c r="Z628" s="39">
        <v>1</v>
      </c>
      <c r="AA628" s="39">
        <v>1</v>
      </c>
      <c r="AJ628" s="39">
        <v>1</v>
      </c>
      <c r="AL628" s="39">
        <v>1</v>
      </c>
      <c r="AO628" s="39">
        <v>1</v>
      </c>
    </row>
    <row r="629" ht="28.399999999999999" customHeight="1">
      <c r="E629" s="111" t="s">
        <v>1419</v>
      </c>
      <c r="F629" s="39" t="s">
        <v>629</v>
      </c>
      <c r="G629" s="111" t="s">
        <v>498</v>
      </c>
      <c r="H629" s="313">
        <v>10430</v>
      </c>
      <c r="I629" s="313">
        <v>10473</v>
      </c>
      <c r="L629" s="39" t="s">
        <v>325</v>
      </c>
      <c r="M629" s="39">
        <v>1</v>
      </c>
      <c r="P629" s="39">
        <v>1</v>
      </c>
      <c r="V629" s="39">
        <v>1</v>
      </c>
      <c r="Z629" s="39">
        <v>1</v>
      </c>
      <c r="AA629" s="39">
        <v>1</v>
      </c>
      <c r="AG629" s="39">
        <v>1</v>
      </c>
      <c r="AJ629" s="39">
        <v>1</v>
      </c>
      <c r="AL629" s="39">
        <v>1</v>
      </c>
      <c r="AM629" s="39">
        <v>1</v>
      </c>
      <c r="AO629" s="39">
        <v>1</v>
      </c>
    </row>
    <row r="630" ht="28.5" customHeight="1">
      <c r="E630" s="111" t="s">
        <v>1420</v>
      </c>
      <c r="F630" s="403" t="s">
        <v>754</v>
      </c>
      <c r="G630" s="111" t="s">
        <v>498</v>
      </c>
      <c r="H630" s="313">
        <v>17470</v>
      </c>
      <c r="I630" s="313">
        <v>17514</v>
      </c>
      <c r="L630" s="39" t="s">
        <v>325</v>
      </c>
      <c r="M630" s="39">
        <v>1</v>
      </c>
      <c r="P630" s="39">
        <v>1</v>
      </c>
      <c r="V630" s="39">
        <v>1</v>
      </c>
      <c r="Y630" s="39">
        <v>1</v>
      </c>
      <c r="AA630" s="39">
        <v>1</v>
      </c>
      <c r="AE630" s="39">
        <v>1</v>
      </c>
      <c r="AF630" s="39">
        <v>1</v>
      </c>
      <c r="AJ630" s="39">
        <v>1</v>
      </c>
      <c r="AL630" s="39">
        <v>1</v>
      </c>
      <c r="AM630" s="39">
        <v>1</v>
      </c>
      <c r="AP630" s="39">
        <v>1</v>
      </c>
      <c r="AQ630" s="39">
        <v>1</v>
      </c>
      <c r="AS630" s="39">
        <v>1</v>
      </c>
      <c r="AU630" s="39">
        <v>1</v>
      </c>
      <c r="AX630" s="39">
        <v>1</v>
      </c>
    </row>
    <row r="631" s="144" customFormat="1" ht="28.399999999999999" customHeight="1">
      <c r="E631" s="364" t="s">
        <v>1421</v>
      </c>
      <c r="F631" s="144" t="s">
        <v>1264</v>
      </c>
      <c r="G631" s="364" t="s">
        <v>498</v>
      </c>
      <c r="H631" s="320">
        <v>17570</v>
      </c>
      <c r="I631" s="320">
        <v>17644</v>
      </c>
      <c r="J631" s="145"/>
      <c r="L631" s="144" t="s">
        <v>325</v>
      </c>
      <c r="U631" s="144">
        <v>1</v>
      </c>
      <c r="W631" s="144">
        <v>1</v>
      </c>
      <c r="Y631" s="144">
        <v>1</v>
      </c>
      <c r="AD631" s="144">
        <v>1</v>
      </c>
      <c r="AE631" s="144">
        <v>1</v>
      </c>
      <c r="AF631" s="144">
        <v>1</v>
      </c>
      <c r="AJ631" s="144">
        <v>1</v>
      </c>
      <c r="AL631" s="144">
        <v>1</v>
      </c>
      <c r="AM631" s="144">
        <v>1</v>
      </c>
      <c r="AN631" s="144">
        <v>1</v>
      </c>
      <c r="AP631" s="144">
        <v>1</v>
      </c>
    </row>
    <row r="632" ht="14.25" customHeight="1">
      <c r="A632" s="39" t="s">
        <v>1422</v>
      </c>
      <c r="B632" s="39" t="s">
        <v>513</v>
      </c>
      <c r="C632" s="39" t="s">
        <v>1423</v>
      </c>
      <c r="D632" s="39" t="s">
        <v>218</v>
      </c>
      <c r="E632" s="386" t="s">
        <v>1424</v>
      </c>
      <c r="G632" s="386" t="s">
        <v>498</v>
      </c>
      <c r="H632" s="385">
        <v>6360</v>
      </c>
      <c r="I632" s="385"/>
    </row>
    <row r="633" ht="28.5" customHeight="1">
      <c r="E633" s="111" t="s">
        <v>1425</v>
      </c>
      <c r="F633" s="39" t="s">
        <v>695</v>
      </c>
      <c r="G633" s="111" t="s">
        <v>498</v>
      </c>
      <c r="H633" s="313">
        <v>6398</v>
      </c>
      <c r="I633" s="313">
        <v>6453</v>
      </c>
      <c r="J633" s="111" t="s">
        <v>1426</v>
      </c>
      <c r="L633" s="39" t="s">
        <v>325</v>
      </c>
      <c r="M633" s="39">
        <v>1</v>
      </c>
      <c r="P633" s="39">
        <v>1</v>
      </c>
      <c r="U633" s="39">
        <v>1</v>
      </c>
      <c r="W633" s="39">
        <v>1</v>
      </c>
      <c r="Y633" s="39">
        <v>1</v>
      </c>
      <c r="AD633" s="39">
        <v>1</v>
      </c>
      <c r="AE633" s="39">
        <v>1</v>
      </c>
      <c r="AF633" s="39">
        <v>1</v>
      </c>
      <c r="AK633" s="39">
        <v>1</v>
      </c>
      <c r="AL633" s="39">
        <v>1</v>
      </c>
      <c r="AM633" s="39">
        <v>1</v>
      </c>
      <c r="AN633" s="39">
        <v>1</v>
      </c>
      <c r="AP633" s="39">
        <v>1</v>
      </c>
    </row>
    <row r="634" ht="42.75" customHeight="1">
      <c r="D634" s="39" t="s">
        <v>1427</v>
      </c>
      <c r="E634" s="111" t="s">
        <v>1428</v>
      </c>
      <c r="F634" s="39" t="s">
        <v>672</v>
      </c>
      <c r="G634" s="111" t="s">
        <v>498</v>
      </c>
      <c r="H634" s="313">
        <v>7470</v>
      </c>
      <c r="I634" s="313">
        <v>7560</v>
      </c>
      <c r="L634" s="39" t="s">
        <v>325</v>
      </c>
      <c r="M634" s="39">
        <v>1</v>
      </c>
      <c r="P634" s="39">
        <v>1</v>
      </c>
      <c r="U634" s="39">
        <v>1</v>
      </c>
      <c r="W634" s="39">
        <v>1</v>
      </c>
      <c r="Z634" s="39">
        <v>1</v>
      </c>
      <c r="AA634" s="39">
        <v>1</v>
      </c>
      <c r="AE634" s="39">
        <v>1</v>
      </c>
      <c r="AF634" s="39">
        <v>1</v>
      </c>
      <c r="AG634" s="39">
        <v>1</v>
      </c>
      <c r="AH634" s="39">
        <v>1</v>
      </c>
      <c r="AJ634" s="39">
        <v>1</v>
      </c>
      <c r="AK634" s="39">
        <v>1</v>
      </c>
      <c r="AL634" s="39">
        <v>1</v>
      </c>
      <c r="AM634" s="39">
        <v>1</v>
      </c>
      <c r="AN634" s="39">
        <v>1</v>
      </c>
      <c r="AP634" s="39">
        <v>1</v>
      </c>
    </row>
    <row r="635" ht="28.5" customHeight="1">
      <c r="E635" s="111" t="s">
        <v>1429</v>
      </c>
      <c r="F635" s="39" t="s">
        <v>1264</v>
      </c>
      <c r="G635" s="111" t="s">
        <v>498</v>
      </c>
      <c r="H635" s="313">
        <v>8013</v>
      </c>
      <c r="I635" s="313">
        <v>8087</v>
      </c>
      <c r="L635" s="39" t="s">
        <v>325</v>
      </c>
      <c r="M635" s="39">
        <v>1</v>
      </c>
      <c r="N635" s="39">
        <v>1</v>
      </c>
      <c r="P635" s="39">
        <v>1</v>
      </c>
      <c r="V635" s="39">
        <v>1</v>
      </c>
      <c r="Y635" s="39">
        <v>1</v>
      </c>
      <c r="AA635" s="39">
        <v>1</v>
      </c>
      <c r="AE635" s="39">
        <v>1</v>
      </c>
      <c r="AF635" s="39">
        <v>1</v>
      </c>
      <c r="AG635" s="39">
        <v>1</v>
      </c>
      <c r="AH635" s="39">
        <v>1</v>
      </c>
      <c r="AI635" s="39">
        <v>1</v>
      </c>
      <c r="AJ635" s="39">
        <v>1</v>
      </c>
      <c r="AL635" s="39">
        <v>1</v>
      </c>
      <c r="AM635" s="39">
        <v>1</v>
      </c>
      <c r="AN635" s="39">
        <v>1</v>
      </c>
      <c r="AP635" s="39">
        <v>1</v>
      </c>
    </row>
    <row r="636" ht="28.5" customHeight="1">
      <c r="E636" s="111" t="s">
        <v>1430</v>
      </c>
      <c r="F636" s="39" t="s">
        <v>616</v>
      </c>
      <c r="G636" s="111" t="s">
        <v>498</v>
      </c>
      <c r="H636" s="313">
        <v>8130</v>
      </c>
      <c r="I636" s="313">
        <v>8166</v>
      </c>
      <c r="L636" s="39" t="s">
        <v>325</v>
      </c>
      <c r="U636" s="39">
        <v>1</v>
      </c>
      <c r="W636" s="39">
        <v>1</v>
      </c>
      <c r="Z636" s="39">
        <v>1</v>
      </c>
      <c r="AD636" s="39">
        <v>1</v>
      </c>
      <c r="AF636" s="39">
        <v>1</v>
      </c>
      <c r="AK636" s="39">
        <v>1</v>
      </c>
      <c r="AL636" s="39">
        <v>1</v>
      </c>
      <c r="AM636" s="39">
        <v>1</v>
      </c>
      <c r="AN636" s="39">
        <v>1</v>
      </c>
      <c r="AO636" s="39">
        <v>1</v>
      </c>
    </row>
    <row r="637" ht="28.5" customHeight="1">
      <c r="E637" s="111" t="s">
        <v>1431</v>
      </c>
      <c r="F637" s="39" t="s">
        <v>1156</v>
      </c>
      <c r="G637" s="111" t="s">
        <v>498</v>
      </c>
      <c r="H637" s="313">
        <v>8318</v>
      </c>
      <c r="I637" s="313">
        <v>8400</v>
      </c>
      <c r="L637" s="39" t="s">
        <v>325</v>
      </c>
      <c r="M637" s="39">
        <v>1</v>
      </c>
      <c r="P637" s="39">
        <v>1</v>
      </c>
      <c r="W637" s="39">
        <v>1</v>
      </c>
      <c r="Z637" s="39">
        <v>1</v>
      </c>
      <c r="AA637" s="39">
        <v>1</v>
      </c>
      <c r="AF637" s="39">
        <v>1</v>
      </c>
      <c r="AG637" s="39">
        <v>1</v>
      </c>
      <c r="AH637" s="39">
        <v>1</v>
      </c>
      <c r="AK637" s="39">
        <v>1</v>
      </c>
      <c r="AL637" s="39">
        <v>1</v>
      </c>
      <c r="AM637" s="39">
        <v>1</v>
      </c>
      <c r="AN637" s="39">
        <v>1</v>
      </c>
      <c r="AP637" s="39">
        <v>1</v>
      </c>
    </row>
    <row r="638" ht="14.25" customHeight="1">
      <c r="E638" s="358" t="s">
        <v>1432</v>
      </c>
      <c r="F638" s="39" t="s">
        <v>637</v>
      </c>
      <c r="G638" s="358" t="s">
        <v>498</v>
      </c>
      <c r="H638" s="313">
        <v>8430</v>
      </c>
      <c r="I638" s="313">
        <v>8487</v>
      </c>
      <c r="L638" s="39" t="s">
        <v>325</v>
      </c>
      <c r="M638" s="39">
        <v>1</v>
      </c>
      <c r="P638" s="39">
        <v>1</v>
      </c>
      <c r="W638" s="39">
        <v>1</v>
      </c>
      <c r="Z638" s="39">
        <v>1</v>
      </c>
      <c r="AA638" s="39">
        <v>1</v>
      </c>
      <c r="AE638" s="39">
        <v>1</v>
      </c>
      <c r="AF638" s="39">
        <v>1</v>
      </c>
      <c r="AH638" s="39">
        <v>1</v>
      </c>
      <c r="AJ638" s="39">
        <v>1</v>
      </c>
      <c r="AM638" s="39">
        <v>1</v>
      </c>
      <c r="AP638" s="39">
        <v>1</v>
      </c>
    </row>
    <row r="639" ht="42.75" customHeight="1">
      <c r="E639" s="111" t="s">
        <v>1433</v>
      </c>
      <c r="F639" s="39" t="s">
        <v>1434</v>
      </c>
      <c r="G639" s="111" t="s">
        <v>498</v>
      </c>
      <c r="H639" s="313">
        <v>9007</v>
      </c>
      <c r="I639" s="313">
        <v>9093</v>
      </c>
      <c r="J639" s="111" t="s">
        <v>1435</v>
      </c>
      <c r="L639" s="39" t="s">
        <v>325</v>
      </c>
      <c r="M639" s="39">
        <v>1</v>
      </c>
      <c r="P639" s="39">
        <v>1</v>
      </c>
      <c r="U639" s="39">
        <v>1</v>
      </c>
      <c r="W639" s="39">
        <v>1</v>
      </c>
      <c r="Z639" s="39">
        <v>1</v>
      </c>
      <c r="AD639" s="39">
        <v>1</v>
      </c>
      <c r="AE639" s="39">
        <v>1</v>
      </c>
      <c r="AF639" s="39">
        <v>1</v>
      </c>
      <c r="AG639" s="39">
        <v>1</v>
      </c>
      <c r="AJ639" s="39">
        <v>1</v>
      </c>
      <c r="AK639" s="39">
        <v>1</v>
      </c>
      <c r="AL639" s="39">
        <v>1</v>
      </c>
      <c r="AM639" s="39">
        <v>1</v>
      </c>
      <c r="AN639" s="39">
        <v>1</v>
      </c>
      <c r="AP639" s="39">
        <v>1</v>
      </c>
    </row>
    <row r="640" ht="28.5" customHeight="1">
      <c r="E640" s="111" t="s">
        <v>1436</v>
      </c>
      <c r="F640" s="39" t="s">
        <v>1437</v>
      </c>
      <c r="G640" s="111" t="s">
        <v>498</v>
      </c>
      <c r="H640" s="313">
        <v>9124</v>
      </c>
      <c r="I640" s="313">
        <v>9209</v>
      </c>
      <c r="L640" s="39" t="s">
        <v>325</v>
      </c>
      <c r="M640" s="39">
        <v>1</v>
      </c>
      <c r="P640" s="39">
        <v>1</v>
      </c>
      <c r="W640" s="39">
        <v>1</v>
      </c>
      <c r="Z640" s="39">
        <v>1</v>
      </c>
      <c r="AA640" s="39">
        <v>1</v>
      </c>
      <c r="AE640" s="39">
        <v>1</v>
      </c>
      <c r="AF640" s="39">
        <v>1</v>
      </c>
      <c r="AH640" s="39">
        <v>1</v>
      </c>
      <c r="AJ640" s="39">
        <v>1</v>
      </c>
      <c r="AK640" s="39">
        <v>1</v>
      </c>
      <c r="AL640" s="39">
        <v>1</v>
      </c>
      <c r="AM640" s="39">
        <v>1</v>
      </c>
      <c r="AN640" s="39">
        <v>1</v>
      </c>
      <c r="AP640" s="39">
        <v>1</v>
      </c>
    </row>
    <row r="641" ht="28.5" customHeight="1">
      <c r="E641" s="358" t="s">
        <v>1438</v>
      </c>
      <c r="F641" s="39" t="s">
        <v>695</v>
      </c>
      <c r="G641" s="358" t="s">
        <v>498</v>
      </c>
      <c r="H641" s="313">
        <v>9244</v>
      </c>
      <c r="I641" s="313">
        <v>9299</v>
      </c>
      <c r="L641" s="39" t="s">
        <v>325</v>
      </c>
      <c r="M641" s="39">
        <v>1</v>
      </c>
      <c r="P641" s="39">
        <v>1</v>
      </c>
      <c r="W641" s="39">
        <v>1</v>
      </c>
      <c r="Y641" s="39">
        <v>1</v>
      </c>
      <c r="AA641" s="39">
        <v>1</v>
      </c>
      <c r="AE641" s="39">
        <v>1</v>
      </c>
      <c r="AF641" s="39">
        <v>1</v>
      </c>
      <c r="AG641" s="39">
        <v>1</v>
      </c>
      <c r="AH641" s="39">
        <v>1</v>
      </c>
      <c r="AJ641" s="39">
        <v>1</v>
      </c>
      <c r="AK641" s="39">
        <v>1</v>
      </c>
      <c r="AL641" s="39">
        <v>1</v>
      </c>
      <c r="AM641" s="39">
        <v>1</v>
      </c>
      <c r="AN641" s="39">
        <v>1</v>
      </c>
      <c r="AP641" s="39">
        <v>1</v>
      </c>
    </row>
    <row r="642" ht="28.5" customHeight="1">
      <c r="D642" s="386" t="s">
        <v>1439</v>
      </c>
      <c r="E642" s="111" t="s">
        <v>1440</v>
      </c>
      <c r="F642" s="39" t="s">
        <v>676</v>
      </c>
      <c r="G642" s="111" t="s">
        <v>498</v>
      </c>
      <c r="H642" s="313">
        <v>9334</v>
      </c>
      <c r="I642" s="313">
        <v>9380</v>
      </c>
      <c r="L642" s="39" t="s">
        <v>325</v>
      </c>
      <c r="U642" s="39">
        <v>1</v>
      </c>
      <c r="W642" s="39">
        <v>1</v>
      </c>
      <c r="Y642" s="39">
        <v>1</v>
      </c>
      <c r="AD642" s="39">
        <v>1</v>
      </c>
      <c r="AE642" s="39">
        <v>1</v>
      </c>
      <c r="AF642" s="39">
        <v>1</v>
      </c>
      <c r="AG642" s="39">
        <v>1</v>
      </c>
      <c r="AH642" s="39">
        <v>1</v>
      </c>
      <c r="AL642" s="39">
        <v>1</v>
      </c>
      <c r="AM642" s="39">
        <v>1</v>
      </c>
      <c r="AN642" s="39">
        <v>1</v>
      </c>
      <c r="AP642" s="39">
        <v>1</v>
      </c>
    </row>
    <row r="643" ht="42.75" customHeight="1">
      <c r="D643" s="382" t="s">
        <v>1441</v>
      </c>
      <c r="E643" s="196" t="s">
        <v>1442</v>
      </c>
      <c r="F643" s="39" t="s">
        <v>877</v>
      </c>
      <c r="G643" s="196" t="s">
        <v>498</v>
      </c>
      <c r="H643" s="291">
        <v>9476</v>
      </c>
      <c r="I643" s="291">
        <v>9524</v>
      </c>
      <c r="L643" s="39" t="s">
        <v>447</v>
      </c>
      <c r="N643" s="39">
        <v>1</v>
      </c>
      <c r="P643" s="39">
        <v>1</v>
      </c>
      <c r="Q643" s="39">
        <v>1</v>
      </c>
      <c r="T643" s="39">
        <v>1</v>
      </c>
      <c r="V643" s="39">
        <v>1</v>
      </c>
      <c r="Y643" s="39">
        <v>1</v>
      </c>
      <c r="AB643" s="39">
        <v>1</v>
      </c>
      <c r="AE643" s="39">
        <v>1</v>
      </c>
      <c r="AF643" s="39">
        <v>1</v>
      </c>
      <c r="AG643" s="39">
        <v>1</v>
      </c>
      <c r="AH643" s="39">
        <v>1</v>
      </c>
      <c r="AI643" s="39">
        <v>1</v>
      </c>
      <c r="AJ643" s="39">
        <v>1</v>
      </c>
      <c r="AL643" s="39">
        <v>1</v>
      </c>
      <c r="AM643" s="39">
        <v>1</v>
      </c>
      <c r="AN643" s="39">
        <v>1</v>
      </c>
      <c r="AP643" s="39">
        <v>1</v>
      </c>
      <c r="AQ643" s="39">
        <v>1</v>
      </c>
      <c r="AU643" s="39">
        <v>1</v>
      </c>
      <c r="AX643" s="39">
        <v>1</v>
      </c>
      <c r="AZ643" s="39">
        <v>1</v>
      </c>
    </row>
    <row r="644" ht="28.5" customHeight="1">
      <c r="E644" s="111" t="s">
        <v>1443</v>
      </c>
      <c r="F644" s="39" t="s">
        <v>672</v>
      </c>
      <c r="G644" s="111" t="s">
        <v>498</v>
      </c>
      <c r="H644" s="313">
        <v>9720</v>
      </c>
      <c r="I644" s="313">
        <v>9810</v>
      </c>
      <c r="L644" s="39" t="s">
        <v>325</v>
      </c>
      <c r="N644" s="39">
        <v>1</v>
      </c>
      <c r="P644" s="39">
        <v>1</v>
      </c>
      <c r="U644" s="39">
        <v>1</v>
      </c>
      <c r="W644" s="39">
        <v>1</v>
      </c>
      <c r="Y644" s="39">
        <v>1</v>
      </c>
      <c r="AD644" s="39">
        <v>1</v>
      </c>
      <c r="AE644" s="39">
        <v>1</v>
      </c>
      <c r="AF644" s="39">
        <v>1</v>
      </c>
      <c r="AG644" s="39">
        <v>1</v>
      </c>
      <c r="AH644" s="39">
        <v>1</v>
      </c>
      <c r="AI644" s="39">
        <v>1</v>
      </c>
      <c r="AJ644" s="39">
        <v>1</v>
      </c>
      <c r="AL644" s="39">
        <v>1</v>
      </c>
      <c r="AM644" s="39">
        <v>1</v>
      </c>
      <c r="AN644" s="39">
        <v>1</v>
      </c>
      <c r="AP644" s="39">
        <v>1</v>
      </c>
    </row>
    <row r="645" ht="42.75" customHeight="1">
      <c r="E645" s="111" t="s">
        <v>1444</v>
      </c>
      <c r="F645" s="39" t="s">
        <v>1445</v>
      </c>
      <c r="G645" s="111" t="s">
        <v>498</v>
      </c>
      <c r="H645" s="313">
        <v>9856</v>
      </c>
      <c r="I645" s="313">
        <v>9918</v>
      </c>
      <c r="L645" s="39" t="s">
        <v>325</v>
      </c>
      <c r="M645" s="39">
        <v>1</v>
      </c>
      <c r="P645" s="39">
        <v>1</v>
      </c>
      <c r="W645" s="39">
        <v>1</v>
      </c>
      <c r="Z645" s="39">
        <v>1</v>
      </c>
      <c r="AA645" s="39">
        <v>1</v>
      </c>
      <c r="AE645" s="39">
        <v>1</v>
      </c>
      <c r="AF645" s="39">
        <v>1</v>
      </c>
      <c r="AG645" s="39">
        <v>1</v>
      </c>
      <c r="AH645" s="39">
        <v>1</v>
      </c>
      <c r="AJ645" s="39">
        <v>1</v>
      </c>
      <c r="AK645" s="39">
        <v>1</v>
      </c>
      <c r="AL645" s="39">
        <v>1</v>
      </c>
      <c r="AM645" s="39">
        <v>1</v>
      </c>
      <c r="AN645" s="39">
        <v>1</v>
      </c>
      <c r="AP645" s="39">
        <v>1</v>
      </c>
    </row>
    <row r="646" ht="28.399999999999999" customHeight="1">
      <c r="E646" s="111" t="s">
        <v>1446</v>
      </c>
      <c r="F646" s="39" t="s">
        <v>620</v>
      </c>
      <c r="G646" s="111" t="s">
        <v>498</v>
      </c>
      <c r="H646" s="313">
        <v>10020</v>
      </c>
      <c r="I646" s="313">
        <v>10050</v>
      </c>
      <c r="L646" s="39" t="s">
        <v>325</v>
      </c>
      <c r="M646" s="39">
        <v>1</v>
      </c>
      <c r="P646" s="39">
        <v>1</v>
      </c>
      <c r="W646" s="39">
        <v>1</v>
      </c>
      <c r="Z646" s="39">
        <v>1</v>
      </c>
      <c r="AA646" s="39">
        <v>1</v>
      </c>
      <c r="AE646" s="39">
        <v>1</v>
      </c>
      <c r="AF646" s="39">
        <v>1</v>
      </c>
      <c r="AK646" s="39">
        <v>1</v>
      </c>
      <c r="AL646" s="39">
        <v>1</v>
      </c>
      <c r="AP646" s="39">
        <v>1</v>
      </c>
    </row>
    <row r="647" ht="28.5" customHeight="1">
      <c r="D647" s="386" t="s">
        <v>1447</v>
      </c>
      <c r="E647" s="386" t="s">
        <v>1448</v>
      </c>
      <c r="F647" s="39" t="s">
        <v>533</v>
      </c>
      <c r="G647" s="386" t="s">
        <v>498</v>
      </c>
      <c r="H647" s="385">
        <v>10269</v>
      </c>
      <c r="I647" s="385">
        <v>10290</v>
      </c>
      <c r="J647" s="386" t="s">
        <v>1449</v>
      </c>
      <c r="L647" s="382" t="s">
        <v>325</v>
      </c>
      <c r="M647" s="39">
        <v>1</v>
      </c>
      <c r="P647" s="39">
        <v>1</v>
      </c>
      <c r="W647" s="39">
        <v>1</v>
      </c>
      <c r="Z647" s="39">
        <v>1</v>
      </c>
      <c r="AA647" s="39">
        <v>1</v>
      </c>
      <c r="AE647" s="39">
        <v>1</v>
      </c>
      <c r="AF647" s="39">
        <v>1</v>
      </c>
      <c r="AL647" s="39">
        <v>1</v>
      </c>
      <c r="AN647" s="39">
        <v>1</v>
      </c>
      <c r="AP647" s="39">
        <v>1</v>
      </c>
    </row>
    <row r="648" ht="28.399999999999999" customHeight="1">
      <c r="E648" s="111" t="s">
        <v>1450</v>
      </c>
      <c r="F648" s="39" t="s">
        <v>821</v>
      </c>
      <c r="G648" s="111" t="s">
        <v>498</v>
      </c>
      <c r="H648" s="313">
        <v>10320</v>
      </c>
      <c r="I648" s="313">
        <v>10349</v>
      </c>
      <c r="L648" s="39" t="s">
        <v>325</v>
      </c>
      <c r="M648" s="39">
        <v>1</v>
      </c>
      <c r="P648" s="39">
        <v>1</v>
      </c>
      <c r="W648" s="39">
        <v>1</v>
      </c>
      <c r="Y648" s="39">
        <v>1</v>
      </c>
      <c r="AA648" s="39">
        <v>1</v>
      </c>
      <c r="AE648" s="39">
        <v>1</v>
      </c>
      <c r="AF648" s="39">
        <v>1</v>
      </c>
      <c r="AK648" s="39">
        <v>1</v>
      </c>
      <c r="AL648" s="39">
        <v>1</v>
      </c>
      <c r="AM648" s="39">
        <v>1</v>
      </c>
      <c r="AN648" s="39">
        <v>1</v>
      </c>
      <c r="AP648" s="39">
        <v>1</v>
      </c>
    </row>
    <row r="649" ht="28.399999999999999" customHeight="1">
      <c r="E649" s="111" t="s">
        <v>1451</v>
      </c>
      <c r="F649" s="39" t="s">
        <v>1452</v>
      </c>
      <c r="G649" s="111" t="s">
        <v>498</v>
      </c>
      <c r="H649" s="313">
        <v>10865</v>
      </c>
      <c r="I649" s="313">
        <v>10874</v>
      </c>
      <c r="J649" s="111" t="s">
        <v>1453</v>
      </c>
      <c r="L649" s="39" t="s">
        <v>325</v>
      </c>
      <c r="M649" s="39">
        <v>1</v>
      </c>
      <c r="P649" s="39">
        <v>1</v>
      </c>
      <c r="W649" s="39">
        <v>1</v>
      </c>
      <c r="Y649" s="39">
        <v>1</v>
      </c>
      <c r="AA649" s="39">
        <v>1</v>
      </c>
      <c r="AE649" s="39">
        <v>1</v>
      </c>
      <c r="AF649" s="39">
        <v>1</v>
      </c>
      <c r="AL649" s="39">
        <v>1</v>
      </c>
      <c r="AM649" s="39">
        <v>1</v>
      </c>
      <c r="AN649" s="39">
        <v>1</v>
      </c>
      <c r="AO649" s="39">
        <v>1</v>
      </c>
    </row>
    <row r="650" ht="14.25" customHeight="1">
      <c r="E650" s="386" t="s">
        <v>1454</v>
      </c>
      <c r="G650" s="386" t="s">
        <v>498</v>
      </c>
      <c r="H650" s="385">
        <v>10935</v>
      </c>
      <c r="I650" s="385"/>
    </row>
    <row r="651" ht="57" customHeight="1">
      <c r="D651" s="382" t="s">
        <v>1455</v>
      </c>
      <c r="E651" s="196" t="s">
        <v>1456</v>
      </c>
      <c r="F651" s="39" t="s">
        <v>1457</v>
      </c>
      <c r="G651" s="196" t="s">
        <v>498</v>
      </c>
      <c r="H651" s="291">
        <v>10952</v>
      </c>
      <c r="I651" s="291">
        <v>11220</v>
      </c>
      <c r="J651" s="111" t="s">
        <v>1458</v>
      </c>
      <c r="L651" s="39" t="s">
        <v>447</v>
      </c>
      <c r="N651" s="39">
        <v>1</v>
      </c>
      <c r="O651" s="39">
        <v>1</v>
      </c>
      <c r="P651" s="39">
        <v>1</v>
      </c>
      <c r="U651" s="39">
        <v>1</v>
      </c>
      <c r="V651" s="39">
        <v>1</v>
      </c>
      <c r="X651" s="39">
        <v>1</v>
      </c>
      <c r="Z651" s="39">
        <v>1</v>
      </c>
      <c r="AD651" s="39">
        <v>1</v>
      </c>
      <c r="AE651" s="39">
        <v>1</v>
      </c>
      <c r="AF651" s="39">
        <v>1</v>
      </c>
      <c r="AG651" s="39">
        <v>1</v>
      </c>
      <c r="AH651" s="39">
        <v>1</v>
      </c>
      <c r="AJ651" s="39">
        <v>1</v>
      </c>
      <c r="AL651" s="39">
        <v>1</v>
      </c>
      <c r="AM651" s="39">
        <v>1</v>
      </c>
      <c r="AN651" s="39">
        <v>1</v>
      </c>
      <c r="AP651" s="39">
        <v>1</v>
      </c>
      <c r="BG651" s="39">
        <v>1</v>
      </c>
    </row>
    <row r="652" ht="28.5" customHeight="1">
      <c r="E652" s="358" t="s">
        <v>1459</v>
      </c>
      <c r="F652" s="39" t="s">
        <v>1460</v>
      </c>
      <c r="G652" s="358" t="s">
        <v>498</v>
      </c>
      <c r="H652" s="313">
        <v>11261</v>
      </c>
      <c r="I652" s="313">
        <v>11367</v>
      </c>
      <c r="J652" s="111" t="s">
        <v>1461</v>
      </c>
      <c r="L652" s="39" t="s">
        <v>325</v>
      </c>
      <c r="N652" s="39">
        <v>1</v>
      </c>
      <c r="O652" s="39">
        <v>1</v>
      </c>
      <c r="P652" s="39">
        <v>1</v>
      </c>
      <c r="V652" s="39">
        <v>1</v>
      </c>
      <c r="Z652" s="39">
        <v>1</v>
      </c>
      <c r="AA652" s="39">
        <v>1</v>
      </c>
      <c r="AE652" s="39">
        <v>1</v>
      </c>
      <c r="AF652" s="39">
        <v>1</v>
      </c>
      <c r="AG652" s="39">
        <v>1</v>
      </c>
      <c r="AH652" s="39">
        <v>1</v>
      </c>
      <c r="AJ652" s="39">
        <v>1</v>
      </c>
      <c r="AL652" s="39">
        <v>1</v>
      </c>
      <c r="AM652" s="39">
        <v>1</v>
      </c>
      <c r="AN652" s="39">
        <v>1</v>
      </c>
      <c r="AP652" s="39">
        <v>1</v>
      </c>
    </row>
    <row r="653" ht="28.5" customHeight="1">
      <c r="D653" s="382" t="s">
        <v>1462</v>
      </c>
      <c r="E653" s="196" t="s">
        <v>1463</v>
      </c>
      <c r="F653" s="39" t="s">
        <v>1018</v>
      </c>
      <c r="G653" s="196" t="s">
        <v>498</v>
      </c>
      <c r="H653" s="291">
        <v>11820</v>
      </c>
      <c r="I653" s="291">
        <v>11827</v>
      </c>
      <c r="L653" s="39" t="s">
        <v>447</v>
      </c>
      <c r="N653" s="39">
        <v>1</v>
      </c>
      <c r="P653" s="39">
        <v>1</v>
      </c>
      <c r="V653" s="39">
        <v>1</v>
      </c>
      <c r="Y653" s="39">
        <v>1</v>
      </c>
      <c r="AD653" s="39">
        <v>1</v>
      </c>
      <c r="AE653" s="39">
        <v>1</v>
      </c>
      <c r="AF653" s="39">
        <v>1</v>
      </c>
      <c r="AG653" s="39">
        <v>1</v>
      </c>
      <c r="AH653" s="39">
        <v>1</v>
      </c>
      <c r="AI653" s="39">
        <v>1</v>
      </c>
      <c r="AJ653" s="39">
        <v>1</v>
      </c>
      <c r="AL653" s="39">
        <v>1</v>
      </c>
      <c r="AM653" s="39">
        <v>1</v>
      </c>
      <c r="AN653" s="39">
        <v>1</v>
      </c>
      <c r="AP653" s="39">
        <v>1</v>
      </c>
    </row>
    <row r="654" ht="14.25" customHeight="1">
      <c r="D654" s="382" t="s">
        <v>1464</v>
      </c>
      <c r="E654" s="111" t="s">
        <v>1465</v>
      </c>
      <c r="F654" s="39" t="s">
        <v>535</v>
      </c>
      <c r="G654" s="111" t="s">
        <v>498</v>
      </c>
      <c r="H654" s="313">
        <v>11963</v>
      </c>
      <c r="I654" s="313">
        <v>11972</v>
      </c>
      <c r="L654" s="39" t="s">
        <v>325</v>
      </c>
      <c r="M654" s="39">
        <v>1</v>
      </c>
      <c r="P654" s="39">
        <v>1</v>
      </c>
      <c r="W654" s="39">
        <v>1</v>
      </c>
      <c r="X654" s="39">
        <v>1</v>
      </c>
      <c r="Z654" s="39">
        <v>1</v>
      </c>
      <c r="AA654" s="39">
        <v>1</v>
      </c>
      <c r="AK654" s="39">
        <v>1</v>
      </c>
      <c r="AL654" s="39">
        <v>1</v>
      </c>
      <c r="AM654" s="39">
        <v>1</v>
      </c>
      <c r="AN654" s="39">
        <v>1</v>
      </c>
      <c r="AO654" s="39">
        <v>1</v>
      </c>
    </row>
    <row r="655" ht="42.75" customHeight="1">
      <c r="E655" s="419" t="s">
        <v>1466</v>
      </c>
      <c r="F655" s="39" t="s">
        <v>871</v>
      </c>
      <c r="G655" s="419" t="s">
        <v>498</v>
      </c>
      <c r="H655" s="420">
        <v>12109</v>
      </c>
      <c r="I655" s="420">
        <v>12268</v>
      </c>
      <c r="L655" s="39" t="s">
        <v>325</v>
      </c>
      <c r="U655" s="39">
        <v>1</v>
      </c>
      <c r="V655" s="39">
        <v>1</v>
      </c>
      <c r="Y655" s="39">
        <v>1</v>
      </c>
      <c r="AA655" s="39">
        <v>1</v>
      </c>
      <c r="AE655" s="39">
        <v>1</v>
      </c>
      <c r="AF655" s="39">
        <v>1</v>
      </c>
      <c r="AG655" s="39">
        <v>1</v>
      </c>
      <c r="AH655" s="39">
        <v>1</v>
      </c>
      <c r="AI655" s="39">
        <v>1</v>
      </c>
      <c r="AJ655" s="39">
        <v>1</v>
      </c>
      <c r="AK655" s="39">
        <v>1</v>
      </c>
      <c r="AL655" s="39">
        <v>1</v>
      </c>
      <c r="AM655" s="39">
        <v>1</v>
      </c>
      <c r="AN655" s="39">
        <v>1</v>
      </c>
      <c r="AP655" s="39">
        <v>1</v>
      </c>
      <c r="AQ655" s="39">
        <v>1</v>
      </c>
      <c r="AX655" s="39">
        <v>1</v>
      </c>
      <c r="BE655" s="39">
        <v>1</v>
      </c>
    </row>
    <row r="656" ht="28.5" customHeight="1">
      <c r="D656" s="382" t="s">
        <v>1467</v>
      </c>
      <c r="E656" s="196" t="s">
        <v>1468</v>
      </c>
      <c r="F656" s="39" t="s">
        <v>1469</v>
      </c>
      <c r="G656" s="196" t="s">
        <v>498</v>
      </c>
      <c r="H656" s="291">
        <v>12787</v>
      </c>
      <c r="I656" s="291">
        <v>12868</v>
      </c>
      <c r="J656" s="111" t="s">
        <v>1470</v>
      </c>
      <c r="L656" s="39" t="s">
        <v>325</v>
      </c>
      <c r="N656" s="39">
        <v>1</v>
      </c>
      <c r="P656" s="39">
        <v>1</v>
      </c>
      <c r="Q656" s="39">
        <v>1</v>
      </c>
      <c r="T656" s="39">
        <v>1</v>
      </c>
      <c r="V656" s="39">
        <v>1</v>
      </c>
      <c r="Y656" s="39">
        <v>1</v>
      </c>
      <c r="AA656" s="39">
        <v>1</v>
      </c>
      <c r="AE656" s="39">
        <v>1</v>
      </c>
      <c r="AF656" s="39">
        <v>1</v>
      </c>
      <c r="AG656" s="39">
        <v>1</v>
      </c>
      <c r="AH656" s="39">
        <v>1</v>
      </c>
      <c r="AJ656" s="39">
        <v>1</v>
      </c>
      <c r="AL656" s="39">
        <v>1</v>
      </c>
      <c r="AM656" s="39">
        <v>1</v>
      </c>
      <c r="AN656" s="39">
        <v>1</v>
      </c>
      <c r="AP656" s="39">
        <v>1</v>
      </c>
    </row>
    <row r="657" ht="42.75" customHeight="1">
      <c r="D657" s="382" t="s">
        <v>1471</v>
      </c>
      <c r="E657" s="111" t="s">
        <v>1472</v>
      </c>
      <c r="F657" s="39" t="s">
        <v>1473</v>
      </c>
      <c r="G657" s="111" t="s">
        <v>498</v>
      </c>
      <c r="H657" s="313">
        <v>12910</v>
      </c>
      <c r="I657" s="313">
        <v>13001</v>
      </c>
      <c r="L657" s="39" t="s">
        <v>325</v>
      </c>
      <c r="U657" s="39">
        <v>1</v>
      </c>
      <c r="W657" s="39">
        <v>1</v>
      </c>
      <c r="Y657" s="39">
        <v>1</v>
      </c>
      <c r="AD657" s="39">
        <v>1</v>
      </c>
      <c r="AE657" s="39">
        <v>1</v>
      </c>
      <c r="AF657" s="39">
        <v>1</v>
      </c>
      <c r="AG657" s="39">
        <v>1</v>
      </c>
      <c r="AH657" s="39">
        <v>1</v>
      </c>
      <c r="AJ657" s="39">
        <v>1</v>
      </c>
      <c r="AK657" s="39">
        <v>1</v>
      </c>
      <c r="AL657" s="39">
        <v>1</v>
      </c>
      <c r="AM657" s="39">
        <v>1</v>
      </c>
      <c r="AN657" s="39">
        <v>1</v>
      </c>
      <c r="AP657" s="39">
        <v>1</v>
      </c>
    </row>
    <row r="658" ht="14.25" customHeight="1">
      <c r="E658" s="111" t="s">
        <v>1474</v>
      </c>
      <c r="F658" s="39" t="s">
        <v>572</v>
      </c>
      <c r="G658" s="111" t="s">
        <v>498</v>
      </c>
      <c r="H658" s="313">
        <v>14647</v>
      </c>
      <c r="I658" s="313">
        <v>14673</v>
      </c>
      <c r="L658" s="39" t="s">
        <v>325</v>
      </c>
      <c r="M658" s="39">
        <v>1</v>
      </c>
      <c r="P658" s="39">
        <v>1</v>
      </c>
      <c r="W658" s="39">
        <v>1</v>
      </c>
      <c r="X658" s="39">
        <v>1</v>
      </c>
      <c r="Z658" s="39">
        <v>1</v>
      </c>
      <c r="AA658" s="39">
        <v>1</v>
      </c>
      <c r="AE658" s="39">
        <v>1</v>
      </c>
      <c r="AF658" s="39">
        <v>1</v>
      </c>
      <c r="AK658" s="39">
        <v>1</v>
      </c>
      <c r="AL658" s="39">
        <v>1</v>
      </c>
      <c r="AM658" s="39">
        <v>1</v>
      </c>
      <c r="AN658" s="39">
        <v>1</v>
      </c>
      <c r="AP658" s="39">
        <v>1</v>
      </c>
    </row>
    <row r="659" ht="28.399999999999999" customHeight="1">
      <c r="E659" s="111" t="s">
        <v>1475</v>
      </c>
      <c r="F659" s="39" t="s">
        <v>542</v>
      </c>
      <c r="G659" s="111" t="s">
        <v>498</v>
      </c>
      <c r="H659" s="313">
        <v>15155</v>
      </c>
      <c r="I659" s="313">
        <v>15166</v>
      </c>
      <c r="J659" s="111" t="s">
        <v>1252</v>
      </c>
      <c r="L659" s="39" t="s">
        <v>325</v>
      </c>
      <c r="O659" s="39">
        <v>1</v>
      </c>
      <c r="P659" s="39">
        <v>1</v>
      </c>
      <c r="V659" s="39">
        <v>1</v>
      </c>
      <c r="Y659" s="39">
        <v>1</v>
      </c>
      <c r="AA659" s="39">
        <v>1</v>
      </c>
      <c r="AE659" s="39">
        <v>1</v>
      </c>
      <c r="AF659" s="39">
        <v>1</v>
      </c>
      <c r="AK659" s="39">
        <v>1</v>
      </c>
      <c r="AL659" s="39">
        <v>1</v>
      </c>
      <c r="AM659" s="39">
        <v>1</v>
      </c>
      <c r="AN659" s="39">
        <v>1</v>
      </c>
      <c r="AO659" s="39">
        <v>1</v>
      </c>
    </row>
    <row r="660" ht="28.5" customHeight="1">
      <c r="E660" s="111" t="s">
        <v>1476</v>
      </c>
      <c r="F660" s="39" t="s">
        <v>733</v>
      </c>
      <c r="G660" s="111" t="s">
        <v>498</v>
      </c>
      <c r="H660" s="313">
        <v>15233</v>
      </c>
      <c r="I660" s="313">
        <v>15271</v>
      </c>
      <c r="L660" s="39" t="s">
        <v>325</v>
      </c>
      <c r="M660" s="39">
        <v>1</v>
      </c>
      <c r="P660" s="39">
        <v>1</v>
      </c>
      <c r="W660" s="39">
        <v>1</v>
      </c>
      <c r="Z660" s="39">
        <v>1</v>
      </c>
      <c r="AA660" s="39">
        <v>1</v>
      </c>
      <c r="AE660" s="39">
        <v>1</v>
      </c>
      <c r="AF660" s="39">
        <v>1</v>
      </c>
      <c r="AG660" s="39">
        <v>1</v>
      </c>
      <c r="AL660" s="39">
        <v>1</v>
      </c>
      <c r="AM660" s="39">
        <v>1</v>
      </c>
      <c r="AN660" s="39">
        <v>1</v>
      </c>
      <c r="AO660" s="39">
        <v>1</v>
      </c>
    </row>
    <row r="661" ht="28.5" customHeight="1">
      <c r="E661" s="358" t="s">
        <v>1477</v>
      </c>
      <c r="F661" s="39" t="s">
        <v>610</v>
      </c>
      <c r="G661" s="358" t="s">
        <v>498</v>
      </c>
      <c r="H661" s="313">
        <v>15314</v>
      </c>
      <c r="I661" s="313">
        <v>15327</v>
      </c>
      <c r="L661" s="39" t="s">
        <v>325</v>
      </c>
      <c r="U661" s="39">
        <v>1</v>
      </c>
      <c r="V661" s="39">
        <v>1</v>
      </c>
      <c r="Y661" s="39">
        <v>1</v>
      </c>
      <c r="AA661" s="39">
        <v>1</v>
      </c>
      <c r="AE661" s="39">
        <v>1</v>
      </c>
      <c r="AF661" s="39">
        <v>1</v>
      </c>
      <c r="AL661" s="39">
        <v>1</v>
      </c>
      <c r="AM661" s="39">
        <v>1</v>
      </c>
      <c r="AN661" s="39">
        <v>1</v>
      </c>
      <c r="AP661" s="39">
        <v>1</v>
      </c>
    </row>
    <row r="662" ht="28.5" customHeight="1">
      <c r="E662" s="111" t="s">
        <v>1478</v>
      </c>
      <c r="F662" s="39" t="s">
        <v>930</v>
      </c>
      <c r="G662" s="111" t="s">
        <v>498</v>
      </c>
      <c r="H662" s="313">
        <v>15669</v>
      </c>
      <c r="I662" s="313">
        <v>15718</v>
      </c>
      <c r="J662" s="111" t="s">
        <v>1479</v>
      </c>
      <c r="L662" s="39" t="s">
        <v>325</v>
      </c>
      <c r="M662" s="39">
        <v>1</v>
      </c>
      <c r="P662" s="39">
        <v>1</v>
      </c>
      <c r="W662" s="39">
        <v>1</v>
      </c>
      <c r="Z662" s="39">
        <v>1</v>
      </c>
      <c r="AA662" s="39">
        <v>1</v>
      </c>
      <c r="AF662" s="39">
        <v>1</v>
      </c>
      <c r="AG662" s="39">
        <v>1</v>
      </c>
      <c r="AL662" s="39">
        <v>1</v>
      </c>
      <c r="AM662" s="39">
        <v>1</v>
      </c>
      <c r="AN662" s="39">
        <v>1</v>
      </c>
      <c r="AP662" s="39">
        <v>1</v>
      </c>
    </row>
    <row r="663" ht="28.399999999999999" customHeight="1">
      <c r="E663" s="111" t="s">
        <v>1480</v>
      </c>
      <c r="F663" s="39" t="s">
        <v>821</v>
      </c>
      <c r="G663" s="111" t="s">
        <v>498</v>
      </c>
      <c r="H663" s="313">
        <v>15818</v>
      </c>
      <c r="I663" s="313">
        <v>15847</v>
      </c>
      <c r="L663" s="39" t="s">
        <v>325</v>
      </c>
      <c r="M663" s="39">
        <v>1</v>
      </c>
      <c r="P663" s="39">
        <v>1</v>
      </c>
      <c r="W663" s="39">
        <v>1</v>
      </c>
      <c r="Z663" s="39">
        <v>1</v>
      </c>
      <c r="AA663" s="39">
        <v>1</v>
      </c>
      <c r="AE663" s="39">
        <v>1</v>
      </c>
      <c r="AF663" s="39">
        <v>1</v>
      </c>
      <c r="AG663" s="39">
        <v>1</v>
      </c>
      <c r="AL663" s="39">
        <v>1</v>
      </c>
      <c r="AM663" s="39">
        <v>1</v>
      </c>
      <c r="AN663" s="39">
        <v>1</v>
      </c>
      <c r="AP663" s="39">
        <v>1</v>
      </c>
      <c r="AQ663" s="39">
        <v>1</v>
      </c>
      <c r="AX663" s="39">
        <v>1</v>
      </c>
      <c r="BE663" s="39">
        <v>1</v>
      </c>
    </row>
    <row r="664" ht="28.5" customHeight="1">
      <c r="D664" s="382" t="s">
        <v>1467</v>
      </c>
      <c r="E664" s="111" t="s">
        <v>1481</v>
      </c>
      <c r="F664" s="39" t="s">
        <v>1482</v>
      </c>
      <c r="G664" s="111" t="s">
        <v>498</v>
      </c>
      <c r="H664" s="313">
        <v>15941</v>
      </c>
      <c r="I664" s="313">
        <v>16039</v>
      </c>
      <c r="J664" s="111" t="s">
        <v>1483</v>
      </c>
      <c r="L664" s="382" t="s">
        <v>447</v>
      </c>
      <c r="O664" s="39">
        <v>1</v>
      </c>
      <c r="P664" s="39">
        <v>1</v>
      </c>
      <c r="Q664" s="39">
        <v>1</v>
      </c>
      <c r="T664" s="39">
        <v>1</v>
      </c>
      <c r="V664" s="39">
        <v>1</v>
      </c>
      <c r="Y664" s="39">
        <v>1</v>
      </c>
      <c r="AA664" s="39">
        <v>1</v>
      </c>
      <c r="AE664" s="39">
        <v>1</v>
      </c>
      <c r="AF664" s="39">
        <v>1</v>
      </c>
      <c r="AG664" s="39">
        <v>1</v>
      </c>
      <c r="AL664" s="39">
        <v>1</v>
      </c>
      <c r="AM664" s="39">
        <v>1</v>
      </c>
      <c r="AN664" s="39">
        <v>1</v>
      </c>
      <c r="AP664" s="39">
        <v>1</v>
      </c>
    </row>
    <row r="665" ht="28.5" customHeight="1">
      <c r="E665" s="111" t="s">
        <v>1484</v>
      </c>
      <c r="F665" s="39" t="s">
        <v>539</v>
      </c>
      <c r="G665" s="111" t="s">
        <v>498</v>
      </c>
      <c r="H665" s="313">
        <v>16081</v>
      </c>
      <c r="I665" s="313">
        <v>16109</v>
      </c>
      <c r="L665" s="39" t="s">
        <v>325</v>
      </c>
      <c r="U665" s="39">
        <v>1</v>
      </c>
      <c r="V665" s="39">
        <v>1</v>
      </c>
      <c r="Y665" s="39">
        <v>1</v>
      </c>
      <c r="AD665" s="39">
        <v>1</v>
      </c>
      <c r="AE665" s="39">
        <v>1</v>
      </c>
      <c r="AF665" s="39">
        <v>1</v>
      </c>
      <c r="AJ665" s="39">
        <v>1</v>
      </c>
      <c r="AL665" s="39">
        <v>1</v>
      </c>
      <c r="AM665" s="39">
        <v>1</v>
      </c>
      <c r="AN665" s="39">
        <v>1</v>
      </c>
      <c r="AP665" s="39">
        <v>1</v>
      </c>
    </row>
    <row r="666" ht="28.399999999999999" customHeight="1">
      <c r="E666" s="111" t="s">
        <v>1485</v>
      </c>
      <c r="F666" s="39" t="s">
        <v>668</v>
      </c>
      <c r="G666" s="111" t="s">
        <v>498</v>
      </c>
      <c r="H666" s="313">
        <v>16171</v>
      </c>
      <c r="I666" s="313">
        <v>16211</v>
      </c>
      <c r="L666" s="39" t="s">
        <v>325</v>
      </c>
      <c r="O666" s="39">
        <v>1</v>
      </c>
      <c r="P666" s="39">
        <v>1</v>
      </c>
      <c r="V666" s="39">
        <v>1</v>
      </c>
      <c r="W666" s="39">
        <v>1</v>
      </c>
      <c r="X666" s="39">
        <v>1</v>
      </c>
      <c r="Z666" s="39">
        <v>1</v>
      </c>
      <c r="AA666" s="39">
        <v>1</v>
      </c>
      <c r="AE666" s="39">
        <v>1</v>
      </c>
      <c r="AF666" s="39">
        <v>1</v>
      </c>
      <c r="AG666" s="39">
        <v>1</v>
      </c>
      <c r="AH666" s="39">
        <v>1</v>
      </c>
      <c r="AK666" s="39">
        <v>1</v>
      </c>
      <c r="AL666" s="39">
        <v>1</v>
      </c>
      <c r="AM666" s="39">
        <v>1</v>
      </c>
      <c r="AN666" s="39">
        <v>1</v>
      </c>
      <c r="AP666" s="39">
        <v>1</v>
      </c>
    </row>
    <row r="667" ht="57.75" customHeight="1">
      <c r="D667" s="386" t="s">
        <v>1486</v>
      </c>
      <c r="E667" s="358" t="s">
        <v>1487</v>
      </c>
      <c r="F667" s="39" t="s">
        <v>1445</v>
      </c>
      <c r="G667" s="358" t="s">
        <v>498</v>
      </c>
      <c r="H667" s="313">
        <v>16368</v>
      </c>
      <c r="I667" s="313">
        <v>16430</v>
      </c>
      <c r="L667" s="382" t="s">
        <v>447</v>
      </c>
      <c r="O667" s="39">
        <v>1</v>
      </c>
      <c r="P667" s="39">
        <v>1</v>
      </c>
      <c r="U667" s="39">
        <v>1</v>
      </c>
      <c r="W667" s="39">
        <v>1</v>
      </c>
      <c r="Y667" s="39">
        <v>1</v>
      </c>
      <c r="AD667" s="39">
        <v>1</v>
      </c>
      <c r="AE667" s="39">
        <v>1</v>
      </c>
      <c r="AF667" s="39">
        <v>1</v>
      </c>
      <c r="AG667" s="39">
        <v>1</v>
      </c>
      <c r="AH667" s="39">
        <v>1</v>
      </c>
      <c r="AL667" s="39">
        <v>1</v>
      </c>
      <c r="AM667" s="39">
        <v>1</v>
      </c>
      <c r="AN667" s="39">
        <v>1</v>
      </c>
      <c r="AP667" s="39">
        <v>1</v>
      </c>
      <c r="BG667" s="39">
        <v>1</v>
      </c>
    </row>
    <row r="668" ht="28.5" customHeight="1">
      <c r="E668" s="111" t="s">
        <v>1488</v>
      </c>
      <c r="F668" s="39" t="s">
        <v>1489</v>
      </c>
      <c r="G668" s="111" t="s">
        <v>498</v>
      </c>
      <c r="H668" s="313">
        <v>16480</v>
      </c>
      <c r="I668" s="313">
        <v>16608</v>
      </c>
      <c r="J668" s="111" t="s">
        <v>1490</v>
      </c>
      <c r="L668" s="39" t="s">
        <v>325</v>
      </c>
      <c r="O668" s="39">
        <v>1</v>
      </c>
      <c r="P668" s="39">
        <v>1</v>
      </c>
      <c r="U668" s="39">
        <v>1</v>
      </c>
      <c r="W668" s="39">
        <v>1</v>
      </c>
      <c r="Y668" s="39">
        <v>1</v>
      </c>
      <c r="AD668" s="39">
        <v>1</v>
      </c>
      <c r="AE668" s="39">
        <v>1</v>
      </c>
      <c r="AF668" s="39">
        <v>1</v>
      </c>
      <c r="AG668" s="39">
        <v>1</v>
      </c>
      <c r="AH668" s="39">
        <v>1</v>
      </c>
      <c r="AL668" s="39">
        <v>1</v>
      </c>
      <c r="AM668" s="39">
        <v>1</v>
      </c>
      <c r="AN668" s="39">
        <v>1</v>
      </c>
      <c r="AP668" s="39">
        <v>1</v>
      </c>
    </row>
    <row r="669" ht="42.75" customHeight="1">
      <c r="E669" s="111" t="s">
        <v>1491</v>
      </c>
      <c r="F669" s="39" t="s">
        <v>1492</v>
      </c>
      <c r="G669" s="111" t="s">
        <v>498</v>
      </c>
      <c r="H669" s="313">
        <v>17146</v>
      </c>
      <c r="I669" s="313">
        <v>17416</v>
      </c>
      <c r="L669" s="39" t="s">
        <v>325</v>
      </c>
      <c r="O669" s="39">
        <v>1</v>
      </c>
      <c r="P669" s="39">
        <v>1</v>
      </c>
      <c r="W669" s="39">
        <v>1</v>
      </c>
      <c r="X669" s="39">
        <v>1</v>
      </c>
      <c r="Z669" s="39">
        <v>1</v>
      </c>
      <c r="AA669" s="39">
        <v>1</v>
      </c>
      <c r="AE669" s="39">
        <v>1</v>
      </c>
      <c r="AF669" s="39">
        <v>1</v>
      </c>
      <c r="AG669" s="39">
        <v>1</v>
      </c>
      <c r="AH669" s="39">
        <v>1</v>
      </c>
      <c r="AK669" s="39">
        <v>1</v>
      </c>
      <c r="AL669" s="39">
        <v>1</v>
      </c>
      <c r="AM669" s="39">
        <v>1</v>
      </c>
      <c r="AN669" s="39">
        <v>1</v>
      </c>
      <c r="AP669" s="39">
        <v>1</v>
      </c>
      <c r="AQ669" s="39">
        <v>1</v>
      </c>
      <c r="AS669" s="39">
        <v>1</v>
      </c>
      <c r="AX669" s="39">
        <v>1</v>
      </c>
    </row>
    <row r="670" ht="14.25" customHeight="1">
      <c r="E670" s="111" t="s">
        <v>1493</v>
      </c>
      <c r="F670" s="39" t="s">
        <v>1051</v>
      </c>
      <c r="G670" s="111" t="s">
        <v>498</v>
      </c>
      <c r="H670" s="313">
        <v>17523</v>
      </c>
      <c r="I670" s="313">
        <v>17537</v>
      </c>
      <c r="L670" s="39" t="s">
        <v>325</v>
      </c>
      <c r="O670" s="39">
        <v>1</v>
      </c>
      <c r="P670" s="39">
        <v>1</v>
      </c>
      <c r="W670" s="39">
        <v>1</v>
      </c>
      <c r="X670" s="39">
        <v>1</v>
      </c>
      <c r="Z670" s="39">
        <v>1</v>
      </c>
      <c r="AA670" s="39">
        <v>1</v>
      </c>
      <c r="AE670" s="39">
        <v>1</v>
      </c>
      <c r="AF670" s="39">
        <v>1</v>
      </c>
      <c r="AK670" s="39">
        <v>1</v>
      </c>
      <c r="AL670" s="39">
        <v>1</v>
      </c>
      <c r="AM670" s="39">
        <v>1</v>
      </c>
      <c r="AN670" s="39">
        <v>1</v>
      </c>
      <c r="AO670" s="39">
        <v>1</v>
      </c>
    </row>
    <row r="671" ht="41.75" customHeight="1">
      <c r="D671" s="386" t="s">
        <v>1494</v>
      </c>
      <c r="E671" s="386" t="s">
        <v>1495</v>
      </c>
      <c r="F671" s="39" t="s">
        <v>1496</v>
      </c>
      <c r="G671" s="386" t="s">
        <v>498</v>
      </c>
      <c r="H671" s="385">
        <v>17664</v>
      </c>
      <c r="I671" s="385">
        <v>17782</v>
      </c>
    </row>
    <row r="672" ht="28.399999999999999" customHeight="1">
      <c r="D672" s="382" t="s">
        <v>1497</v>
      </c>
      <c r="E672" s="111" t="s">
        <v>1498</v>
      </c>
      <c r="F672" s="39" t="s">
        <v>1499</v>
      </c>
      <c r="G672" s="111" t="s">
        <v>498</v>
      </c>
      <c r="H672" s="313">
        <v>17792</v>
      </c>
      <c r="I672" s="313">
        <v>17904</v>
      </c>
      <c r="L672" s="39" t="s">
        <v>325</v>
      </c>
      <c r="O672" s="39">
        <v>1</v>
      </c>
      <c r="P672" s="39">
        <v>1</v>
      </c>
      <c r="U672" s="39">
        <v>1</v>
      </c>
      <c r="W672" s="39">
        <v>1</v>
      </c>
      <c r="Y672" s="39">
        <v>1</v>
      </c>
      <c r="AA672" s="39">
        <v>1</v>
      </c>
      <c r="AE672" s="39">
        <v>1</v>
      </c>
      <c r="AF672" s="39">
        <v>1</v>
      </c>
      <c r="AG672" s="39">
        <v>1</v>
      </c>
      <c r="AH672" s="39">
        <v>1</v>
      </c>
      <c r="AL672" s="39">
        <v>1</v>
      </c>
      <c r="AM672" s="39">
        <v>1</v>
      </c>
      <c r="AN672" s="39">
        <v>1</v>
      </c>
      <c r="AP672" s="39">
        <v>1</v>
      </c>
    </row>
    <row r="673" s="144" customFormat="1" ht="28.5" customHeight="1">
      <c r="D673" s="395" t="s">
        <v>1497</v>
      </c>
      <c r="E673" s="145" t="s">
        <v>1500</v>
      </c>
      <c r="F673" s="144" t="s">
        <v>584</v>
      </c>
      <c r="G673" s="145" t="s">
        <v>498</v>
      </c>
      <c r="H673" s="320">
        <v>18120</v>
      </c>
      <c r="I673" s="320">
        <v>18151</v>
      </c>
      <c r="J673" s="145"/>
      <c r="L673" s="144" t="s">
        <v>325</v>
      </c>
      <c r="O673" s="144">
        <v>1</v>
      </c>
      <c r="P673" s="144">
        <v>1</v>
      </c>
      <c r="U673" s="144">
        <v>1</v>
      </c>
      <c r="W673" s="144">
        <v>1</v>
      </c>
      <c r="X673" s="144">
        <v>1</v>
      </c>
      <c r="Y673" s="144">
        <v>1</v>
      </c>
      <c r="AD673" s="144">
        <v>1</v>
      </c>
      <c r="AE673" s="144">
        <v>1</v>
      </c>
      <c r="AF673" s="144">
        <v>1</v>
      </c>
      <c r="AG673" s="144">
        <v>1</v>
      </c>
      <c r="AH673" s="144">
        <v>1</v>
      </c>
      <c r="AJ673" s="144">
        <v>1</v>
      </c>
      <c r="AL673" s="144">
        <v>1</v>
      </c>
      <c r="AM673" s="144">
        <v>1</v>
      </c>
      <c r="AN673" s="144">
        <v>1</v>
      </c>
      <c r="AP673" s="144">
        <v>1</v>
      </c>
    </row>
    <row r="674" ht="55.25" customHeight="1">
      <c r="A674" s="128" t="s">
        <v>1404</v>
      </c>
      <c r="B674" s="39" t="s">
        <v>482</v>
      </c>
      <c r="C674" s="39" t="s">
        <v>1501</v>
      </c>
      <c r="D674" s="39" t="s">
        <v>483</v>
      </c>
      <c r="E674" s="111" t="s">
        <v>1502</v>
      </c>
      <c r="F674" s="39" t="s">
        <v>827</v>
      </c>
      <c r="G674" s="111" t="s">
        <v>498</v>
      </c>
      <c r="H674" s="313">
        <v>1253</v>
      </c>
      <c r="I674" s="313">
        <v>1292</v>
      </c>
      <c r="L674" s="39" t="s">
        <v>325</v>
      </c>
      <c r="O674" s="39">
        <v>1</v>
      </c>
      <c r="P674" s="39">
        <v>1</v>
      </c>
      <c r="V674" s="39">
        <v>1</v>
      </c>
      <c r="X674" s="39">
        <v>1</v>
      </c>
      <c r="Y674" s="39">
        <v>1</v>
      </c>
      <c r="AA674" s="39">
        <v>1</v>
      </c>
      <c r="AG674" s="39">
        <v>1</v>
      </c>
      <c r="AH674" s="39">
        <v>1</v>
      </c>
      <c r="AL674" s="39">
        <v>1</v>
      </c>
      <c r="AM674" s="39">
        <v>1</v>
      </c>
      <c r="AN674" s="39">
        <v>1</v>
      </c>
      <c r="AP674" s="39">
        <v>1</v>
      </c>
    </row>
    <row r="675" ht="14.25" customHeight="1">
      <c r="E675" s="111" t="s">
        <v>1503</v>
      </c>
      <c r="F675" s="39" t="s">
        <v>1504</v>
      </c>
      <c r="G675" s="111" t="s">
        <v>498</v>
      </c>
      <c r="H675" s="313">
        <v>7396</v>
      </c>
      <c r="I675" s="313">
        <v>7403</v>
      </c>
      <c r="L675" s="39" t="s">
        <v>325</v>
      </c>
      <c r="O675" s="39">
        <v>1</v>
      </c>
      <c r="P675" s="39">
        <v>1</v>
      </c>
      <c r="V675" s="39">
        <v>1</v>
      </c>
      <c r="X675" s="39">
        <v>1</v>
      </c>
      <c r="Y675" s="39">
        <v>1</v>
      </c>
      <c r="AA675" s="39">
        <v>1</v>
      </c>
      <c r="AG675" s="39">
        <v>1</v>
      </c>
      <c r="AH675" s="39">
        <v>1</v>
      </c>
      <c r="AL675" s="39">
        <v>1</v>
      </c>
      <c r="AM675" s="39">
        <v>1</v>
      </c>
      <c r="AN675" s="39">
        <v>1</v>
      </c>
      <c r="AP675" s="39">
        <v>1</v>
      </c>
    </row>
    <row r="676" s="144" customFormat="1" ht="28.399999999999999" customHeight="1">
      <c r="D676" s="399" t="s">
        <v>1505</v>
      </c>
      <c r="E676" s="145" t="s">
        <v>1506</v>
      </c>
      <c r="F676" s="144" t="s">
        <v>1507</v>
      </c>
      <c r="G676" s="145" t="s">
        <v>498</v>
      </c>
      <c r="H676" s="320">
        <v>19840</v>
      </c>
      <c r="I676" s="320">
        <v>19935</v>
      </c>
      <c r="J676" s="145" t="s">
        <v>1252</v>
      </c>
      <c r="L676" s="144" t="s">
        <v>325</v>
      </c>
      <c r="M676" s="144">
        <v>1</v>
      </c>
      <c r="P676" s="144">
        <v>1</v>
      </c>
      <c r="V676" s="144">
        <v>1</v>
      </c>
      <c r="Z676" s="144">
        <v>1</v>
      </c>
      <c r="AA676" s="144">
        <v>1</v>
      </c>
      <c r="AF676" s="144">
        <v>1</v>
      </c>
      <c r="AG676" s="144">
        <v>1</v>
      </c>
      <c r="AH676" s="144">
        <v>1</v>
      </c>
      <c r="AL676" s="144">
        <v>1</v>
      </c>
      <c r="AM676" s="144">
        <v>1</v>
      </c>
      <c r="AN676" s="144">
        <v>1</v>
      </c>
      <c r="AP676" s="144">
        <v>1</v>
      </c>
    </row>
    <row r="677" ht="55.25" customHeight="1">
      <c r="A677" s="128" t="s">
        <v>1404</v>
      </c>
      <c r="B677" s="39" t="s">
        <v>482</v>
      </c>
      <c r="C677" s="39" t="s">
        <v>1508</v>
      </c>
      <c r="D677" s="39" t="s">
        <v>1509</v>
      </c>
      <c r="E677" s="386" t="s">
        <v>1510</v>
      </c>
      <c r="G677" s="386" t="s">
        <v>498</v>
      </c>
      <c r="H677" s="385">
        <v>8340</v>
      </c>
      <c r="I677" s="385"/>
    </row>
    <row r="678" ht="28.399999999999999" customHeight="1">
      <c r="E678" s="358" t="s">
        <v>1511</v>
      </c>
      <c r="F678" s="39" t="s">
        <v>1512</v>
      </c>
      <c r="G678" s="358" t="s">
        <v>498</v>
      </c>
      <c r="H678" s="313">
        <v>8823</v>
      </c>
      <c r="I678" s="313">
        <v>8831</v>
      </c>
      <c r="L678" s="39" t="s">
        <v>325</v>
      </c>
      <c r="U678" s="39">
        <v>1</v>
      </c>
      <c r="W678" s="39">
        <v>1</v>
      </c>
      <c r="Y678" s="39">
        <v>1</v>
      </c>
      <c r="AD678" s="39">
        <v>1</v>
      </c>
      <c r="AE678" s="39">
        <v>1</v>
      </c>
      <c r="AF678" s="39">
        <v>1</v>
      </c>
      <c r="AJ678" s="39">
        <v>1</v>
      </c>
      <c r="AL678" s="39">
        <v>1</v>
      </c>
      <c r="AM678" s="39">
        <v>1</v>
      </c>
      <c r="AN678" s="39">
        <v>1</v>
      </c>
      <c r="AP678" s="39">
        <v>1</v>
      </c>
    </row>
    <row r="679" ht="14.25" customHeight="1">
      <c r="D679" s="382" t="s">
        <v>1513</v>
      </c>
      <c r="E679" s="363" t="s">
        <v>1514</v>
      </c>
      <c r="F679" s="39" t="s">
        <v>608</v>
      </c>
      <c r="G679" s="363" t="s">
        <v>498</v>
      </c>
      <c r="H679" s="291">
        <v>8936</v>
      </c>
      <c r="I679" s="291">
        <v>8948</v>
      </c>
      <c r="J679" s="111" t="s">
        <v>1069</v>
      </c>
      <c r="L679" s="39" t="s">
        <v>66</v>
      </c>
      <c r="U679" s="39">
        <v>1</v>
      </c>
      <c r="V679" s="39">
        <v>1</v>
      </c>
      <c r="Y679" s="39">
        <v>1</v>
      </c>
      <c r="AA679" s="39">
        <v>1</v>
      </c>
      <c r="AE679" s="39">
        <v>1</v>
      </c>
      <c r="AF679" s="39">
        <v>1</v>
      </c>
      <c r="AL679" s="39">
        <v>1</v>
      </c>
      <c r="AM679" s="39">
        <v>1</v>
      </c>
      <c r="AN679" s="39">
        <v>1</v>
      </c>
      <c r="AP679" s="39">
        <v>1</v>
      </c>
      <c r="AQ679" s="39">
        <v>1</v>
      </c>
      <c r="BI679" s="39">
        <v>1</v>
      </c>
    </row>
    <row r="680" ht="14.25" customHeight="1">
      <c r="D680" s="382" t="s">
        <v>1515</v>
      </c>
      <c r="E680" s="358" t="s">
        <v>1516</v>
      </c>
      <c r="G680" s="358" t="s">
        <v>498</v>
      </c>
      <c r="H680" s="313">
        <v>9272</v>
      </c>
      <c r="I680" s="313"/>
    </row>
    <row r="681" ht="14.25" customHeight="1">
      <c r="D681" s="421" t="s">
        <v>1517</v>
      </c>
      <c r="G681" s="111" t="s">
        <v>498</v>
      </c>
      <c r="H681" s="313"/>
      <c r="I681" s="313"/>
    </row>
    <row r="682" s="144" customFormat="1" ht="28.399999999999999" customHeight="1">
      <c r="D682" s="399" t="s">
        <v>1518</v>
      </c>
      <c r="E682" s="145"/>
      <c r="G682" s="145" t="s">
        <v>498</v>
      </c>
      <c r="H682" s="320"/>
      <c r="I682" s="320"/>
      <c r="J682" s="145"/>
    </row>
    <row r="683" ht="55.25" customHeight="1">
      <c r="A683" s="128" t="s">
        <v>1404</v>
      </c>
      <c r="B683" s="316" t="s">
        <v>482</v>
      </c>
      <c r="C683" s="316" t="s">
        <v>1519</v>
      </c>
      <c r="D683" s="39" t="s">
        <v>483</v>
      </c>
      <c r="E683" s="386" t="s">
        <v>1520</v>
      </c>
      <c r="F683" s="39" t="s">
        <v>1521</v>
      </c>
      <c r="G683" s="386" t="s">
        <v>498</v>
      </c>
      <c r="H683" s="385">
        <v>11094</v>
      </c>
      <c r="I683" s="385">
        <v>11187</v>
      </c>
      <c r="J683" s="386" t="s">
        <v>1522</v>
      </c>
      <c r="L683" s="382" t="s">
        <v>325</v>
      </c>
    </row>
    <row r="684" ht="14.25" customHeight="1">
      <c r="D684" s="382" t="s">
        <v>1523</v>
      </c>
      <c r="E684" s="111" t="s">
        <v>1524</v>
      </c>
      <c r="F684" s="39" t="s">
        <v>516</v>
      </c>
      <c r="G684" s="111" t="s">
        <v>498</v>
      </c>
      <c r="H684" s="313">
        <v>11517</v>
      </c>
      <c r="I684" s="313">
        <v>11520</v>
      </c>
      <c r="L684" s="39" t="s">
        <v>325</v>
      </c>
      <c r="M684" s="39">
        <v>1</v>
      </c>
      <c r="P684" s="39">
        <v>1</v>
      </c>
      <c r="W684" s="39">
        <v>1</v>
      </c>
      <c r="Z684" s="39">
        <v>1</v>
      </c>
      <c r="AA684" s="39">
        <v>1</v>
      </c>
      <c r="AE684" s="39">
        <v>1</v>
      </c>
      <c r="AF684" s="39">
        <v>1</v>
      </c>
      <c r="AL684" s="39">
        <v>1</v>
      </c>
      <c r="AM684" s="39">
        <v>1</v>
      </c>
      <c r="AN684" s="39">
        <v>1</v>
      </c>
      <c r="AO684" s="39">
        <v>1</v>
      </c>
    </row>
    <row r="685" ht="28.399999999999999" customHeight="1">
      <c r="E685" s="422" t="s">
        <v>1525</v>
      </c>
      <c r="F685" s="39" t="s">
        <v>608</v>
      </c>
      <c r="G685" s="422" t="s">
        <v>498</v>
      </c>
      <c r="H685" s="423">
        <v>11636</v>
      </c>
      <c r="I685" s="423">
        <v>11648</v>
      </c>
      <c r="L685" s="39" t="s">
        <v>325</v>
      </c>
      <c r="U685" s="39">
        <v>1</v>
      </c>
      <c r="W685" s="39">
        <v>1</v>
      </c>
      <c r="Y685" s="39">
        <v>1</v>
      </c>
      <c r="AA685" s="39">
        <v>1</v>
      </c>
      <c r="AE685" s="39">
        <v>1</v>
      </c>
      <c r="AF685" s="39">
        <v>1</v>
      </c>
      <c r="AG685" s="39">
        <v>1</v>
      </c>
      <c r="AH685" s="39">
        <v>1</v>
      </c>
      <c r="AI685" s="39">
        <v>1</v>
      </c>
      <c r="AJ685" s="39">
        <v>1</v>
      </c>
      <c r="AL685" s="39">
        <v>1</v>
      </c>
      <c r="AM685" s="39">
        <v>1</v>
      </c>
      <c r="AN685" s="39">
        <v>1</v>
      </c>
      <c r="AP685" s="39">
        <v>1</v>
      </c>
    </row>
    <row r="686" s="144" customFormat="1" ht="41.75" customHeight="1">
      <c r="E686" s="364" t="s">
        <v>1526</v>
      </c>
      <c r="F686" s="144" t="s">
        <v>504</v>
      </c>
      <c r="G686" s="364" t="s">
        <v>498</v>
      </c>
      <c r="H686" s="320">
        <v>16585</v>
      </c>
      <c r="I686" s="320">
        <v>16590</v>
      </c>
      <c r="J686" s="145"/>
      <c r="L686" s="144" t="s">
        <v>325</v>
      </c>
      <c r="M686" s="144">
        <v>1</v>
      </c>
      <c r="P686" s="144">
        <v>1</v>
      </c>
      <c r="V686" s="144">
        <v>1</v>
      </c>
      <c r="Z686" s="144">
        <v>1</v>
      </c>
      <c r="AA686" s="144">
        <v>1</v>
      </c>
      <c r="AF686" s="144">
        <v>1</v>
      </c>
      <c r="AJ686" s="144">
        <v>1</v>
      </c>
      <c r="AL686" s="144">
        <v>1</v>
      </c>
      <c r="AM686" s="144">
        <v>1</v>
      </c>
      <c r="AN686" s="144">
        <v>1</v>
      </c>
      <c r="AP686" s="144">
        <v>1</v>
      </c>
      <c r="AQ686" s="144">
        <v>1</v>
      </c>
      <c r="AU686" s="144">
        <v>1</v>
      </c>
      <c r="AX686" s="144">
        <v>1</v>
      </c>
      <c r="AZ686" s="144">
        <v>1</v>
      </c>
      <c r="BH686" s="144">
        <v>1</v>
      </c>
    </row>
    <row r="687" ht="55.25" customHeight="1">
      <c r="A687" s="128" t="s">
        <v>1404</v>
      </c>
      <c r="B687" s="39" t="s">
        <v>482</v>
      </c>
      <c r="C687" s="39" t="s">
        <v>1527</v>
      </c>
      <c r="D687" s="39" t="s">
        <v>73</v>
      </c>
      <c r="E687" s="358" t="s">
        <v>1528</v>
      </c>
      <c r="F687" s="39" t="s">
        <v>1156</v>
      </c>
      <c r="G687" s="358" t="s">
        <v>498</v>
      </c>
      <c r="H687" s="313">
        <v>79854</v>
      </c>
      <c r="I687" s="313">
        <v>79936</v>
      </c>
      <c r="L687" s="39" t="s">
        <v>325</v>
      </c>
      <c r="M687" s="39">
        <v>1</v>
      </c>
      <c r="P687" s="39">
        <v>1</v>
      </c>
      <c r="V687" s="39">
        <v>1</v>
      </c>
      <c r="Z687" s="39">
        <v>1</v>
      </c>
      <c r="AA687" s="39">
        <v>1</v>
      </c>
      <c r="AE687" s="39">
        <v>1</v>
      </c>
      <c r="AF687" s="39">
        <v>1</v>
      </c>
      <c r="AJ687" s="39">
        <v>1</v>
      </c>
      <c r="AL687" s="39">
        <v>1</v>
      </c>
      <c r="AM687" s="39">
        <v>1</v>
      </c>
      <c r="AN687" s="39">
        <v>1</v>
      </c>
      <c r="AP687" s="39">
        <v>1</v>
      </c>
      <c r="AQ687" s="39">
        <v>1</v>
      </c>
      <c r="AU687" s="39">
        <v>1</v>
      </c>
      <c r="AX687" s="39">
        <v>1</v>
      </c>
    </row>
    <row r="688" ht="28.399999999999999" customHeight="1">
      <c r="D688" s="382" t="s">
        <v>1529</v>
      </c>
      <c r="E688" s="196" t="s">
        <v>1530</v>
      </c>
      <c r="F688" s="39" t="s">
        <v>1150</v>
      </c>
      <c r="G688" s="196" t="s">
        <v>498</v>
      </c>
      <c r="H688" s="291">
        <v>79965</v>
      </c>
      <c r="I688" s="291">
        <v>79999</v>
      </c>
      <c r="L688" s="39" t="s">
        <v>66</v>
      </c>
      <c r="M688" s="39">
        <v>1</v>
      </c>
      <c r="P688" s="39">
        <v>1</v>
      </c>
      <c r="W688" s="39">
        <v>1</v>
      </c>
      <c r="Z688" s="39">
        <v>1</v>
      </c>
      <c r="AA688" s="39">
        <v>1</v>
      </c>
      <c r="AE688" s="39">
        <v>1</v>
      </c>
      <c r="AF688" s="39">
        <v>1</v>
      </c>
      <c r="AL688" s="39">
        <v>1</v>
      </c>
      <c r="AM688" s="39">
        <v>1</v>
      </c>
      <c r="AN688" s="39">
        <v>1</v>
      </c>
      <c r="AP688" s="39">
        <v>1</v>
      </c>
      <c r="BI688" s="39">
        <v>1</v>
      </c>
    </row>
    <row r="689" ht="28.399999999999999" customHeight="1">
      <c r="E689" s="358" t="s">
        <v>1531</v>
      </c>
      <c r="F689" s="39" t="s">
        <v>821</v>
      </c>
      <c r="G689" s="358" t="s">
        <v>498</v>
      </c>
      <c r="H689" s="313">
        <v>80038</v>
      </c>
      <c r="I689" s="313">
        <v>80067</v>
      </c>
      <c r="L689" s="39" t="s">
        <v>325</v>
      </c>
      <c r="M689" s="39">
        <v>1</v>
      </c>
      <c r="P689" s="39">
        <v>1</v>
      </c>
      <c r="W689" s="39">
        <v>1</v>
      </c>
      <c r="Z689" s="39">
        <v>1</v>
      </c>
      <c r="AA689" s="39">
        <v>1</v>
      </c>
      <c r="AF689" s="39">
        <v>1</v>
      </c>
      <c r="AJ689" s="39">
        <v>1</v>
      </c>
      <c r="AL689" s="39">
        <v>1</v>
      </c>
      <c r="AM689" s="39">
        <v>1</v>
      </c>
      <c r="AN689" s="39">
        <v>1</v>
      </c>
      <c r="AO689" s="39">
        <v>1</v>
      </c>
      <c r="AQ689" s="39">
        <v>1</v>
      </c>
      <c r="AU689" s="39">
        <v>1</v>
      </c>
      <c r="AX689" s="39">
        <v>1</v>
      </c>
      <c r="AZ689" s="39">
        <v>1</v>
      </c>
    </row>
    <row r="690" ht="28.399999999999999" customHeight="1">
      <c r="E690" s="363" t="s">
        <v>1532</v>
      </c>
      <c r="F690" s="39" t="s">
        <v>506</v>
      </c>
      <c r="G690" s="363" t="s">
        <v>498</v>
      </c>
      <c r="H690" s="291">
        <v>80117</v>
      </c>
      <c r="I690" s="291">
        <v>80164</v>
      </c>
      <c r="L690" s="39" t="s">
        <v>325</v>
      </c>
      <c r="M690" s="39">
        <v>1</v>
      </c>
      <c r="P690" s="39">
        <v>1</v>
      </c>
      <c r="W690" s="39">
        <v>1</v>
      </c>
      <c r="Z690" s="39">
        <v>1</v>
      </c>
      <c r="AA690" s="39">
        <v>1</v>
      </c>
      <c r="AE690" s="39">
        <v>1</v>
      </c>
      <c r="AF690" s="39">
        <v>1</v>
      </c>
      <c r="AJ690" s="39">
        <v>1</v>
      </c>
      <c r="AL690" s="39">
        <v>1</v>
      </c>
      <c r="AM690" s="39">
        <v>1</v>
      </c>
      <c r="AN690" s="39">
        <v>1</v>
      </c>
      <c r="AO690" s="39">
        <v>1</v>
      </c>
      <c r="AQ690" s="39">
        <v>1</v>
      </c>
      <c r="AU690" s="39">
        <v>1</v>
      </c>
      <c r="AX690" s="39">
        <v>1</v>
      </c>
    </row>
    <row r="691" ht="55.25" customHeight="1">
      <c r="E691" s="363" t="s">
        <v>1533</v>
      </c>
      <c r="F691" s="39" t="s">
        <v>1534</v>
      </c>
      <c r="G691" s="363" t="s">
        <v>498</v>
      </c>
      <c r="H691" s="291">
        <v>86099</v>
      </c>
      <c r="I691" s="291">
        <v>86405</v>
      </c>
      <c r="J691" s="111" t="s">
        <v>1359</v>
      </c>
      <c r="L691" s="39" t="s">
        <v>325</v>
      </c>
      <c r="N691" s="39">
        <v>1</v>
      </c>
      <c r="P691" s="39">
        <v>1</v>
      </c>
      <c r="Q691" s="39">
        <v>1</v>
      </c>
      <c r="T691" s="39">
        <v>1</v>
      </c>
      <c r="V691" s="39">
        <v>1</v>
      </c>
      <c r="Y691" s="39">
        <v>1</v>
      </c>
      <c r="AB691" s="39">
        <v>1</v>
      </c>
      <c r="AE691" s="39">
        <v>1</v>
      </c>
      <c r="AF691" s="39">
        <v>1</v>
      </c>
      <c r="AG691" s="39">
        <v>1</v>
      </c>
      <c r="AH691" s="39">
        <v>1</v>
      </c>
      <c r="AI691" s="39">
        <v>1</v>
      </c>
      <c r="AJ691" s="39">
        <v>1</v>
      </c>
      <c r="AL691" s="39">
        <v>1</v>
      </c>
      <c r="AM691" s="39">
        <v>1</v>
      </c>
      <c r="AN691" s="39">
        <v>1</v>
      </c>
      <c r="AP691" s="39">
        <v>1</v>
      </c>
      <c r="AQ691" s="39">
        <v>1</v>
      </c>
      <c r="AU691" s="39">
        <v>1</v>
      </c>
      <c r="AX691" s="39">
        <v>1</v>
      </c>
      <c r="AZ691" s="39">
        <v>1</v>
      </c>
      <c r="BH691" s="39">
        <v>1</v>
      </c>
    </row>
    <row r="692" ht="28.399999999999999" customHeight="1">
      <c r="E692" s="358" t="s">
        <v>1535</v>
      </c>
      <c r="F692" s="39" t="s">
        <v>616</v>
      </c>
      <c r="G692" s="358" t="s">
        <v>498</v>
      </c>
      <c r="H692" s="313">
        <v>69</v>
      </c>
      <c r="I692" s="313">
        <v>105</v>
      </c>
      <c r="J692" s="111" t="s">
        <v>1536</v>
      </c>
      <c r="L692" s="39" t="s">
        <v>325</v>
      </c>
      <c r="M692" s="39">
        <v>1</v>
      </c>
      <c r="P692" s="39">
        <v>1</v>
      </c>
      <c r="W692" s="39">
        <v>1</v>
      </c>
      <c r="Z692" s="39">
        <v>1</v>
      </c>
      <c r="AA692" s="39">
        <v>1</v>
      </c>
      <c r="AE692" s="39">
        <v>1</v>
      </c>
      <c r="AF692" s="39">
        <v>1</v>
      </c>
      <c r="AL692" s="39">
        <v>1</v>
      </c>
      <c r="AM692" s="39">
        <v>1</v>
      </c>
      <c r="AN692" s="39">
        <v>1</v>
      </c>
      <c r="AP692" s="39">
        <v>1</v>
      </c>
      <c r="AQ692" s="39">
        <v>1</v>
      </c>
      <c r="AU692" s="39">
        <v>1</v>
      </c>
      <c r="AX692" s="39">
        <v>1</v>
      </c>
      <c r="AZ692" s="39">
        <v>1</v>
      </c>
    </row>
    <row r="693" ht="14.25" customHeight="1">
      <c r="E693" s="358" t="s">
        <v>1537</v>
      </c>
      <c r="F693" s="39" t="s">
        <v>827</v>
      </c>
      <c r="G693" s="358" t="s">
        <v>498</v>
      </c>
      <c r="H693" s="313">
        <v>340</v>
      </c>
      <c r="I693" s="313">
        <v>379</v>
      </c>
      <c r="L693" s="39" t="s">
        <v>325</v>
      </c>
      <c r="M693" s="39">
        <v>1</v>
      </c>
      <c r="P693" s="39">
        <v>1</v>
      </c>
      <c r="W693" s="39">
        <v>1</v>
      </c>
      <c r="Z693" s="39">
        <v>1</v>
      </c>
      <c r="AA693" s="39">
        <v>1</v>
      </c>
      <c r="AE693" s="39">
        <v>1</v>
      </c>
      <c r="AF693" s="39">
        <v>1</v>
      </c>
      <c r="AL693" s="39">
        <v>1</v>
      </c>
      <c r="AM693" s="39">
        <v>1</v>
      </c>
      <c r="AN693" s="39">
        <v>1</v>
      </c>
      <c r="AO693" s="39">
        <v>1</v>
      </c>
    </row>
    <row r="694" ht="41.75" customHeight="1">
      <c r="E694" s="363" t="s">
        <v>1538</v>
      </c>
      <c r="F694" s="39" t="s">
        <v>1539</v>
      </c>
      <c r="G694" s="363" t="s">
        <v>498</v>
      </c>
      <c r="H694" s="291">
        <v>432</v>
      </c>
      <c r="I694" s="291">
        <v>635</v>
      </c>
      <c r="J694" s="111" t="s">
        <v>1540</v>
      </c>
      <c r="L694" s="39" t="s">
        <v>325</v>
      </c>
      <c r="M694" s="39">
        <v>1</v>
      </c>
      <c r="P694" s="39">
        <v>1</v>
      </c>
      <c r="U694" s="39">
        <v>1</v>
      </c>
      <c r="W694" s="39">
        <v>1</v>
      </c>
      <c r="X694" s="39">
        <v>1</v>
      </c>
      <c r="Y694" s="39">
        <v>1</v>
      </c>
      <c r="AD694" s="39">
        <v>1</v>
      </c>
      <c r="AE694" s="39">
        <v>1</v>
      </c>
      <c r="AF694" s="39">
        <v>1</v>
      </c>
      <c r="AG694" s="39">
        <v>1</v>
      </c>
      <c r="AH694" s="39">
        <v>1</v>
      </c>
      <c r="AI694" s="39">
        <v>1</v>
      </c>
      <c r="AJ694" s="39">
        <v>1</v>
      </c>
      <c r="AL694" s="39">
        <v>1</v>
      </c>
      <c r="AM694" s="39">
        <v>1</v>
      </c>
      <c r="AN694" s="39">
        <v>1</v>
      </c>
      <c r="AP694" s="39">
        <v>1</v>
      </c>
      <c r="AQ694" s="39">
        <v>1</v>
      </c>
      <c r="AU694" s="39">
        <v>1</v>
      </c>
      <c r="AX694" s="39">
        <v>1</v>
      </c>
      <c r="BD694" s="39">
        <v>1</v>
      </c>
    </row>
    <row r="695" ht="41.75" customHeight="1">
      <c r="D695" s="382" t="s">
        <v>1541</v>
      </c>
      <c r="E695" s="363" t="s">
        <v>1542</v>
      </c>
      <c r="F695" s="39" t="s">
        <v>1020</v>
      </c>
      <c r="G695" s="363" t="s">
        <v>498</v>
      </c>
      <c r="H695" s="291">
        <v>720</v>
      </c>
      <c r="I695" s="291">
        <v>771</v>
      </c>
      <c r="J695" s="111" t="s">
        <v>1536</v>
      </c>
      <c r="L695" s="39" t="s">
        <v>447</v>
      </c>
      <c r="Q695" s="39">
        <v>1</v>
      </c>
      <c r="T695" s="39">
        <v>1</v>
      </c>
      <c r="U695" s="39">
        <v>1</v>
      </c>
      <c r="V695" s="39">
        <v>1</v>
      </c>
      <c r="Y695" s="39">
        <v>1</v>
      </c>
      <c r="AD695" s="39">
        <v>1</v>
      </c>
      <c r="AE695" s="39">
        <v>1</v>
      </c>
      <c r="AF695" s="39">
        <v>1</v>
      </c>
      <c r="AG695" s="39">
        <v>1</v>
      </c>
      <c r="AH695" s="39">
        <v>1</v>
      </c>
      <c r="AI695" s="39">
        <v>1</v>
      </c>
      <c r="AJ695" s="39">
        <v>1</v>
      </c>
      <c r="AL695" s="39">
        <v>1</v>
      </c>
      <c r="AM695" s="39">
        <v>1</v>
      </c>
      <c r="AN695" s="39">
        <v>1</v>
      </c>
      <c r="AP695" s="39">
        <v>1</v>
      </c>
      <c r="AQ695" s="39">
        <v>1</v>
      </c>
      <c r="AU695" s="39">
        <v>1</v>
      </c>
      <c r="AW695" s="39">
        <v>1</v>
      </c>
      <c r="BB695" s="39">
        <v>1</v>
      </c>
      <c r="BG695" s="39">
        <v>1</v>
      </c>
    </row>
    <row r="696" ht="41.75" customHeight="1">
      <c r="D696" s="382" t="s">
        <v>1543</v>
      </c>
      <c r="E696" s="358" t="s">
        <v>1544</v>
      </c>
      <c r="F696" s="39" t="s">
        <v>1545</v>
      </c>
      <c r="G696" s="358" t="s">
        <v>498</v>
      </c>
      <c r="H696" s="313">
        <v>6394</v>
      </c>
      <c r="I696" s="313">
        <v>6515</v>
      </c>
      <c r="J696" s="111" t="s">
        <v>1546</v>
      </c>
      <c r="L696" s="39" t="s">
        <v>325</v>
      </c>
      <c r="M696" s="39">
        <v>1</v>
      </c>
      <c r="P696" s="39">
        <v>1</v>
      </c>
      <c r="W696" s="39">
        <v>1</v>
      </c>
      <c r="Z696" s="39">
        <v>1</v>
      </c>
      <c r="AA696" s="39">
        <v>1</v>
      </c>
      <c r="AE696" s="39">
        <v>1</v>
      </c>
      <c r="AF696" s="39">
        <v>1</v>
      </c>
      <c r="AG696" s="39">
        <v>1</v>
      </c>
      <c r="AH696" s="39">
        <v>1</v>
      </c>
      <c r="AJ696" s="39">
        <v>1</v>
      </c>
      <c r="AL696" s="39">
        <v>1</v>
      </c>
      <c r="AM696" s="39">
        <v>1</v>
      </c>
      <c r="AN696" s="39">
        <v>1</v>
      </c>
      <c r="AP696" s="39">
        <v>1</v>
      </c>
      <c r="AQ696" s="39">
        <v>1</v>
      </c>
      <c r="AS696" s="39">
        <v>1</v>
      </c>
      <c r="AX696" s="39">
        <v>1</v>
      </c>
    </row>
    <row r="697" ht="28.399999999999999" customHeight="1">
      <c r="D697" s="382" t="s">
        <v>1547</v>
      </c>
      <c r="E697" s="358" t="s">
        <v>1548</v>
      </c>
      <c r="F697" s="39" t="s">
        <v>1549</v>
      </c>
      <c r="G697" s="358" t="s">
        <v>498</v>
      </c>
      <c r="H697" s="313">
        <v>6555</v>
      </c>
      <c r="I697" s="313">
        <v>6615</v>
      </c>
      <c r="L697" s="39" t="s">
        <v>66</v>
      </c>
      <c r="M697" s="39">
        <v>1</v>
      </c>
      <c r="P697" s="39">
        <v>1</v>
      </c>
      <c r="W697" s="39">
        <v>1</v>
      </c>
      <c r="Z697" s="39">
        <v>1</v>
      </c>
      <c r="AA697" s="39">
        <v>1</v>
      </c>
      <c r="AE697" s="39">
        <v>1</v>
      </c>
      <c r="AF697" s="39">
        <v>1</v>
      </c>
      <c r="AJ697" s="39">
        <v>1</v>
      </c>
      <c r="AL697" s="39">
        <v>1</v>
      </c>
      <c r="AM697" s="39">
        <v>1</v>
      </c>
      <c r="AN697" s="39">
        <v>1</v>
      </c>
      <c r="AP697" s="39">
        <v>1</v>
      </c>
      <c r="AQ697" s="39">
        <v>1</v>
      </c>
      <c r="AX697" s="39">
        <v>1</v>
      </c>
      <c r="BE697" s="39">
        <v>1</v>
      </c>
      <c r="BF697" s="39">
        <v>1</v>
      </c>
    </row>
    <row r="698" ht="82" customHeight="1">
      <c r="E698" s="363" t="s">
        <v>1550</v>
      </c>
      <c r="F698" s="39" t="s">
        <v>1551</v>
      </c>
      <c r="G698" s="363" t="s">
        <v>498</v>
      </c>
      <c r="H698" s="291">
        <v>7022</v>
      </c>
      <c r="I698" s="291">
        <v>7239</v>
      </c>
      <c r="L698" s="39" t="s">
        <v>325</v>
      </c>
      <c r="M698" s="39">
        <v>1</v>
      </c>
      <c r="P698" s="39">
        <v>1</v>
      </c>
      <c r="U698" s="39">
        <v>1</v>
      </c>
      <c r="W698" s="39">
        <v>1</v>
      </c>
      <c r="Y698" s="39">
        <v>1</v>
      </c>
      <c r="AA698" s="39">
        <v>1</v>
      </c>
      <c r="AE698" s="39">
        <v>1</v>
      </c>
      <c r="AF698" s="39">
        <v>1</v>
      </c>
      <c r="AG698" s="39">
        <v>1</v>
      </c>
      <c r="AH698" s="39">
        <v>1</v>
      </c>
      <c r="AI698" s="39">
        <v>1</v>
      </c>
      <c r="AJ698" s="39">
        <v>1</v>
      </c>
      <c r="AL698" s="39">
        <v>1</v>
      </c>
      <c r="AM698" s="39">
        <v>1</v>
      </c>
      <c r="AN698" s="39">
        <v>1</v>
      </c>
      <c r="AP698" s="39">
        <v>1</v>
      </c>
      <c r="AQ698" s="39">
        <v>1</v>
      </c>
      <c r="AS698" s="39">
        <v>1</v>
      </c>
      <c r="AU698" s="39">
        <v>1</v>
      </c>
      <c r="AX698" s="39">
        <v>1</v>
      </c>
      <c r="BH698" s="39">
        <v>1</v>
      </c>
    </row>
    <row r="699" ht="55.25" customHeight="1">
      <c r="E699" s="363" t="s">
        <v>1552</v>
      </c>
      <c r="F699" s="39" t="s">
        <v>1553</v>
      </c>
      <c r="G699" s="363" t="s">
        <v>498</v>
      </c>
      <c r="H699" s="291">
        <v>7291</v>
      </c>
      <c r="I699" s="291">
        <v>7423</v>
      </c>
      <c r="J699" s="111" t="s">
        <v>657</v>
      </c>
      <c r="L699" s="39" t="s">
        <v>325</v>
      </c>
      <c r="M699" s="39">
        <v>1</v>
      </c>
      <c r="P699" s="39">
        <v>1</v>
      </c>
      <c r="U699" s="39">
        <v>1</v>
      </c>
      <c r="W699" s="39">
        <v>1</v>
      </c>
      <c r="Y699" s="39">
        <v>1</v>
      </c>
      <c r="AA699" s="39">
        <v>1</v>
      </c>
      <c r="AE699" s="39">
        <v>1</v>
      </c>
      <c r="AF699" s="39">
        <v>1</v>
      </c>
      <c r="AG699" s="39">
        <v>1</v>
      </c>
      <c r="AH699" s="39">
        <v>1</v>
      </c>
      <c r="AI699" s="39">
        <v>1</v>
      </c>
      <c r="AJ699" s="39">
        <v>1</v>
      </c>
      <c r="AL699" s="39">
        <v>1</v>
      </c>
      <c r="AM699" s="39">
        <v>1</v>
      </c>
      <c r="AN699" s="39">
        <v>1</v>
      </c>
      <c r="AP699" s="39">
        <v>1</v>
      </c>
      <c r="AQ699" s="39">
        <v>1</v>
      </c>
      <c r="AT699" s="39">
        <v>1</v>
      </c>
      <c r="AX699" s="39">
        <v>1</v>
      </c>
      <c r="BD699" s="39">
        <v>1</v>
      </c>
    </row>
    <row r="700" ht="28.399999999999999" customHeight="1">
      <c r="E700" s="358" t="s">
        <v>1554</v>
      </c>
      <c r="F700" s="39" t="s">
        <v>491</v>
      </c>
      <c r="G700" s="358" t="s">
        <v>498</v>
      </c>
      <c r="H700" s="313">
        <v>7569</v>
      </c>
      <c r="I700" s="313">
        <v>7594</v>
      </c>
      <c r="L700" s="39" t="s">
        <v>325</v>
      </c>
      <c r="M700" s="39">
        <v>1</v>
      </c>
      <c r="P700" s="39">
        <v>1</v>
      </c>
      <c r="W700" s="39">
        <v>1</v>
      </c>
      <c r="Z700" s="39">
        <v>1</v>
      </c>
      <c r="AA700" s="39">
        <v>1</v>
      </c>
      <c r="AE700" s="39">
        <v>1</v>
      </c>
      <c r="AF700" s="39">
        <v>1</v>
      </c>
      <c r="AG700" s="39">
        <v>1</v>
      </c>
      <c r="AJ700" s="39">
        <v>1</v>
      </c>
      <c r="AK700" s="39">
        <v>1</v>
      </c>
      <c r="AL700" s="39">
        <v>1</v>
      </c>
      <c r="AM700" s="39">
        <v>1</v>
      </c>
      <c r="AN700" s="39">
        <v>1</v>
      </c>
      <c r="AO700" s="39">
        <v>1</v>
      </c>
    </row>
    <row r="701" ht="28.399999999999999" customHeight="1">
      <c r="E701" s="358" t="s">
        <v>1555</v>
      </c>
      <c r="F701" s="39" t="s">
        <v>616</v>
      </c>
      <c r="G701" s="358" t="s">
        <v>498</v>
      </c>
      <c r="H701" s="313">
        <v>13161</v>
      </c>
      <c r="I701" s="313">
        <v>13197</v>
      </c>
      <c r="L701" s="39" t="s">
        <v>325</v>
      </c>
      <c r="U701" s="39">
        <v>1</v>
      </c>
      <c r="W701" s="39">
        <v>1</v>
      </c>
      <c r="Z701" s="39">
        <v>1</v>
      </c>
      <c r="AA701" s="39">
        <v>1</v>
      </c>
      <c r="AE701" s="39">
        <v>1</v>
      </c>
      <c r="AF701" s="39">
        <v>1</v>
      </c>
      <c r="AG701" s="39">
        <v>1</v>
      </c>
      <c r="AJ701" s="39">
        <v>1</v>
      </c>
      <c r="AL701" s="39">
        <v>1</v>
      </c>
      <c r="AM701" s="39">
        <v>1</v>
      </c>
      <c r="AN701" s="39">
        <v>1</v>
      </c>
      <c r="AP701" s="39">
        <v>1</v>
      </c>
    </row>
    <row r="702" ht="28.399999999999999" customHeight="1">
      <c r="E702" s="358" t="s">
        <v>1556</v>
      </c>
      <c r="F702" s="39" t="s">
        <v>726</v>
      </c>
      <c r="G702" s="358" t="s">
        <v>498</v>
      </c>
      <c r="H702" s="313">
        <v>14812</v>
      </c>
      <c r="I702" s="313">
        <v>14887</v>
      </c>
      <c r="L702" s="39" t="s">
        <v>325</v>
      </c>
      <c r="U702" s="39">
        <v>1</v>
      </c>
      <c r="W702" s="39">
        <v>1</v>
      </c>
      <c r="Z702" s="39">
        <v>1</v>
      </c>
      <c r="AA702" s="39">
        <v>1</v>
      </c>
      <c r="AF702" s="39">
        <v>1</v>
      </c>
      <c r="AG702" s="39">
        <v>1</v>
      </c>
      <c r="AH702" s="39">
        <v>1</v>
      </c>
      <c r="AJ702" s="39">
        <v>1</v>
      </c>
      <c r="AL702" s="39">
        <v>1</v>
      </c>
      <c r="AM702" s="39">
        <v>1</v>
      </c>
      <c r="AN702" s="39">
        <v>1</v>
      </c>
      <c r="AP702" s="39">
        <v>1</v>
      </c>
    </row>
    <row r="703" ht="28.399999999999999" customHeight="1">
      <c r="E703" s="358" t="s">
        <v>1557</v>
      </c>
      <c r="F703" s="39" t="s">
        <v>644</v>
      </c>
      <c r="G703" s="358" t="s">
        <v>498</v>
      </c>
      <c r="H703" s="313">
        <v>16728</v>
      </c>
      <c r="I703" s="313">
        <v>16755</v>
      </c>
      <c r="J703" s="111" t="s">
        <v>1558</v>
      </c>
      <c r="L703" s="39" t="s">
        <v>325</v>
      </c>
      <c r="M703" s="39">
        <v>1</v>
      </c>
      <c r="P703" s="39">
        <v>1</v>
      </c>
      <c r="W703" s="39">
        <v>1</v>
      </c>
      <c r="X703" s="39">
        <v>1</v>
      </c>
      <c r="Z703" s="39">
        <v>1</v>
      </c>
      <c r="AA703" s="39">
        <v>1</v>
      </c>
      <c r="AE703" s="39">
        <v>1</v>
      </c>
      <c r="AF703" s="39">
        <v>1</v>
      </c>
      <c r="AG703" s="39">
        <v>1</v>
      </c>
      <c r="AL703" s="39">
        <v>1</v>
      </c>
      <c r="AM703" s="39">
        <v>1</v>
      </c>
      <c r="AN703" s="39">
        <v>1</v>
      </c>
      <c r="AO703" s="39">
        <v>1</v>
      </c>
    </row>
    <row r="704" ht="28.399999999999999" customHeight="1">
      <c r="E704" s="358" t="s">
        <v>1559</v>
      </c>
      <c r="F704" s="39" t="s">
        <v>703</v>
      </c>
      <c r="G704" s="358" t="s">
        <v>498</v>
      </c>
      <c r="H704" s="313">
        <v>16816</v>
      </c>
      <c r="I704" s="313">
        <v>16857</v>
      </c>
      <c r="L704" s="39" t="s">
        <v>325</v>
      </c>
      <c r="M704" s="39">
        <v>1</v>
      </c>
      <c r="P704" s="39">
        <v>1</v>
      </c>
      <c r="W704" s="39">
        <v>1</v>
      </c>
      <c r="X704" s="39">
        <v>1</v>
      </c>
      <c r="Z704" s="39">
        <v>1</v>
      </c>
      <c r="AA704" s="39">
        <v>1</v>
      </c>
      <c r="AE704" s="39">
        <v>1</v>
      </c>
      <c r="AF704" s="39">
        <v>1</v>
      </c>
      <c r="AL704" s="39">
        <v>1</v>
      </c>
      <c r="AM704" s="39">
        <v>1</v>
      </c>
      <c r="AN704" s="39">
        <v>1</v>
      </c>
      <c r="AO704" s="39">
        <v>1</v>
      </c>
    </row>
    <row r="705" s="144" customFormat="1" ht="28.399999999999999" customHeight="1">
      <c r="E705" s="364" t="s">
        <v>1560</v>
      </c>
      <c r="F705" s="144" t="s">
        <v>654</v>
      </c>
      <c r="G705" s="364" t="s">
        <v>498</v>
      </c>
      <c r="H705" s="320">
        <v>16926</v>
      </c>
      <c r="I705" s="320">
        <v>16950</v>
      </c>
      <c r="J705" s="145"/>
      <c r="L705" s="144" t="s">
        <v>325</v>
      </c>
      <c r="M705" s="144">
        <v>1</v>
      </c>
      <c r="P705" s="144">
        <v>1</v>
      </c>
      <c r="V705" s="144">
        <v>1</v>
      </c>
      <c r="Z705" s="144">
        <v>1</v>
      </c>
      <c r="AA705" s="144">
        <v>1</v>
      </c>
      <c r="AE705" s="144">
        <v>1</v>
      </c>
      <c r="AF705" s="144">
        <v>1</v>
      </c>
      <c r="AG705" s="144">
        <v>1</v>
      </c>
      <c r="AH705" s="144">
        <v>1</v>
      </c>
      <c r="AL705" s="144">
        <v>1</v>
      </c>
      <c r="AM705" s="144">
        <v>1</v>
      </c>
      <c r="AN705" s="144">
        <v>1</v>
      </c>
      <c r="AP705" s="144">
        <v>1</v>
      </c>
    </row>
    <row r="706" ht="41.75" customHeight="1">
      <c r="A706" s="39" t="s">
        <v>1561</v>
      </c>
      <c r="B706" s="39" t="s">
        <v>513</v>
      </c>
      <c r="C706" s="39" t="s">
        <v>1562</v>
      </c>
      <c r="D706" s="39" t="s">
        <v>1563</v>
      </c>
      <c r="E706" s="363" t="s">
        <v>1564</v>
      </c>
      <c r="F706" s="39" t="s">
        <v>541</v>
      </c>
      <c r="G706" s="363" t="s">
        <v>498</v>
      </c>
      <c r="H706" s="291">
        <v>15666</v>
      </c>
      <c r="I706" s="291">
        <v>15674</v>
      </c>
      <c r="J706" s="386" t="s">
        <v>1565</v>
      </c>
      <c r="L706" s="39" t="s">
        <v>447</v>
      </c>
      <c r="N706" s="39">
        <v>1</v>
      </c>
      <c r="P706" s="39">
        <v>1</v>
      </c>
      <c r="W706" s="39">
        <v>1</v>
      </c>
      <c r="Z706" s="39">
        <v>1</v>
      </c>
      <c r="AA706" s="39">
        <v>1</v>
      </c>
      <c r="AE706" s="39">
        <v>1</v>
      </c>
      <c r="AG706" s="39">
        <v>1</v>
      </c>
      <c r="AH706" s="39">
        <v>1</v>
      </c>
      <c r="AI706" s="39">
        <v>1</v>
      </c>
      <c r="AJ706" s="39">
        <v>1</v>
      </c>
      <c r="AL706" s="39">
        <v>1</v>
      </c>
      <c r="AM706" s="39">
        <v>1</v>
      </c>
      <c r="AN706" s="39">
        <v>1</v>
      </c>
      <c r="AP706" s="39">
        <v>1</v>
      </c>
      <c r="AQ706" s="39">
        <v>1</v>
      </c>
      <c r="AR706" s="39">
        <v>1</v>
      </c>
      <c r="AW706" s="39">
        <v>1</v>
      </c>
    </row>
    <row r="707" ht="28.399999999999999" customHeight="1">
      <c r="D707" s="403" t="s">
        <v>1566</v>
      </c>
      <c r="E707" s="358" t="s">
        <v>1567</v>
      </c>
      <c r="F707" s="39" t="s">
        <v>516</v>
      </c>
      <c r="G707" s="358" t="s">
        <v>498</v>
      </c>
      <c r="H707" s="313">
        <v>20841</v>
      </c>
      <c r="I707" s="313">
        <v>20844</v>
      </c>
      <c r="L707" s="39" t="s">
        <v>447</v>
      </c>
      <c r="N707" s="39">
        <v>1</v>
      </c>
      <c r="P707" s="39">
        <v>1</v>
      </c>
      <c r="V707" s="39">
        <v>1</v>
      </c>
      <c r="Z707" s="39">
        <v>1</v>
      </c>
      <c r="AA707" s="39">
        <v>1</v>
      </c>
      <c r="AE707" s="39">
        <v>1</v>
      </c>
      <c r="AG707" s="39">
        <v>1</v>
      </c>
      <c r="AH707" s="39">
        <v>1</v>
      </c>
      <c r="AI707" s="39">
        <v>1</v>
      </c>
      <c r="AJ707" s="39">
        <v>1</v>
      </c>
      <c r="AL707" s="39">
        <v>1</v>
      </c>
      <c r="AM707" s="39">
        <v>1</v>
      </c>
      <c r="AN707" s="39">
        <v>1</v>
      </c>
      <c r="AP707" s="39">
        <v>1</v>
      </c>
      <c r="AQ707" s="39">
        <v>1</v>
      </c>
      <c r="AW707" s="39">
        <v>1</v>
      </c>
      <c r="BA707" s="39">
        <v>1</v>
      </c>
    </row>
    <row r="708" ht="28.399999999999999" customHeight="1">
      <c r="D708" s="403" t="s">
        <v>1568</v>
      </c>
      <c r="E708" s="358" t="s">
        <v>1569</v>
      </c>
      <c r="F708" s="39" t="s">
        <v>541</v>
      </c>
      <c r="G708" s="358" t="s">
        <v>498</v>
      </c>
      <c r="H708" s="313">
        <v>26996</v>
      </c>
      <c r="I708" s="313">
        <v>27004</v>
      </c>
      <c r="L708" s="39" t="s">
        <v>447</v>
      </c>
      <c r="AQ708" s="39">
        <v>1</v>
      </c>
      <c r="AR708" s="39">
        <v>1</v>
      </c>
      <c r="AW708" s="39">
        <v>1</v>
      </c>
    </row>
    <row r="709" ht="14.25" customHeight="1">
      <c r="E709" s="358" t="s">
        <v>1570</v>
      </c>
      <c r="F709" s="39" t="s">
        <v>535</v>
      </c>
      <c r="G709" s="358" t="s">
        <v>498</v>
      </c>
      <c r="H709" s="313">
        <v>27122</v>
      </c>
      <c r="I709" s="313">
        <v>27131</v>
      </c>
      <c r="J709" s="111" t="s">
        <v>1571</v>
      </c>
      <c r="L709" s="39" t="s">
        <v>325</v>
      </c>
      <c r="M709" s="39">
        <v>1</v>
      </c>
      <c r="P709" s="39">
        <v>1</v>
      </c>
      <c r="W709" s="39">
        <v>1</v>
      </c>
      <c r="Z709" s="39">
        <v>1</v>
      </c>
      <c r="AD709" s="39">
        <v>1</v>
      </c>
      <c r="AK709" s="39">
        <v>1</v>
      </c>
      <c r="AL709" s="39">
        <v>1</v>
      </c>
      <c r="AM709" s="39">
        <v>1</v>
      </c>
      <c r="AN709" s="39">
        <v>1</v>
      </c>
      <c r="AO709" s="39">
        <v>1</v>
      </c>
    </row>
    <row r="710" s="144" customFormat="1" ht="28.399999999999999" customHeight="1">
      <c r="E710" s="364" t="s">
        <v>1572</v>
      </c>
      <c r="F710" s="144" t="s">
        <v>494</v>
      </c>
      <c r="G710" s="364" t="s">
        <v>498</v>
      </c>
      <c r="H710" s="320">
        <v>27226</v>
      </c>
      <c r="I710" s="320">
        <v>27282</v>
      </c>
      <c r="J710" s="145"/>
      <c r="L710" s="144" t="s">
        <v>325</v>
      </c>
      <c r="M710" s="144">
        <v>1</v>
      </c>
      <c r="P710" s="144">
        <v>1</v>
      </c>
      <c r="W710" s="144">
        <v>1</v>
      </c>
      <c r="Z710" s="144">
        <v>1</v>
      </c>
      <c r="AD710" s="144">
        <v>1</v>
      </c>
      <c r="AF710" s="144">
        <v>1</v>
      </c>
      <c r="AK710" s="144">
        <v>1</v>
      </c>
      <c r="AL710" s="144">
        <v>1</v>
      </c>
      <c r="AM710" s="144">
        <v>1</v>
      </c>
      <c r="AN710" s="144">
        <v>1</v>
      </c>
      <c r="AO710" s="144">
        <v>1</v>
      </c>
    </row>
    <row r="711" ht="82" customHeight="1">
      <c r="A711" s="39" t="s">
        <v>1561</v>
      </c>
      <c r="B711" s="39" t="s">
        <v>513</v>
      </c>
      <c r="C711" s="39" t="s">
        <v>1573</v>
      </c>
      <c r="D711" s="39" t="s">
        <v>1563</v>
      </c>
      <c r="E711" s="363" t="s">
        <v>1574</v>
      </c>
      <c r="F711" s="39" t="s">
        <v>1575</v>
      </c>
      <c r="G711" s="363" t="s">
        <v>498</v>
      </c>
      <c r="H711" s="291">
        <v>20553</v>
      </c>
      <c r="I711" s="291">
        <v>20673</v>
      </c>
      <c r="L711" s="39" t="s">
        <v>447</v>
      </c>
      <c r="M711" s="39">
        <v>1</v>
      </c>
      <c r="P711" s="39">
        <v>1</v>
      </c>
      <c r="Q711" s="39">
        <v>1</v>
      </c>
      <c r="T711" s="39">
        <v>1</v>
      </c>
      <c r="V711" s="39">
        <v>1</v>
      </c>
      <c r="Y711" s="39">
        <v>1</v>
      </c>
      <c r="AD711" s="39">
        <v>1</v>
      </c>
      <c r="AE711" s="39">
        <v>1</v>
      </c>
      <c r="AF711" s="39">
        <v>1</v>
      </c>
      <c r="AG711" s="39">
        <v>1</v>
      </c>
      <c r="AH711" s="39">
        <v>1</v>
      </c>
      <c r="AI711" s="39">
        <v>1</v>
      </c>
      <c r="AJ711" s="39">
        <v>1</v>
      </c>
      <c r="AL711" s="39">
        <v>1</v>
      </c>
      <c r="AM711" s="39">
        <v>1</v>
      </c>
      <c r="AN711" s="39">
        <v>1</v>
      </c>
      <c r="AP711" s="39">
        <v>1</v>
      </c>
      <c r="AQ711" s="39">
        <v>1</v>
      </c>
      <c r="AU711" s="39">
        <v>1</v>
      </c>
      <c r="AX711" s="39">
        <v>1</v>
      </c>
    </row>
    <row r="712" ht="41.75" customHeight="1">
      <c r="E712" s="358" t="s">
        <v>1576</v>
      </c>
      <c r="F712" s="39" t="s">
        <v>659</v>
      </c>
      <c r="G712" s="358" t="s">
        <v>498</v>
      </c>
      <c r="H712" s="313">
        <v>21260</v>
      </c>
      <c r="I712" s="313">
        <v>21318</v>
      </c>
      <c r="L712" s="39" t="s">
        <v>325</v>
      </c>
      <c r="N712" s="39">
        <v>1</v>
      </c>
      <c r="P712" s="39">
        <v>1</v>
      </c>
      <c r="V712" s="39">
        <v>1</v>
      </c>
      <c r="Y712" s="39">
        <v>1</v>
      </c>
      <c r="AA712" s="39">
        <v>1</v>
      </c>
      <c r="AE712" s="39">
        <v>1</v>
      </c>
      <c r="AF712" s="39">
        <v>1</v>
      </c>
      <c r="AG712" s="39">
        <v>1</v>
      </c>
      <c r="AH712" s="39">
        <v>1</v>
      </c>
      <c r="AI712" s="39">
        <v>1</v>
      </c>
      <c r="AJ712" s="39">
        <v>1</v>
      </c>
      <c r="AL712" s="39">
        <v>1</v>
      </c>
      <c r="AM712" s="39">
        <v>1</v>
      </c>
      <c r="AN712" s="39">
        <v>1</v>
      </c>
      <c r="AP712" s="39">
        <v>1</v>
      </c>
    </row>
    <row r="713" ht="41.75" customHeight="1">
      <c r="E713" s="358" t="s">
        <v>1577</v>
      </c>
      <c r="F713" s="39" t="s">
        <v>1578</v>
      </c>
      <c r="G713" s="358" t="s">
        <v>498</v>
      </c>
      <c r="H713" s="313">
        <v>21367</v>
      </c>
      <c r="I713" s="313">
        <v>21510</v>
      </c>
      <c r="L713" s="39" t="s">
        <v>325</v>
      </c>
      <c r="M713" s="39">
        <v>1</v>
      </c>
      <c r="P713" s="39">
        <v>1</v>
      </c>
      <c r="U713" s="39">
        <v>1</v>
      </c>
      <c r="W713" s="39">
        <v>1</v>
      </c>
      <c r="Z713" s="39">
        <v>1</v>
      </c>
      <c r="AD713" s="39">
        <v>1</v>
      </c>
      <c r="AE713" s="39">
        <v>1</v>
      </c>
      <c r="AF713" s="39">
        <v>1</v>
      </c>
      <c r="AL713" s="39">
        <v>1</v>
      </c>
      <c r="AM713" s="39">
        <v>1</v>
      </c>
      <c r="AN713" s="39">
        <v>1</v>
      </c>
      <c r="AP713" s="39">
        <v>1</v>
      </c>
      <c r="AQ713" s="39">
        <v>1</v>
      </c>
      <c r="AU713" s="39">
        <v>1</v>
      </c>
      <c r="AX713" s="39">
        <v>1</v>
      </c>
      <c r="AZ713" s="39">
        <v>1</v>
      </c>
    </row>
    <row r="714" ht="28.399999999999999" customHeight="1">
      <c r="E714" s="358" t="s">
        <v>1579</v>
      </c>
      <c r="F714" s="39" t="s">
        <v>821</v>
      </c>
      <c r="G714" s="358" t="s">
        <v>498</v>
      </c>
      <c r="H714" s="313">
        <v>21902</v>
      </c>
      <c r="I714" s="313">
        <v>21931</v>
      </c>
      <c r="L714" s="39" t="s">
        <v>325</v>
      </c>
      <c r="M714" s="39">
        <v>1</v>
      </c>
      <c r="P714" s="39">
        <v>1</v>
      </c>
      <c r="W714" s="39">
        <v>1</v>
      </c>
      <c r="Z714" s="39">
        <v>1</v>
      </c>
      <c r="AA714" s="39">
        <v>1</v>
      </c>
      <c r="AF714" s="39">
        <v>1</v>
      </c>
      <c r="AG714" s="39">
        <v>1</v>
      </c>
      <c r="AH714" s="39">
        <v>1</v>
      </c>
      <c r="AL714" s="39">
        <v>1</v>
      </c>
      <c r="AM714" s="39">
        <v>1</v>
      </c>
      <c r="AN714" s="39">
        <v>1</v>
      </c>
      <c r="AO714" s="39">
        <v>1</v>
      </c>
    </row>
    <row r="715" ht="55.25" customHeight="1">
      <c r="E715" s="363" t="s">
        <v>1580</v>
      </c>
      <c r="F715" s="39" t="s">
        <v>1581</v>
      </c>
      <c r="G715" s="363" t="s">
        <v>498</v>
      </c>
      <c r="H715" s="291">
        <v>21961</v>
      </c>
      <c r="I715" s="291">
        <v>22113</v>
      </c>
      <c r="L715" s="39" t="s">
        <v>66</v>
      </c>
      <c r="M715" s="39">
        <v>1</v>
      </c>
      <c r="P715" s="39">
        <v>1</v>
      </c>
      <c r="U715" s="39">
        <v>1</v>
      </c>
      <c r="W715" s="39">
        <v>1</v>
      </c>
      <c r="Y715" s="39">
        <v>1</v>
      </c>
      <c r="AD715" s="39">
        <v>1</v>
      </c>
      <c r="AE715" s="39">
        <v>1</v>
      </c>
      <c r="AF715" s="39">
        <v>1</v>
      </c>
      <c r="AG715" s="39">
        <v>1</v>
      </c>
      <c r="AH715" s="39">
        <v>1</v>
      </c>
      <c r="AJ715" s="39">
        <v>1</v>
      </c>
      <c r="AL715" s="39">
        <v>1</v>
      </c>
      <c r="AM715" s="39">
        <v>1</v>
      </c>
      <c r="AN715" s="39">
        <v>1</v>
      </c>
      <c r="AP715" s="39">
        <v>1</v>
      </c>
      <c r="AQ715" s="39">
        <v>1</v>
      </c>
      <c r="AT715" s="39">
        <v>1</v>
      </c>
      <c r="AX715" s="39">
        <v>1</v>
      </c>
      <c r="BI715" s="39">
        <v>1</v>
      </c>
    </row>
    <row r="716" ht="55.25" customHeight="1">
      <c r="E716" s="363" t="s">
        <v>1582</v>
      </c>
      <c r="F716" s="39" t="s">
        <v>597</v>
      </c>
      <c r="G716" s="363" t="s">
        <v>498</v>
      </c>
      <c r="H716" s="291">
        <v>22130</v>
      </c>
      <c r="I716" s="291">
        <v>22243</v>
      </c>
      <c r="L716" s="39" t="s">
        <v>325</v>
      </c>
      <c r="U716" s="39">
        <v>1</v>
      </c>
      <c r="W716" s="39">
        <v>1</v>
      </c>
      <c r="Y716" s="39">
        <v>1</v>
      </c>
      <c r="AD716" s="39">
        <v>1</v>
      </c>
      <c r="AE716" s="39">
        <v>1</v>
      </c>
      <c r="AF716" s="39">
        <v>1</v>
      </c>
      <c r="AG716" s="39">
        <v>1</v>
      </c>
      <c r="AH716" s="39">
        <v>1</v>
      </c>
      <c r="AI716" s="39">
        <v>1</v>
      </c>
      <c r="AJ716" s="39">
        <v>1</v>
      </c>
      <c r="AL716" s="39">
        <v>1</v>
      </c>
      <c r="AM716" s="39">
        <v>1</v>
      </c>
      <c r="AN716" s="39">
        <v>1</v>
      </c>
      <c r="AP716" s="39">
        <v>1</v>
      </c>
    </row>
    <row r="717" ht="28.399999999999999" customHeight="1">
      <c r="E717" s="358" t="s">
        <v>1583</v>
      </c>
      <c r="F717" s="39" t="s">
        <v>1018</v>
      </c>
      <c r="G717" s="358" t="s">
        <v>498</v>
      </c>
      <c r="H717" s="313">
        <v>22328</v>
      </c>
      <c r="I717" s="313">
        <v>22335</v>
      </c>
      <c r="L717" s="39" t="s">
        <v>325</v>
      </c>
      <c r="M717" s="39">
        <v>1</v>
      </c>
      <c r="P717" s="39">
        <v>1</v>
      </c>
      <c r="W717" s="39">
        <v>1</v>
      </c>
      <c r="Z717" s="39">
        <v>1</v>
      </c>
      <c r="AA717" s="39">
        <v>1</v>
      </c>
      <c r="AE717" s="39">
        <v>1</v>
      </c>
      <c r="AF717" s="39">
        <v>1</v>
      </c>
      <c r="AL717" s="39">
        <v>1</v>
      </c>
      <c r="AM717" s="39">
        <v>1</v>
      </c>
      <c r="AN717" s="39">
        <v>1</v>
      </c>
      <c r="AP717" s="39">
        <v>1</v>
      </c>
    </row>
    <row r="718" ht="41.75" customHeight="1">
      <c r="E718" s="358" t="s">
        <v>1584</v>
      </c>
      <c r="F718" s="39" t="s">
        <v>1585</v>
      </c>
      <c r="G718" s="358" t="s">
        <v>498</v>
      </c>
      <c r="H718" s="313">
        <v>22665</v>
      </c>
      <c r="I718" s="313">
        <v>22731</v>
      </c>
      <c r="L718" s="39" t="s">
        <v>325</v>
      </c>
      <c r="M718" s="39">
        <v>1</v>
      </c>
      <c r="N718" s="39">
        <v>1</v>
      </c>
      <c r="P718" s="39">
        <v>1</v>
      </c>
      <c r="V718" s="39">
        <v>1</v>
      </c>
      <c r="X718" s="39">
        <v>1</v>
      </c>
      <c r="Z718" s="39">
        <v>1</v>
      </c>
      <c r="AA718" s="39">
        <v>1</v>
      </c>
      <c r="AE718" s="39">
        <v>1</v>
      </c>
      <c r="AF718" s="39">
        <v>1</v>
      </c>
      <c r="AG718" s="39">
        <v>1</v>
      </c>
      <c r="AH718" s="39">
        <v>1</v>
      </c>
      <c r="AI718" s="39">
        <v>1</v>
      </c>
      <c r="AJ718" s="39">
        <v>1</v>
      </c>
      <c r="AL718" s="39">
        <v>1</v>
      </c>
      <c r="AM718" s="39">
        <v>1</v>
      </c>
      <c r="AN718" s="39">
        <v>1</v>
      </c>
      <c r="AP718" s="39">
        <v>1</v>
      </c>
    </row>
    <row r="719" ht="28.399999999999999" customHeight="1">
      <c r="E719" s="358" t="s">
        <v>1586</v>
      </c>
      <c r="F719" s="39" t="s">
        <v>821</v>
      </c>
      <c r="G719" s="358" t="s">
        <v>498</v>
      </c>
      <c r="H719" s="313">
        <v>23041</v>
      </c>
      <c r="I719" s="313">
        <v>23070</v>
      </c>
      <c r="L719" s="39" t="s">
        <v>325</v>
      </c>
      <c r="M719" s="39">
        <v>1</v>
      </c>
      <c r="P719" s="39">
        <v>1</v>
      </c>
      <c r="W719" s="39">
        <v>1</v>
      </c>
      <c r="Z719" s="39">
        <v>1</v>
      </c>
      <c r="AA719" s="39">
        <v>1</v>
      </c>
      <c r="AE719" s="39">
        <v>1</v>
      </c>
      <c r="AF719" s="39">
        <v>1</v>
      </c>
      <c r="AG719" s="39">
        <v>1</v>
      </c>
      <c r="AH719" s="39">
        <v>1</v>
      </c>
      <c r="AL719" s="39">
        <v>1</v>
      </c>
      <c r="AM719" s="39">
        <v>1</v>
      </c>
      <c r="AN719" s="39">
        <v>1</v>
      </c>
      <c r="AP719" s="39">
        <v>1</v>
      </c>
    </row>
    <row r="720" ht="28.399999999999999" customHeight="1">
      <c r="E720" s="358" t="s">
        <v>1587</v>
      </c>
      <c r="F720" s="39" t="s">
        <v>1020</v>
      </c>
      <c r="G720" s="358" t="s">
        <v>498</v>
      </c>
      <c r="H720" s="313">
        <v>23497</v>
      </c>
      <c r="I720" s="313">
        <v>23548</v>
      </c>
      <c r="L720" s="39" t="s">
        <v>325</v>
      </c>
      <c r="M720" s="39">
        <v>1</v>
      </c>
      <c r="P720" s="39">
        <v>1</v>
      </c>
      <c r="V720" s="39">
        <v>1</v>
      </c>
      <c r="Z720" s="39">
        <v>1</v>
      </c>
      <c r="AA720" s="39">
        <v>1</v>
      </c>
      <c r="AG720" s="39">
        <v>1</v>
      </c>
      <c r="AH720" s="39">
        <v>1</v>
      </c>
      <c r="AL720" s="39">
        <v>1</v>
      </c>
      <c r="AM720" s="39">
        <v>1</v>
      </c>
      <c r="AN720" s="39">
        <v>1</v>
      </c>
      <c r="AP720" s="39">
        <v>1</v>
      </c>
      <c r="AQ720" s="39">
        <v>1</v>
      </c>
      <c r="AU720" s="39">
        <v>1</v>
      </c>
      <c r="AX720" s="39">
        <v>1</v>
      </c>
      <c r="BE720" s="39">
        <v>1</v>
      </c>
    </row>
    <row r="721" ht="28.399999999999999" customHeight="1">
      <c r="E721" s="363" t="s">
        <v>1588</v>
      </c>
      <c r="F721" s="39" t="s">
        <v>668</v>
      </c>
      <c r="G721" s="363" t="s">
        <v>498</v>
      </c>
      <c r="H721" s="291">
        <v>23897</v>
      </c>
      <c r="I721" s="291">
        <v>23937</v>
      </c>
      <c r="J721" s="111" t="s">
        <v>1259</v>
      </c>
      <c r="L721" s="39" t="s">
        <v>325</v>
      </c>
      <c r="U721" s="39">
        <v>1</v>
      </c>
      <c r="W721" s="39">
        <v>1</v>
      </c>
      <c r="Y721" s="39">
        <v>1</v>
      </c>
      <c r="AD721" s="39">
        <v>1</v>
      </c>
      <c r="AE721" s="39">
        <v>1</v>
      </c>
      <c r="AF721" s="39">
        <v>1</v>
      </c>
      <c r="AG721" s="39">
        <v>1</v>
      </c>
      <c r="AL721" s="39">
        <v>1</v>
      </c>
      <c r="AM721" s="39">
        <v>1</v>
      </c>
      <c r="AN721" s="39">
        <v>1</v>
      </c>
      <c r="AP721" s="39">
        <v>1</v>
      </c>
    </row>
    <row r="722" s="144" customFormat="1" ht="14.25" customHeight="1">
      <c r="E722" s="424" t="s">
        <v>1589</v>
      </c>
      <c r="F722" s="144" t="s">
        <v>562</v>
      </c>
      <c r="G722" s="424" t="s">
        <v>498</v>
      </c>
      <c r="H722" s="325">
        <v>24091</v>
      </c>
      <c r="I722" s="325">
        <v>24126</v>
      </c>
      <c r="J722" s="145" t="s">
        <v>1069</v>
      </c>
      <c r="L722" s="144" t="s">
        <v>325</v>
      </c>
      <c r="U722" s="144">
        <v>1</v>
      </c>
      <c r="W722" s="144">
        <v>1</v>
      </c>
      <c r="X722" s="144">
        <v>1</v>
      </c>
      <c r="Y722" s="144">
        <v>1</v>
      </c>
      <c r="AD722" s="144">
        <v>1</v>
      </c>
      <c r="AE722" s="144">
        <v>1</v>
      </c>
      <c r="AF722" s="144">
        <v>1</v>
      </c>
      <c r="AL722" s="144">
        <v>1</v>
      </c>
      <c r="AM722" s="144">
        <v>1</v>
      </c>
      <c r="AN722" s="144">
        <v>1</v>
      </c>
      <c r="AP722" s="144">
        <v>1</v>
      </c>
    </row>
  </sheetData>
  <autoFilter ref="A4:XFC199">
    <filterColumn colId="1">
      <filters>
        <filter val="non"/>
      </filters>
    </filterColumn>
  </autoFilter>
  <mergeCells count="26">
    <mergeCell ref="M1:AD1"/>
    <mergeCell ref="AE1:AP1"/>
    <mergeCell ref="AR1:BE1"/>
    <mergeCell ref="BF1:BJ1"/>
    <mergeCell ref="BK1:BM1"/>
    <mergeCell ref="M2:U2"/>
    <mergeCell ref="V2:X2"/>
    <mergeCell ref="Y2:Z2"/>
    <mergeCell ref="AA2:AD2"/>
    <mergeCell ref="AE2:AK2"/>
    <mergeCell ref="AL2:AN2"/>
    <mergeCell ref="AO2:AP2"/>
    <mergeCell ref="AR2:AU2"/>
    <mergeCell ref="AV2:AX2"/>
    <mergeCell ref="AY2:BE2"/>
    <mergeCell ref="BF2:BH2"/>
    <mergeCell ref="M3:P3"/>
    <mergeCell ref="Q3:T3"/>
    <mergeCell ref="AB3:AD3"/>
    <mergeCell ref="AR3:AT3"/>
    <mergeCell ref="B5:B6"/>
    <mergeCell ref="C5:C6"/>
    <mergeCell ref="B11:B12"/>
    <mergeCell ref="C11:C12"/>
    <mergeCell ref="B13:B17"/>
    <mergeCell ref="C13:C17"/>
  </mergeCells>
  <printOptions headings="0" gridLines="0"/>
  <pageMargins left="0.69999999999999996" right="0.69999999999999996" top="0.75" bottom="0.75" header="0.51181102362204689" footer="0.51181102362204689"/>
  <pageSetup paperSize="9" scale="100" fitToWidth="1" fitToHeight="1" pageOrder="downThenOver" orientation="portrait" usePrinterDefaults="1" blackAndWhite="0" draft="0" cellComments="none" useFirstPageNumber="0" errors="displayed" horizontalDpi="300" verticalDpi="300" copies="1"/>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topLeftCell="B1" zoomScale="75" workbookViewId="0">
      <selection activeCell="E18" activeCellId="0" sqref="E18"/>
    </sheetView>
  </sheetViews>
  <sheetFormatPr baseColWidth="10" defaultColWidth="11.453125" defaultRowHeight="14.5"/>
  <cols>
    <col customWidth="1" min="1" max="1" style="1" width="15.90625"/>
    <col customWidth="1" min="2" max="2" style="1" width="13"/>
    <col customWidth="1" min="5" max="5" style="1" width="13.08984375"/>
    <col customWidth="1" min="9" max="9" style="1" width="12.6328125"/>
    <col customWidth="1" min="12" max="12" style="1" width="12.6328125"/>
    <col customWidth="1" min="15" max="15" style="1" width="13.08984375"/>
    <col customWidth="1" min="29" max="29" style="1" width="13.453125"/>
    <col customWidth="1" min="30" max="30" style="1" width="14.36328125"/>
    <col customWidth="1" min="31" max="31" style="1" width="15.90625"/>
    <col customWidth="1" min="36" max="36" style="1" width="13.90625"/>
    <col customWidth="1" min="37" max="37" style="1" width="16"/>
    <col customWidth="1" min="38" max="38" style="1" width="10"/>
    <col customWidth="1" min="41" max="41" style="1" width="25.36328125"/>
    <col customWidth="1" min="42" max="42" style="1" width="17.36328125"/>
  </cols>
  <sheetData>
    <row r="1" ht="30" customHeight="1">
      <c r="A1" s="2" t="s">
        <v>1590</v>
      </c>
      <c r="B1" s="2" t="s">
        <v>1591</v>
      </c>
      <c r="C1" s="425" t="s">
        <v>402</v>
      </c>
      <c r="D1" s="1"/>
      <c r="E1" s="1"/>
      <c r="F1" s="1"/>
      <c r="G1" s="1"/>
      <c r="H1" s="1"/>
      <c r="I1" s="1"/>
      <c r="J1" s="1"/>
      <c r="K1" s="1"/>
      <c r="L1" s="1"/>
      <c r="M1" s="1"/>
      <c r="N1" s="1"/>
      <c r="O1" s="1"/>
      <c r="P1" s="425" t="s">
        <v>403</v>
      </c>
      <c r="Q1" s="1"/>
      <c r="R1" s="1"/>
      <c r="S1" s="1"/>
      <c r="T1" s="1"/>
      <c r="U1" s="1"/>
      <c r="V1" s="1"/>
      <c r="W1" s="1"/>
      <c r="X1" s="1"/>
      <c r="Y1" s="1"/>
      <c r="Z1" s="1"/>
      <c r="AA1" s="1"/>
      <c r="AB1" s="1"/>
      <c r="AC1" s="426" t="s">
        <v>404</v>
      </c>
      <c r="AD1" s="1"/>
      <c r="AE1" s="1"/>
      <c r="AF1" s="1"/>
      <c r="AG1" s="1"/>
      <c r="AH1" s="1"/>
      <c r="AI1" s="1"/>
      <c r="AJ1" s="1"/>
      <c r="AK1" s="427" t="s">
        <v>405</v>
      </c>
      <c r="AL1" s="1"/>
      <c r="AM1" s="1"/>
      <c r="AN1" s="1"/>
      <c r="AO1" s="425" t="s">
        <v>406</v>
      </c>
      <c r="AP1" s="1"/>
      <c r="AQ1" s="1"/>
    </row>
    <row r="2" ht="14.25" customHeight="1">
      <c r="B2" s="78"/>
      <c r="C2" s="428" t="s">
        <v>407</v>
      </c>
      <c r="D2" s="1"/>
      <c r="E2" s="1"/>
      <c r="F2" s="1"/>
      <c r="G2" s="1"/>
      <c r="H2" s="1"/>
      <c r="I2" s="1"/>
      <c r="J2" s="429" t="s">
        <v>408</v>
      </c>
      <c r="K2" s="1"/>
      <c r="L2" s="428" t="s">
        <v>410</v>
      </c>
      <c r="M2" s="1"/>
      <c r="N2" s="1"/>
      <c r="O2" s="1"/>
      <c r="P2" s="430" t="s">
        <v>411</v>
      </c>
      <c r="Q2" s="1"/>
      <c r="R2" s="1"/>
      <c r="S2" s="1"/>
      <c r="T2" s="1"/>
      <c r="U2" s="1"/>
      <c r="V2" s="431" t="s">
        <v>412</v>
      </c>
      <c r="W2" s="1"/>
      <c r="X2" s="1"/>
      <c r="Y2" s="1"/>
      <c r="Z2" s="1"/>
      <c r="AA2" s="430" t="s">
        <v>413</v>
      </c>
      <c r="AB2" s="1"/>
      <c r="AC2" s="432" t="s">
        <v>410</v>
      </c>
      <c r="AD2" s="1"/>
      <c r="AE2" s="1"/>
      <c r="AF2" s="431" t="s">
        <v>414</v>
      </c>
      <c r="AG2" s="1"/>
      <c r="AH2" s="432" t="s">
        <v>415</v>
      </c>
      <c r="AI2" s="1"/>
      <c r="AJ2" s="1"/>
      <c r="AK2" s="433" t="s">
        <v>416</v>
      </c>
      <c r="AL2" s="1"/>
      <c r="AM2" s="434" t="s">
        <v>417</v>
      </c>
      <c r="AN2" s="434" t="s">
        <v>418</v>
      </c>
      <c r="AO2" s="435" t="s">
        <v>419</v>
      </c>
      <c r="AP2" s="435" t="s">
        <v>420</v>
      </c>
      <c r="AQ2" s="435" t="s">
        <v>421</v>
      </c>
    </row>
    <row r="3" ht="120" customHeight="1">
      <c r="C3" s="436" t="s">
        <v>422</v>
      </c>
      <c r="D3" s="1"/>
      <c r="E3" s="1"/>
      <c r="F3" s="437" t="s">
        <v>423</v>
      </c>
      <c r="G3" s="1"/>
      <c r="H3" s="1"/>
      <c r="I3" s="104" t="s">
        <v>424</v>
      </c>
      <c r="J3" s="438" t="s">
        <v>1592</v>
      </c>
      <c r="K3" s="438" t="s">
        <v>1593</v>
      </c>
      <c r="L3" t="s">
        <v>430</v>
      </c>
      <c r="M3" s="50" t="s">
        <v>431</v>
      </c>
      <c r="N3" s="1"/>
      <c r="O3" s="1"/>
      <c r="P3" t="s">
        <v>432</v>
      </c>
      <c r="Q3" t="s">
        <v>433</v>
      </c>
      <c r="R3" t="s">
        <v>434</v>
      </c>
      <c r="S3" t="s">
        <v>435</v>
      </c>
      <c r="T3" t="s">
        <v>436</v>
      </c>
      <c r="U3" t="s">
        <v>1594</v>
      </c>
      <c r="V3" s="29" t="s">
        <v>1595</v>
      </c>
      <c r="W3" s="29" t="s">
        <v>1596</v>
      </c>
      <c r="X3" t="s">
        <v>439</v>
      </c>
      <c r="Y3" t="s">
        <v>440</v>
      </c>
      <c r="Z3" t="s">
        <v>441</v>
      </c>
      <c r="AA3" t="s">
        <v>442</v>
      </c>
      <c r="AB3" t="s">
        <v>1597</v>
      </c>
      <c r="AC3" s="439" t="s">
        <v>445</v>
      </c>
      <c r="AD3" s="1"/>
      <c r="AE3" s="2" t="s">
        <v>446</v>
      </c>
      <c r="AF3" t="s">
        <v>66</v>
      </c>
      <c r="AG3" t="s">
        <v>20</v>
      </c>
      <c r="AH3" t="s">
        <v>450</v>
      </c>
      <c r="AI3" t="s">
        <v>452</v>
      </c>
      <c r="AJ3" t="s">
        <v>454</v>
      </c>
      <c r="AK3" t="s">
        <v>456</v>
      </c>
      <c r="AL3" s="2" t="s">
        <v>1598</v>
      </c>
    </row>
    <row r="4" ht="55.25" customHeight="1">
      <c r="C4" s="440" t="s">
        <v>1599</v>
      </c>
      <c r="D4" s="440" t="s">
        <v>1600</v>
      </c>
      <c r="E4" s="441" t="s">
        <v>1601</v>
      </c>
      <c r="F4" s="105" t="s">
        <v>472</v>
      </c>
      <c r="G4" t="s">
        <v>1602</v>
      </c>
      <c r="H4" s="2" t="s">
        <v>1603</v>
      </c>
      <c r="M4" t="s">
        <v>476</v>
      </c>
      <c r="N4" t="s">
        <v>474</v>
      </c>
      <c r="O4" s="2" t="s">
        <v>1604</v>
      </c>
      <c r="AC4" t="s">
        <v>478</v>
      </c>
      <c r="AD4" t="s">
        <v>479</v>
      </c>
    </row>
    <row r="13" ht="28.399999999999999" customHeight="1">
      <c r="E13" s="105" t="s">
        <v>1605</v>
      </c>
    </row>
    <row r="14" ht="14.25" customHeight="1">
      <c r="E14" t="s">
        <v>1602</v>
      </c>
    </row>
    <row r="15" ht="41.75" customHeight="1">
      <c r="E15" s="2" t="s">
        <v>1606</v>
      </c>
    </row>
    <row r="18" ht="310.39999999999998" customHeight="1">
      <c r="E18" s="2" t="s">
        <v>1607</v>
      </c>
    </row>
  </sheetData>
  <mergeCells count="19">
    <mergeCell ref="C3:E3"/>
    <mergeCell ref="C1:O1"/>
    <mergeCell ref="J2:K2"/>
    <mergeCell ref="AA2:AB2"/>
    <mergeCell ref="AK2:AL2"/>
    <mergeCell ref="C2:I2"/>
    <mergeCell ref="AK1:AN1"/>
    <mergeCell ref="F3:H3"/>
    <mergeCell ref="P2:U2"/>
    <mergeCell ref="V2:Z2"/>
    <mergeCell ref="AC3:AD3"/>
    <mergeCell ref="AO1:AQ1"/>
    <mergeCell ref="M3:O3"/>
    <mergeCell ref="L2:O2"/>
    <mergeCell ref="AH2:AJ2"/>
    <mergeCell ref="P1:AB1"/>
    <mergeCell ref="AC2:AE2"/>
    <mergeCell ref="AF2:AG2"/>
    <mergeCell ref="AC1:AJ1"/>
  </mergeCells>
  <printOptions headings="0" gridLines="0"/>
  <pageMargins left="0.69999999999999996" right="0.69999999999999996" top="0.75" bottom="0.75" header="0.51181102362204689" footer="0.51181102362204689"/>
  <pageSetup paperSize="9" scale="100" fitToWidth="1" fitToHeight="1" pageOrder="downThenOver" orientation="portrait" usePrinterDefaults="1" blackAndWhite="0" draft="0" cellComments="none" useFirstPageNumber="0" errors="displayed" horizontalDpi="300" verticalDpi="300" copies="1"/>
  <headerFooter/>
</worksheet>
</file>

<file path=docProps/app.xml><?xml version="1.0" encoding="utf-8"?>
<Properties xmlns="http://schemas.openxmlformats.org/officeDocument/2006/extended-properties" xmlns:vt="http://schemas.openxmlformats.org/officeDocument/2006/docPropsVTypes">
  <Application>ONLYOFFICE/9.0.3.29</Application>
  <DocSecurity>0</DocSecurity>
  <ScaleCrop>0</ScaleCrop>
  <HeadingPairs>
    <vt:vector size="0" baseType="variant"/>
  </HeadingPairs>
  <TitlesOfParts>
    <vt:vector size="0" baseType="lpstr"/>
  </TitlesOfParts>
  <LinksUpToDate>0</LinksUpToDate>
  <SharedDoc>0</SharedDoc>
  <HyperlinksChanged>0</HyperlinksChanged>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language>fr-FR</dc:language>
  <cp:revision>8</cp:revision>
  <dcterms:created xsi:type="dcterms:W3CDTF">2006-09-16T00:00:00Z</dcterms:created>
  <dcterms:modified xsi:type="dcterms:W3CDTF">2025-11-03T11:49:41Z</dcterms:modified>
</cp:coreProperties>
</file>