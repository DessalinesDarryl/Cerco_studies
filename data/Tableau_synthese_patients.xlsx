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euil1"/>
  </sheets>
  <calcPr fullCalcOnLoad="1"/>
</workbook>
</file>

<file path=xl/sharedStrings.xml><?xml version="1.0" encoding="utf-8"?>
<sst xmlns="http://schemas.openxmlformats.org/spreadsheetml/2006/main" count="1118" uniqueCount="571">
  <si>
    <t>Identifiant</t>
  </si>
  <si>
    <t>NOM Prénom</t>
  </si>
  <si>
    <t>Extrait/entier</t>
  </si>
  <si>
    <t>Genre</t>
  </si>
  <si>
    <t>DDN</t>
  </si>
  <si>
    <t>Age</t>
  </si>
  <si>
    <t xml:space="preserve">Catégorie de patient </t>
  </si>
  <si>
    <t>Dx avant PSG</t>
  </si>
  <si>
    <t xml:space="preserve">Ancienneté Dx </t>
  </si>
  <si>
    <t>Indication PSG</t>
  </si>
  <si>
    <t>Date PSG</t>
  </si>
  <si>
    <t>Dx après PSG</t>
  </si>
  <si>
    <t>TTT psy PSG</t>
  </si>
  <si>
    <t>Antidépresseurs pendant PSG</t>
  </si>
  <si>
    <t>Commentaire</t>
  </si>
  <si>
    <t>Thymie</t>
  </si>
  <si>
    <t>IRM</t>
  </si>
  <si>
    <t>DatScan</t>
  </si>
  <si>
    <t>Temps REM (min)</t>
  </si>
  <si>
    <t>Temps REM (s)</t>
  </si>
  <si>
    <t>Temps sommeil total (min)</t>
  </si>
  <si>
    <t>Proportion REM (%)</t>
  </si>
  <si>
    <t>Proportion N1 (%)</t>
  </si>
  <si>
    <t>Proportion N2 (%)</t>
  </si>
  <si>
    <t>Proportion N3 (%)</t>
  </si>
  <si>
    <t>Latence REM (min)</t>
  </si>
  <si>
    <t xml:space="preserve">Indice sévérité RBD </t>
  </si>
  <si>
    <t>Index efficacité N1</t>
  </si>
  <si>
    <t xml:space="preserve">Index microréveils </t>
  </si>
  <si>
    <t>Présence SAS</t>
  </si>
  <si>
    <t>IAH (/h)</t>
  </si>
  <si>
    <t>IAH REM (nb/h)</t>
  </si>
  <si>
    <t>IAH REM (s)</t>
  </si>
  <si>
    <t xml:space="preserve">Nombre d'épisodes RBD </t>
  </si>
  <si>
    <t>Durée RBD (min)</t>
  </si>
  <si>
    <t>TILE : LE</t>
  </si>
  <si>
    <t>TILE : SOREM</t>
  </si>
  <si>
    <t>HLA</t>
  </si>
  <si>
    <t>Hypocrétine (pg/ml)</t>
  </si>
  <si>
    <t>IB1</t>
  </si>
  <si>
    <t xml:space="preserve">Ibarki Mohamed </t>
  </si>
  <si>
    <t>extrait</t>
  </si>
  <si>
    <t>H</t>
  </si>
  <si>
    <t>syn_patients</t>
  </si>
  <si>
    <t>PARK</t>
  </si>
  <si>
    <t>Recherche de SAS chez un patient obèse avec Maladie de Parkinson</t>
  </si>
  <si>
    <t xml:space="preserve">SAOS léger sans ttt </t>
  </si>
  <si>
    <t>HA6</t>
  </si>
  <si>
    <t>Hachchadi Abdesslam</t>
  </si>
  <si>
    <t>Recherche de SAS chez un patient présentant une maladie de Parkinson.</t>
  </si>
  <si>
    <t>SAOS sévère sous PPC</t>
  </si>
  <si>
    <t>GF7</t>
  </si>
  <si>
    <t>Garoby Fernand</t>
  </si>
  <si>
    <t xml:space="preserve">extrait </t>
  </si>
  <si>
    <t>AMS-P</t>
  </si>
  <si>
    <t>recherche SAOS et argument pour TCSP chez patient présentant syndrome parkinsonien atypique</t>
  </si>
  <si>
    <t>discret hypo-signal T2 de la partie postéro-latérale du noyau lenticulaire avec un aspect d'IRM compatible avec une AMS de type P.</t>
  </si>
  <si>
    <t>SAS modéré</t>
  </si>
  <si>
    <t>GMT9</t>
  </si>
  <si>
    <t>Girault Marie-Thérèse</t>
  </si>
  <si>
    <t>F</t>
  </si>
  <si>
    <t xml:space="preserve">recherche SAS ou TCSP dans cadre bilan alphasynucléinopathie </t>
  </si>
  <si>
    <t>initialement pas de Dx posé d'AMS-P</t>
  </si>
  <si>
    <t xml:space="preserve"> atrophie cortico-sous-corticale diffuse peu spécifique. </t>
  </si>
  <si>
    <t>hypofixation biputaminale.</t>
  </si>
  <si>
    <t>absence</t>
  </si>
  <si>
    <t>DF13</t>
  </si>
  <si>
    <t>Domon Fabrice</t>
  </si>
  <si>
    <t>bilan de troubles du sommeil dans le cadre d'une AMS de type P</t>
  </si>
  <si>
    <t>MG16</t>
  </si>
  <si>
    <t>Marre Gilles</t>
  </si>
  <si>
    <t>entier</t>
  </si>
  <si>
    <t>PARK/EAI?</t>
  </si>
  <si>
    <t>SAOS léger sans ttt</t>
  </si>
  <si>
    <t>SA19</t>
  </si>
  <si>
    <t>Subra Alain</t>
  </si>
  <si>
    <t>recherche troubles du sommeil dans le cadre AMS type P</t>
  </si>
  <si>
    <t>RDJS20</t>
  </si>
  <si>
    <t>Robalhino De Jesus Serafim</t>
  </si>
  <si>
    <t>tcsp_patients</t>
  </si>
  <si>
    <t>AMS-P/TCSP?</t>
  </si>
  <si>
    <t>bilan de troubles du sommeil chez patient présentant AMS-P</t>
  </si>
  <si>
    <t>Venlafaxine</t>
  </si>
  <si>
    <t>MJJ22</t>
  </si>
  <si>
    <t xml:space="preserve">Martinez Jean Jacques </t>
  </si>
  <si>
    <t>TCSP</t>
  </si>
  <si>
    <t>suspicion de TCSP</t>
  </si>
  <si>
    <t>Sertraline, Bromazépam</t>
  </si>
  <si>
    <t>dysautonomie</t>
  </si>
  <si>
    <t>dénervation dopaminergique prédominant à gauche</t>
  </si>
  <si>
    <t>FI23</t>
  </si>
  <si>
    <t xml:space="preserve">Falguieres Isabelle </t>
  </si>
  <si>
    <t>Duloxétine, Rivotril, Tramadol</t>
  </si>
  <si>
    <t xml:space="preserve"> sd parkinsonien atypique + dysautonomie</t>
  </si>
  <si>
    <t>SAS mixte à prédominance centrale avec une respiration de Cheyne Stokes</t>
  </si>
  <si>
    <t>SA24</t>
  </si>
  <si>
    <t>Schwebel Antoine</t>
  </si>
  <si>
    <t>pas d'investigation</t>
  </si>
  <si>
    <t>FC25</t>
  </si>
  <si>
    <t>Fourestie Claude</t>
  </si>
  <si>
    <t>DCL/TCSP?</t>
  </si>
  <si>
    <t xml:space="preserve">recherche TCSP chez patient épileptique présentant troubles cognitifs </t>
  </si>
  <si>
    <t>Trileptal, Vimpat</t>
  </si>
  <si>
    <t>Epilepsie focale séquellaire d'un hématome frontal sur TVC en 2011</t>
  </si>
  <si>
    <t>saignement frontaux gauche en lien avec sa thrombose veineuse cérébrale retrouve juste une atrophie cortico-sous-corticale assez diffuse.</t>
  </si>
  <si>
    <t>MN26</t>
  </si>
  <si>
    <t>Maladi Nathan</t>
  </si>
  <si>
    <t>narco_patients</t>
  </si>
  <si>
    <t xml:space="preserve">narco </t>
  </si>
  <si>
    <t xml:space="preserve">Suspicion de narcolepsie </t>
  </si>
  <si>
    <t>+</t>
  </si>
  <si>
    <t>MA27</t>
  </si>
  <si>
    <t>Mane Alain</t>
  </si>
  <si>
    <t xml:space="preserve">entier </t>
  </si>
  <si>
    <t>recherche TCSP</t>
  </si>
  <si>
    <t xml:space="preserve">Sd dépressif sans ttt </t>
  </si>
  <si>
    <t>séquelle ischémique</t>
  </si>
  <si>
    <t>atteinte des voies dopaminergiques pré-synaptiques prédominant au niveau des putamens discrète asymétrique avec une hypofixation prédominant à droite.</t>
  </si>
  <si>
    <t xml:space="preserve">SAOS sous PPC </t>
  </si>
  <si>
    <t>CD28</t>
  </si>
  <si>
    <t xml:space="preserve">Calamatianos Denis </t>
  </si>
  <si>
    <t xml:space="preserve">suspicion de troubles du comportement en sommeil paradoxal </t>
  </si>
  <si>
    <t xml:space="preserve"> possible dysautonomie sympathique mais également en lien avec une possible hypovolémie, et une probable dysautonomie parasympathique débutante,</t>
  </si>
  <si>
    <t xml:space="preserve"> atrophie corticale globale marquée sur les lobes temporaux peut-être un peu plus à gauche,</t>
  </si>
  <si>
    <t xml:space="preserve"> hypofixation putaminale modérée</t>
  </si>
  <si>
    <t>MA38</t>
  </si>
  <si>
    <t xml:space="preserve">Martin Aurélie </t>
  </si>
  <si>
    <t>MHTK39</t>
  </si>
  <si>
    <t>Mze Hamadi Toure Khadija</t>
  </si>
  <si>
    <t xml:space="preserve">suspicion de narcolepsie </t>
  </si>
  <si>
    <t>normale</t>
  </si>
  <si>
    <t>LJ41</t>
  </si>
  <si>
    <t xml:space="preserve">Larroque Jodie </t>
  </si>
  <si>
    <t>narco</t>
  </si>
  <si>
    <t>réévaluation fragmentation nocturne chez patiente narcoleptique</t>
  </si>
  <si>
    <t>Ritaline</t>
  </si>
  <si>
    <t>2021 : PSG sous Ritaline</t>
  </si>
  <si>
    <t>SAOS sévère</t>
  </si>
  <si>
    <t>2.6 (2013)</t>
  </si>
  <si>
    <t>3 (2013)</t>
  </si>
  <si>
    <t>RJ42</t>
  </si>
  <si>
    <t>Rassineux Jules</t>
  </si>
  <si>
    <t>suspicion naroclepsie</t>
  </si>
  <si>
    <t>anxieux</t>
  </si>
  <si>
    <t>NAL43</t>
  </si>
  <si>
    <t>Ntsono Alimato Lyndsee</t>
  </si>
  <si>
    <t>suspicion de narcolepsie avec cataplexie</t>
  </si>
  <si>
    <t>0.20</t>
  </si>
  <si>
    <t>BDRE44</t>
  </si>
  <si>
    <t>Barros Da rocha  Elisabeth</t>
  </si>
  <si>
    <t xml:space="preserve">réévaluation d'une narcolepsie </t>
  </si>
  <si>
    <t>Concerta</t>
  </si>
  <si>
    <t>FP52</t>
  </si>
  <si>
    <t xml:space="preserve">Ferraguti  Philippe </t>
  </si>
  <si>
    <t>TCSP-EREMAD</t>
  </si>
  <si>
    <t>EREMAD</t>
  </si>
  <si>
    <t>sd dépressif sans ttt</t>
  </si>
  <si>
    <t xml:space="preserve">résiduel sous PPC </t>
  </si>
  <si>
    <t>CJP53</t>
  </si>
  <si>
    <t>Castres Jean-Pierre</t>
  </si>
  <si>
    <t xml:space="preserve"> hypofixation putaminale gauche.</t>
  </si>
  <si>
    <t>GG58</t>
  </si>
  <si>
    <t xml:space="preserve">Gresser Gérard </t>
  </si>
  <si>
    <t>suspicion TCSP chez patient suivi pour dysautonomie</t>
  </si>
  <si>
    <t>dysautonomie et sd dépressif ?</t>
  </si>
  <si>
    <t>sd dépressif sans ttt pendant PSG</t>
  </si>
  <si>
    <t xml:space="preserve">leucopathie vasculo-dégénérative Fazekas 3. Sans autre anomalie. </t>
  </si>
  <si>
    <t xml:space="preserve">atteinte des voies dopaminergiques présynaptiques putaminales </t>
  </si>
  <si>
    <t>BF59</t>
  </si>
  <si>
    <t xml:space="preserve">Berteau François </t>
  </si>
  <si>
    <t>AMS-C</t>
  </si>
  <si>
    <t>bilan de troubles du sommeil dans le cadre d'une AMS de type C</t>
  </si>
  <si>
    <t xml:space="preserve">absence </t>
  </si>
  <si>
    <t>BO60</t>
  </si>
  <si>
    <t>Boyer Olivier</t>
  </si>
  <si>
    <t>recherche de troubles du sommeil dans le cadre d'une AMP de type P</t>
  </si>
  <si>
    <t>LYRICA, MELATONINE 3mg</t>
  </si>
  <si>
    <t>CS68</t>
  </si>
  <si>
    <t xml:space="preserve">Curvale Sylvie </t>
  </si>
  <si>
    <t>GC76</t>
  </si>
  <si>
    <t>Gay Cecile</t>
  </si>
  <si>
    <t>recherche troubles sommeil associés à atrophie multisystématisée type C</t>
  </si>
  <si>
    <t>basse</t>
  </si>
  <si>
    <t xml:space="preserve">SAOS sévère </t>
  </si>
  <si>
    <t>GJ77</t>
  </si>
  <si>
    <t xml:space="preserve">Gayrard Jacqueline </t>
  </si>
  <si>
    <t xml:space="preserve">AMS-P </t>
  </si>
  <si>
    <t xml:space="preserve">bilan troubles du sommeil dans cadre AMS </t>
  </si>
  <si>
    <t>GE79</t>
  </si>
  <si>
    <t>Grauwin Eric</t>
  </si>
  <si>
    <t>Mélatonine</t>
  </si>
  <si>
    <t>IM83</t>
  </si>
  <si>
    <t>Icart Michel</t>
  </si>
  <si>
    <t>bilan de troubles du sommeil dans le cadre d'une possible AMS</t>
  </si>
  <si>
    <t>LCM89</t>
  </si>
  <si>
    <t>Lajus-cossou Marcel</t>
  </si>
  <si>
    <t>LY90</t>
  </si>
  <si>
    <t>Lesage Yvonnick</t>
  </si>
  <si>
    <t>SJC98</t>
  </si>
  <si>
    <t>Sarralie Jean Claude</t>
  </si>
  <si>
    <t>SAS sévère avec composante centrale et respiration de Cheyne-Stokes associée.</t>
  </si>
  <si>
    <t>SE99</t>
  </si>
  <si>
    <t>Scomparin Eliane</t>
  </si>
  <si>
    <t>Fluoxétine</t>
  </si>
  <si>
    <t xml:space="preserve">SAS modéré </t>
  </si>
  <si>
    <t>BC102</t>
  </si>
  <si>
    <t>Banquey Christian</t>
  </si>
  <si>
    <t>réévaluation SAS sous PPC</t>
  </si>
  <si>
    <t>RB103</t>
  </si>
  <si>
    <t>Reliat Benjamin</t>
  </si>
  <si>
    <t>recherche SAS chez patient suivi pour narcolepsie type 1</t>
  </si>
  <si>
    <t>Modiodal</t>
  </si>
  <si>
    <t>2m30</t>
  </si>
  <si>
    <t>GS105</t>
  </si>
  <si>
    <t>Gaillardou Serge</t>
  </si>
  <si>
    <t>normal</t>
  </si>
  <si>
    <t>GR108</t>
  </si>
  <si>
    <t xml:space="preserve">Gely Robert </t>
  </si>
  <si>
    <t>TCSP-EPILEPSIE</t>
  </si>
  <si>
    <t>recherche crise infraclinique et SAS chez patient présentant épilepsie partielle morphéique avec persistance troubles mnésiques</t>
  </si>
  <si>
    <t>Sertraline, Vimpat</t>
  </si>
  <si>
    <t xml:space="preserve">épilepsie focale morphéique (1er EEG en clinique retrouvant un ralentissement frontotemporal gauche), </t>
  </si>
  <si>
    <t>sd dépressif</t>
  </si>
  <si>
    <t>en attente</t>
  </si>
  <si>
    <t>MM109</t>
  </si>
  <si>
    <t>Mahfoufi Mehenna</t>
  </si>
  <si>
    <t>SAS léger-sous PPC</t>
  </si>
  <si>
    <t>DA110</t>
  </si>
  <si>
    <t>Darsel Alain</t>
  </si>
  <si>
    <t>Temesta si besoin</t>
  </si>
  <si>
    <t>non réalisé</t>
  </si>
  <si>
    <t>GX111</t>
  </si>
  <si>
    <t>Galeote Xavier</t>
  </si>
  <si>
    <t>dysautonomie vésicosphinctérienne et cardiovasculaire sévère</t>
  </si>
  <si>
    <t>DSJ112</t>
  </si>
  <si>
    <t>Dos santos José</t>
  </si>
  <si>
    <t xml:space="preserve">recherche de troubles du comportement en sommeil paradoxal devant une plainte cognitive </t>
  </si>
  <si>
    <t>ESCITALOPRAM, OXOMEMAZINE</t>
  </si>
  <si>
    <t>sd anxiodépressif</t>
  </si>
  <si>
    <t>SAOS léger-sous PPC</t>
  </si>
  <si>
    <t>KH113</t>
  </si>
  <si>
    <t>Khadhraoui Hatem</t>
  </si>
  <si>
    <t>autres_patients</t>
  </si>
  <si>
    <t>EAI</t>
  </si>
  <si>
    <t>Lamotrigine</t>
  </si>
  <si>
    <t>EAI à anticorps atypiques (immunofluorescence atypique sans anticorps retrouvé) avec épilepsie partielle secondaire depuis 2022</t>
  </si>
  <si>
    <t>Anomalie septo-apicale qui semble plutôt être d'origine artéfactuelle. On est par compte très circonspect pour le territoire latéral avec cette réversibilité qui intéresse tout le territoire et qui même d'intensité moyenne, plaide en faveur d'une atteinte de la circonflexe proximale.</t>
  </si>
  <si>
    <t>SAOS modéré</t>
  </si>
  <si>
    <t>BB114</t>
  </si>
  <si>
    <t>Baud Béatrice</t>
  </si>
  <si>
    <t xml:space="preserve">suspicion d'atrophie multisystématisée </t>
  </si>
  <si>
    <t>Atarax et Mélatonine</t>
  </si>
  <si>
    <t>SAOS sévère sans ttt</t>
  </si>
  <si>
    <t>BMF115</t>
  </si>
  <si>
    <t>Boillon Marie-Françoise</t>
  </si>
  <si>
    <t xml:space="preserve">réévalusation SAOS léger </t>
  </si>
  <si>
    <t>Seroplex</t>
  </si>
  <si>
    <t>VJM116</t>
  </si>
  <si>
    <t xml:space="preserve">Vernhes Jean Michel </t>
  </si>
  <si>
    <t>recherche SAOS</t>
  </si>
  <si>
    <t xml:space="preserve">SAOS léger </t>
  </si>
  <si>
    <t>KG117</t>
  </si>
  <si>
    <t>Kaba Gnama</t>
  </si>
  <si>
    <t>recherche SAOS dans contexte obésité et diabète type 2</t>
  </si>
  <si>
    <t xml:space="preserve">SAOS léger enfant </t>
  </si>
  <si>
    <t>MM118</t>
  </si>
  <si>
    <t>Marambat Marie</t>
  </si>
  <si>
    <t>Recherche TCSP</t>
  </si>
  <si>
    <t>DLL119</t>
  </si>
  <si>
    <t xml:space="preserve">De Lucchi Landry </t>
  </si>
  <si>
    <t>réévaluation SAOS avec OAM</t>
  </si>
  <si>
    <t>CB125</t>
  </si>
  <si>
    <t xml:space="preserve">Chenguit Boutaina </t>
  </si>
  <si>
    <t xml:space="preserve">bilan d'hypersomnie </t>
  </si>
  <si>
    <t>SAOS léger-sans ttt</t>
  </si>
  <si>
    <t>&lt;10</t>
  </si>
  <si>
    <t>LF126</t>
  </si>
  <si>
    <t>Lelarge François</t>
  </si>
  <si>
    <t xml:space="preserve">antalgie de pallier 3 (OXYCONTIN LP, OXYNORMORO), GABAPENTINE, TRANXENE, ATARAX,  MELATONINE 1 mg </t>
  </si>
  <si>
    <t>SAS sévère à prédominance centrale</t>
  </si>
  <si>
    <t>TJ127</t>
  </si>
  <si>
    <t>Tourriol Jean</t>
  </si>
  <si>
    <t>EAI anti-LGI1</t>
  </si>
  <si>
    <t>EAI à Ac anti-LGl1</t>
  </si>
  <si>
    <t>Keppra et Depakine</t>
  </si>
  <si>
    <t>atrophie hippocampique et temporo-polaire bilatérale.</t>
  </si>
  <si>
    <t>SAOS sévère indication ttt</t>
  </si>
  <si>
    <t>MS128</t>
  </si>
  <si>
    <t>Modolo Suzanne</t>
  </si>
  <si>
    <t>PAF</t>
  </si>
  <si>
    <t xml:space="preserve">recherche de TCSP chez patiente avec pure autonomic failure </t>
  </si>
  <si>
    <t xml:space="preserve">pure Autonomic failure </t>
  </si>
  <si>
    <t>AE129</t>
  </si>
  <si>
    <t xml:space="preserve">Abranyan Edith </t>
  </si>
  <si>
    <t>EF130</t>
  </si>
  <si>
    <t>Esteves Fernand</t>
  </si>
  <si>
    <t>somnolence résiduelle sous PPC</t>
  </si>
  <si>
    <t>Escitalopram</t>
  </si>
  <si>
    <t>absence SAOS sous PPC</t>
  </si>
  <si>
    <t>CS131</t>
  </si>
  <si>
    <t>Chereau Simon</t>
  </si>
  <si>
    <t xml:space="preserve"> TCSP pointes-ondes </t>
  </si>
  <si>
    <t xml:space="preserve">recherche SAOS devant ronflements, nycturie et plainte de somnolence diurne </t>
  </si>
  <si>
    <t>Sertraline</t>
  </si>
  <si>
    <t>EDC</t>
  </si>
  <si>
    <t xml:space="preserve">SAOS modéré </t>
  </si>
  <si>
    <t>MRM132</t>
  </si>
  <si>
    <t xml:space="preserve">Molina Rose-Marie </t>
  </si>
  <si>
    <t>TCSP- SAS appareillé depuis 2018</t>
  </si>
  <si>
    <t>suspicion TCSP chez patiente sans antécédent neurologique + appareillée par PPC pour SAOS sévère</t>
  </si>
  <si>
    <t>sans particularité</t>
  </si>
  <si>
    <t xml:space="preserve"> dénervation dopaminergique modérée présynaptique putaminale à gauche</t>
  </si>
  <si>
    <t>PF133</t>
  </si>
  <si>
    <t>Prouha Frédéric</t>
  </si>
  <si>
    <t>DONORMYL</t>
  </si>
  <si>
    <t>plainte attentionnelle</t>
  </si>
  <si>
    <t>tb thymique / insomnie sous DONORMYL</t>
  </si>
  <si>
    <t>sans particularité hormis kyste arachnoïdien</t>
  </si>
  <si>
    <t>SD134</t>
  </si>
  <si>
    <t xml:space="preserve">Segond Denis </t>
  </si>
  <si>
    <t>TCSP-épilepsie</t>
  </si>
  <si>
    <t>LAMICTAL (épi)</t>
  </si>
  <si>
    <t>plainte cognitive</t>
  </si>
  <si>
    <t>ML135</t>
  </si>
  <si>
    <t xml:space="preserve">Mougica Laurent </t>
  </si>
  <si>
    <t xml:space="preserve">DCL </t>
  </si>
  <si>
    <t>réévaluation SAS appareillé par PPC chez patient suivi pour Maladie à Corps de Lewy</t>
  </si>
  <si>
    <t>basse pas de Dx d'EDC</t>
  </si>
  <si>
    <t>altéré</t>
  </si>
  <si>
    <t>SAOS modéré sous ttt</t>
  </si>
  <si>
    <t>DI136</t>
  </si>
  <si>
    <t xml:space="preserve">Dijols Isabelle </t>
  </si>
  <si>
    <t>entier (sauf vidéos)</t>
  </si>
  <si>
    <t xml:space="preserve">contrôle d'un SAS dans les suites d'une chirurgie avancée mandibulaire </t>
  </si>
  <si>
    <t>DJ137</t>
  </si>
  <si>
    <t xml:space="preserve">Delamare Julie  </t>
  </si>
  <si>
    <t>hypersomnie (initialement Dx de HSI puis possible d'origine psychiatrique)</t>
  </si>
  <si>
    <t>tb anxiodépressif</t>
  </si>
  <si>
    <t>BJ138</t>
  </si>
  <si>
    <t xml:space="preserve">Bascoul Joel </t>
  </si>
  <si>
    <t xml:space="preserve">recherche de troubles du sommeil (stridor, TCSP) chez un patient avec une ataxie cérébelleuse et une épilepsie séquellaire d'un traumatisme crânien ancien </t>
  </si>
  <si>
    <t>ataxie cérébelleuse et une épilepsie séquellaire d’un traumatisme crânien ancien : DCL ?? Pas de Dx posé</t>
  </si>
  <si>
    <t xml:space="preserve"> Multiples séquelles post-traumatiques. Pas d'argument formel pour une AMS de type C.</t>
  </si>
  <si>
    <t>SAS sévère</t>
  </si>
  <si>
    <t>PA139</t>
  </si>
  <si>
    <t>Pensato Antonio</t>
  </si>
  <si>
    <t>bilan du sommeil chez patient suivi pour AMS type C</t>
  </si>
  <si>
    <t>Venlafaxine 75mg et Melatonine</t>
  </si>
  <si>
    <t>PJC140</t>
  </si>
  <si>
    <t>Portais Jean Charles</t>
  </si>
  <si>
    <t xml:space="preserve">recherche SAOS </t>
  </si>
  <si>
    <t>SAOS modéré sans ttt</t>
  </si>
  <si>
    <t>JP141</t>
  </si>
  <si>
    <t>Julliat Pascal</t>
  </si>
  <si>
    <t>recherche de SAS et TCSP dans contexte SDE d'agitation nocturne</t>
  </si>
  <si>
    <t xml:space="preserve">SAS léger </t>
  </si>
  <si>
    <t>TM142</t>
  </si>
  <si>
    <t>Tillard Michel</t>
  </si>
  <si>
    <t>TCSP/DCL?</t>
  </si>
  <si>
    <t>recherche de TCSP chez patient suivi pour dysautonomie</t>
  </si>
  <si>
    <t xml:space="preserve"> microbleed isolé de la substance blanche périventriculaire en frontal gauche. Quelques hypersignaux FLAIR / T2 de la substance blanche profonde, restant peu nombreux et aspécifiques.</t>
  </si>
  <si>
    <t>MN143</t>
  </si>
  <si>
    <t>Maton Nicolas</t>
  </si>
  <si>
    <t>recherche SAOS et TCSP</t>
  </si>
  <si>
    <t>Syndrome de Moya-Moya</t>
  </si>
  <si>
    <t>FP144</t>
  </si>
  <si>
    <t xml:space="preserve">Fourquet Philippe </t>
  </si>
  <si>
    <t>plainte attentionnelle et cognitive</t>
  </si>
  <si>
    <t>SAOS léger sous PPC</t>
  </si>
  <si>
    <t>TO145</t>
  </si>
  <si>
    <t xml:space="preserve">Tarbouriech Olivier </t>
  </si>
  <si>
    <t>diazépam 5 mg, Escitalopram 20 mg et Lormétazépam.</t>
  </si>
  <si>
    <t>Phobie sociale / EDC</t>
  </si>
  <si>
    <t>RH146</t>
  </si>
  <si>
    <t xml:space="preserve">Reliquet Hervé </t>
  </si>
  <si>
    <t xml:space="preserve">évaluation agitation nocturne </t>
  </si>
  <si>
    <t>Laroxyl</t>
  </si>
  <si>
    <t xml:space="preserve">basse </t>
  </si>
  <si>
    <t xml:space="preserve"> fonction dopaminergique présynaptique putaminale droite s'inscrivant dans les limites inférieures de la normale.</t>
  </si>
  <si>
    <t xml:space="preserve">SAOS léger sans ttt  </t>
  </si>
  <si>
    <t>CS147</t>
  </si>
  <si>
    <t>Coudin Sabanina</t>
  </si>
  <si>
    <t xml:space="preserve">recherche SAOS dans contexte obésité chez patiente suivie pour narcolepsie </t>
  </si>
  <si>
    <t>RJP148</t>
  </si>
  <si>
    <t>Rives jean-philippe</t>
  </si>
  <si>
    <t>MPI/DCL?</t>
  </si>
  <si>
    <t xml:space="preserve">recherche TCSP et SAS chez patient suivi pour maladie Parkinson associée à dysautonomie et hallucinations </t>
  </si>
  <si>
    <t>Temesta-Mélatonine</t>
  </si>
  <si>
    <t xml:space="preserve">SAHOS sévère </t>
  </si>
  <si>
    <t>VJ149</t>
  </si>
  <si>
    <t>Vinsonneau Josianne</t>
  </si>
  <si>
    <t>Bilan de parasomnie d'intensité croissante depuis plusieurs années chez une patiente traitée par Sertraline 50 mg pour un épisode dépressif caractérisé.</t>
  </si>
  <si>
    <t>Atteinte des voies dopaminergiques présynaptiques prédominant au niveau des putamens et à droite.</t>
  </si>
  <si>
    <t>MP150</t>
  </si>
  <si>
    <t xml:space="preserve">Madera Pierre </t>
  </si>
  <si>
    <t>épisodes d'agitation nocturne depuis 2016 chez patient connu pour SAOS moyen appareillé par PPC</t>
  </si>
  <si>
    <t>CLONAZEPAM et VENLAFAXINE</t>
  </si>
  <si>
    <t>SAHOS léger sans ttt</t>
  </si>
  <si>
    <t>TM151</t>
  </si>
  <si>
    <t xml:space="preserve">Taudou Michel </t>
  </si>
  <si>
    <t>MPI/PARK?</t>
  </si>
  <si>
    <t>recherche SAS chez patient suivi pour maladie Parkinson et présentant somnolence diurne, ronchopathie et pauses respiratoires</t>
  </si>
  <si>
    <t>Sertraline et mélatonine</t>
  </si>
  <si>
    <t>SAHOS modéré</t>
  </si>
  <si>
    <t>BA152</t>
  </si>
  <si>
    <t>Barrau Anne</t>
  </si>
  <si>
    <t xml:space="preserve">dépistage de TCSP / stridor chez une patiente suivie pour une AMS de type parkinsonien sévère </t>
  </si>
  <si>
    <t>PJL153</t>
  </si>
  <si>
    <t>Pintar Jean-Louis</t>
  </si>
  <si>
    <t>Agitation nocturne</t>
  </si>
  <si>
    <t>MC154</t>
  </si>
  <si>
    <t>Moreno charles</t>
  </si>
  <si>
    <t>recherche de parasomnie chez patient traité par PPC pour SAHOS sévère</t>
  </si>
  <si>
    <t>SAOS bien corrigé sous PPC</t>
  </si>
  <si>
    <t>CP155</t>
  </si>
  <si>
    <t xml:space="preserve">Clastres pierre </t>
  </si>
  <si>
    <t>Recherche de SAS et parasomnie chez un patient présentant une somnolence diurne excessive associée à des agitations nocturnes.</t>
  </si>
  <si>
    <t>RG156</t>
  </si>
  <si>
    <t xml:space="preserve">Rozes Guy </t>
  </si>
  <si>
    <t xml:space="preserve">exploration de parasomnie chez patient suivi pour AMS type P + présentant BPCO </t>
  </si>
  <si>
    <t xml:space="preserve"> BPCO </t>
  </si>
  <si>
    <t>NGA157</t>
  </si>
  <si>
    <t>Ngoume Ngangue Georges Alain</t>
  </si>
  <si>
    <t>somniloquie, ronflements et nycturie chez patient en cours bilan pour dysautonomie sévère avec suspicion AMS</t>
  </si>
  <si>
    <t>atrophie cérébelleuse et du tronc cérébral en IRMc</t>
  </si>
  <si>
    <t>dénervation dopaminergique</t>
  </si>
  <si>
    <t>RD158</t>
  </si>
  <si>
    <t>Rousse David</t>
  </si>
  <si>
    <t>TCSP/AMS?</t>
  </si>
  <si>
    <t xml:space="preserve">Recherche de stridor devant dysphonie laryngée avec bruit inspiratoire nocturne évocateur de stridor chez un patient présentant une ataxie des membres supérieurs, avec antécédent de paraplégie de niveau T5-T6 dans les suites d'un AVP à l'âge de 16 ans. </t>
  </si>
  <si>
    <t>atrophie cérébellesue</t>
  </si>
  <si>
    <t>CJL159</t>
  </si>
  <si>
    <t>Castaing Jean Louis</t>
  </si>
  <si>
    <t>EAI anti-CASPR2</t>
  </si>
  <si>
    <t>MFJ160</t>
  </si>
  <si>
    <t>Maltez Fernandez Joao</t>
  </si>
  <si>
    <t>EAI anti-IGLON5</t>
  </si>
  <si>
    <t xml:space="preserve">polysomnographie systématique dans le cadre encéphalite auto-immune </t>
  </si>
  <si>
    <t>OXAZEPAM et MIRTAZAPINE.</t>
  </si>
  <si>
    <t>CM161</t>
  </si>
  <si>
    <t xml:space="preserve">Cassaro Michele </t>
  </si>
  <si>
    <t>troubles mnésiques sur la mémoire autobiographique avec oublis d'évènements de vie vécus</t>
  </si>
  <si>
    <t xml:space="preserve"> Sous Escitalopram et Xanax</t>
  </si>
  <si>
    <t>LS162</t>
  </si>
  <si>
    <t>Lejeune Sylvianne</t>
  </si>
  <si>
    <t xml:space="preserve">comportements moteurs nocturnes depuis l'adolescence avec sommeil agité, cris, mouvements brusques chez patiente suivie pour SAOS modéré traité par OAM </t>
  </si>
  <si>
    <t>LYSANXIA 15 mg 2 gouttes en si besoin, ESCITALOPRAM 15 mg 2 comprimés le matin,</t>
  </si>
  <si>
    <t xml:space="preserve">mauvaise tolérance PPC donc traitement par OAM </t>
  </si>
  <si>
    <t>anxiodépressif</t>
  </si>
  <si>
    <t>atrophie hippocampique scheltens 1 bilatérale</t>
  </si>
  <si>
    <t>SAHOS léger</t>
  </si>
  <si>
    <t>GH163</t>
  </si>
  <si>
    <t>Got Henri</t>
  </si>
  <si>
    <t xml:space="preserve">recherche TCSP et SAS chez patient suivi pour AMS type P </t>
  </si>
  <si>
    <t>ESCITALOPRAM</t>
  </si>
  <si>
    <t>CD164</t>
  </si>
  <si>
    <t xml:space="preserve">Charrieas Denise </t>
  </si>
  <si>
    <t xml:space="preserve">malaises dans contexte d'athérome carotidien avec retentissement estimé à 30% au niveau carotide interne gauche, anévrisme artère communicante antérieure non rompu, hypothyroïdie et HTA </t>
  </si>
  <si>
    <t>CB165</t>
  </si>
  <si>
    <t xml:space="preserve">Cloarec Benjamin </t>
  </si>
  <si>
    <t>surveillance dans le cadre d'une épilepsie focale dans un contexte de maladie de Sturge-Weber-Krabbe</t>
  </si>
  <si>
    <t xml:space="preserve"> épilepsie focale dans un contexte de maladie de Sturge-Weber-Krabbe</t>
  </si>
  <si>
    <t>absence de SAOS</t>
  </si>
  <si>
    <t>AN166</t>
  </si>
  <si>
    <t>Amiguet Nathalie</t>
  </si>
  <si>
    <t>TCSP/SEP?</t>
  </si>
  <si>
    <t xml:space="preserve">exploration somnolence diurne excessive chez patiente suivie pour SEP RR de forme possiblement transitionnelle </t>
  </si>
  <si>
    <t xml:space="preserve">VENLAFAXINE, OXYCONTIN LP 80 mg 2 x par jour, OXYNORM 20 mg 4 gélules/jour et LYRICA 200 mg 2 x par jour. </t>
  </si>
  <si>
    <t xml:space="preserve"> SEP RR de forme possiblement transitionnelle / Douleurs chroniques</t>
  </si>
  <si>
    <t>HG167</t>
  </si>
  <si>
    <t>Havre Gaelle</t>
  </si>
  <si>
    <t>recherche de SAS chez patiente suivie pour narcolepsie type 1 avec possible TCSP</t>
  </si>
  <si>
    <t>SAOS léger</t>
  </si>
  <si>
    <t>6m42</t>
  </si>
  <si>
    <t>TLM168</t>
  </si>
  <si>
    <t>Tournier Luis Miguel</t>
  </si>
  <si>
    <t xml:space="preserve">suspicion de narcolepsie chez patient de 14 ans présentant somnolence diurne excessive </t>
  </si>
  <si>
    <t xml:space="preserve">SAHOS léger </t>
  </si>
  <si>
    <t>6m25</t>
  </si>
  <si>
    <t>positif</t>
  </si>
  <si>
    <t>CA169</t>
  </si>
  <si>
    <t>Calmes Anne</t>
  </si>
  <si>
    <t xml:space="preserve">mouvements nocturnes qualifiés de "tremblements" lors des éveils </t>
  </si>
  <si>
    <t>Mirtazapine et Seresta</t>
  </si>
  <si>
    <t>syndrome anxiodépressif</t>
  </si>
  <si>
    <t xml:space="preserve">SAOS obstructif léger devenant modéré en sommeil paradoxal </t>
  </si>
  <si>
    <t>GD170</t>
  </si>
  <si>
    <t>Gaffard Didier</t>
  </si>
  <si>
    <t>Recherche de trouble du comportement en sommeil paradoxal chez un patient présentant des troubles cognitifs.</t>
  </si>
  <si>
    <t>plainte cognitive et sd extrapyramidal</t>
  </si>
  <si>
    <t xml:space="preserve">altération dopaminergique bilatérale présynaptique. </t>
  </si>
  <si>
    <t>BA171</t>
  </si>
  <si>
    <t>Boue Alain</t>
  </si>
  <si>
    <t>recherche de TCSP chez patient suivi pour maladie de Parkinson idiopathique</t>
  </si>
  <si>
    <t>SJP172</t>
  </si>
  <si>
    <t>Sanchez Jean Pierre</t>
  </si>
  <si>
    <t>recherche TCSP dans contexte synucléopathie chez patient sous PPC pour SAHOS</t>
  </si>
  <si>
    <t>rivotril, sertraline</t>
  </si>
  <si>
    <t>sd parkinsonien atypique, en faveur tout de même d'une MPI</t>
  </si>
  <si>
    <t>discrète atrophie putaminale droite avec un hyposignal SWI de la partie postérieure, une atrophie cortico-sous-corticale fronto-pariétale à gradient antéropostérieur. Il existe également quelques microbleeds (un thalamique gauche et deux temporal gauche) ainsi que des hypersignaux flair de la substance blanche périventriculaire et profonde, d'allure vasculodégénérative.</t>
  </si>
  <si>
    <t xml:space="preserve"> une atteinte des voies dopaminergiques présynaptiques prédominant au niveau du putamen droit.</t>
  </si>
  <si>
    <t>SAHOS résiduel sous PPC</t>
  </si>
  <si>
    <t>JB173</t>
  </si>
  <si>
    <t>Jean Bernard</t>
  </si>
  <si>
    <t>réévaluation d’une encéphalite auto-immune à anticorps antiLGI1 considérée en rémission et d’un syndrome d’apnées hypopnées du sommeil obstructif appareillé par PPC. Traitement médicamenteux par VIMPAT 100 mg matin et soir, ESCITALOPRAM 10 mg le matin et SYMBICORT.</t>
  </si>
  <si>
    <t>VIMPAT 100 mg matin et soir, ESCITALOPRAM 10 mg le matin</t>
  </si>
  <si>
    <t>bon contrôle du SAOS</t>
  </si>
  <si>
    <t>DA174</t>
  </si>
  <si>
    <t>Dahhan Abdelrhani</t>
  </si>
  <si>
    <t>Recherche de SAS chez un patient avec TCSP sous clonazepam</t>
  </si>
  <si>
    <t>Clonazépam</t>
  </si>
  <si>
    <t>absence SAOS</t>
  </si>
  <si>
    <t>CC175</t>
  </si>
  <si>
    <t>Clos Christian</t>
  </si>
  <si>
    <t>Recherche de SAS chez un patient présentant une somnolence diurne excessive</t>
  </si>
  <si>
    <t>SB176</t>
  </si>
  <si>
    <t>Simonneau Brigitte</t>
  </si>
  <si>
    <t>Suspicion de troubles du comportement en sommeil paradoxal</t>
  </si>
  <si>
    <t>JLJ177</t>
  </si>
  <si>
    <t>Jean Louis Jacques</t>
  </si>
  <si>
    <t>Plainte de somnolence diurne – Nuit avec OAM</t>
  </si>
  <si>
    <t>SB178</t>
  </si>
  <si>
    <t xml:space="preserve">Sudre Benoit </t>
  </si>
  <si>
    <t>EAI anti-KLHL11</t>
  </si>
  <si>
    <t>Encéphalite auto-immune anticorps anti KLHL11. SAS habituellement traité par OAM</t>
  </si>
  <si>
    <t>ENDOXAN, VERATRAN (Clotiazépam), SERTRALINE, ANDROTARDYL, SERESTA, ZEBINIX.</t>
  </si>
  <si>
    <t>: atrophie majeure des hippocampes sensiblement identique à l'IRM initiale, disparition des hypersignaux FLAIR du pulvinar.</t>
  </si>
  <si>
    <t>IS179</t>
  </si>
  <si>
    <t xml:space="preserve">Irain Samia </t>
  </si>
  <si>
    <t>découverte de manifestations nocturnes au cours du sommeil paradoxal, au cours d’un bilan vidéo-EEG en mai 2023 pour des manifestations non épileptiques. Antécédent de syndrome dépressif. Traitement antidépresseur.</t>
  </si>
  <si>
    <t>Sertraline / mirtazapine</t>
  </si>
  <si>
    <t>SAOS débutant</t>
  </si>
  <si>
    <t>AD180</t>
  </si>
  <si>
    <t>Arnould Denis</t>
  </si>
  <si>
    <t>AMS-c</t>
  </si>
  <si>
    <t>possible atrophie multisystématisée de type C. Recherche de stridor, TCSP et SAS</t>
  </si>
  <si>
    <t>BF181</t>
  </si>
  <si>
    <t>Berteau François</t>
  </si>
  <si>
    <t>atrophie multi-systématisée, recherche de stridor. Examen comparatif par rapport à une polysomnographie de 2022 qui avait déjà enregistré TCSP,  dégradationde électrogenèse, allégement du somme et mouvements périodiques sévères des membres inférieurs</t>
  </si>
  <si>
    <t>Duloxétine</t>
  </si>
  <si>
    <t xml:space="preserve">difficilement chiffrables </t>
  </si>
  <si>
    <t>VA182</t>
  </si>
  <si>
    <t xml:space="preserve">Villa Armand </t>
  </si>
  <si>
    <t>MPI / épilepsie temporale</t>
  </si>
  <si>
    <t>LM183</t>
  </si>
  <si>
    <t>Lessi malika</t>
  </si>
  <si>
    <t>AMS-p</t>
  </si>
  <si>
    <t>bilan de troubles du sommeil dans le cadre d’une atrophie multisystématisée de type p. Patiente sous Paroxetine, Gurton, Modopar</t>
  </si>
  <si>
    <t>Paroxétine</t>
  </si>
  <si>
    <t xml:space="preserve">DBJ184 </t>
  </si>
  <si>
    <t xml:space="preserve">De Boysson Jean </t>
  </si>
  <si>
    <t>BP185</t>
  </si>
  <si>
    <t>Boy Patrick</t>
  </si>
  <si>
    <t>recherche SAHOS et de TCSP chez patient suivi pour maladie de Parkinson</t>
  </si>
  <si>
    <t>PB186</t>
  </si>
  <si>
    <t xml:space="preserve">Popov Bernadette </t>
  </si>
  <si>
    <t xml:space="preserve">recherche SAS chez patiente suivie pour maladie Parkinson idiopathique </t>
  </si>
  <si>
    <t xml:space="preserve">Mitrazapine </t>
  </si>
  <si>
    <t>MP187</t>
  </si>
  <si>
    <t>Moreteveille Pierre</t>
  </si>
  <si>
    <t xml:space="preserve">bilan de possibles TCSP chez patient avec troubles cognitifs </t>
  </si>
  <si>
    <t>DE188</t>
  </si>
  <si>
    <t>Dajean Emilie</t>
  </si>
  <si>
    <t xml:space="preserve">suspicion de narcolepsie avec cataplexie </t>
  </si>
  <si>
    <t>TG189</t>
  </si>
  <si>
    <t>Thomson Graham</t>
  </si>
  <si>
    <t>?</t>
  </si>
  <si>
    <t>BJM190</t>
  </si>
  <si>
    <t>Bernardara Jean-Marc</t>
  </si>
  <si>
    <t>GS191</t>
  </si>
  <si>
    <t xml:space="preserve">Gaillardou Serge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</si>
</sst>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b/>
      <sz val="11"/>
      <color rgb="FF000000"/>
      <name val="Calibri"/>
      <family val="2"/>
    </font>
    <font>
      <sz val="11"/>
      <color theme="1"/>
      <name val="Calibri"/>
      <family val="2"/>
    </font>
    <font>
      <sz val="11"/>
      <color rgb="FFff0000"/>
      <name val="Calibri"/>
      <family val="2"/>
    </font>
    <font>
      <sz val="11"/>
      <color theme="1"/>
      <name val="Calibri"/>
      <family val="2"/>
    </font>
    <font>
      <sz val="11"/>
      <color rgb="FF7030a0"/>
      <name val="Calibri"/>
      <family val="2"/>
    </font>
  </fonts>
  <fills count="7">
    <fill>
      <patternFill patternType="none"/>
    </fill>
    <fill>
      <patternFill patternType="gray125"/>
    </fill>
    <fill>
      <patternFill patternType="solid">
        <fgColor rgb="FFd0cece"/>
      </patternFill>
    </fill>
    <fill>
      <patternFill patternType="solid">
        <fgColor rgb="FFffd966"/>
      </patternFill>
    </fill>
    <fill>
      <patternFill patternType="solid">
        <fgColor rgb="FFffff00"/>
      </patternFill>
    </fill>
    <fill>
      <patternFill patternType="solid">
        <fgColor rgb="FFf8cbad"/>
      </patternFill>
    </fill>
    <fill>
      <patternFill patternType="solid">
        <fgColor rgb="FFdeebf7"/>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52">
    <xf xfId="0" numFmtId="0" borderId="0" fontId="0" fillId="0"/>
    <xf xfId="0" numFmtId="0" borderId="1" applyBorder="1" fontId="1" applyFont="1" fillId="2" applyFill="1" applyAlignment="1">
      <alignment horizontal="center"/>
    </xf>
    <xf xfId="0" numFmtId="14" applyNumberFormat="1" borderId="1" applyBorder="1" fontId="1" applyFont="1" fillId="2" applyFill="1" applyAlignment="1">
      <alignment horizontal="center"/>
    </xf>
    <xf xfId="0" numFmtId="3" applyNumberFormat="1" borderId="1" applyBorder="1" fontId="1" applyFont="1" fillId="2" applyFill="1" applyAlignment="1">
      <alignment horizontal="center"/>
    </xf>
    <xf xfId="0" numFmtId="4" applyNumberFormat="1" borderId="1" applyBorder="1" fontId="1" applyFont="1" fillId="2" applyFill="1" applyAlignment="1">
      <alignment horizontal="center"/>
    </xf>
    <xf xfId="0" numFmtId="3" applyNumberFormat="1" borderId="2" applyBorder="1" fontId="1" applyFont="1" fillId="0" applyAlignment="1">
      <alignment horizontal="center"/>
    </xf>
    <xf xfId="0" numFmtId="0" borderId="2" applyBorder="1" fontId="1" applyFont="1" fillId="0" applyAlignment="1">
      <alignment horizontal="center"/>
    </xf>
    <xf xfId="0" numFmtId="0" borderId="2" applyBorder="1" fontId="2" applyFont="1" fillId="0" applyAlignment="1">
      <alignment horizontal="center"/>
    </xf>
    <xf xfId="0" numFmtId="0" borderId="0" fontId="0" fillId="0" applyAlignment="1">
      <alignment horizontal="general"/>
    </xf>
    <xf xfId="0" numFmtId="14" applyNumberFormat="1" borderId="2" applyBorder="1" fontId="2" applyFont="1" fillId="0" applyAlignment="1">
      <alignment horizontal="center"/>
    </xf>
    <xf xfId="0" numFmtId="3" applyNumberFormat="1" borderId="2" applyBorder="1" fontId="2" applyFont="1" fillId="0" applyAlignment="1">
      <alignment horizontal="center"/>
    </xf>
    <xf xfId="0" numFmtId="3" applyNumberFormat="1" borderId="0" fontId="0" fillId="0" applyAlignment="1">
      <alignment horizontal="general"/>
    </xf>
    <xf xfId="0" numFmtId="3" applyNumberFormat="1" borderId="2" applyBorder="1" fontId="2" applyFont="1" fillId="0" applyAlignment="1">
      <alignment horizontal="left"/>
    </xf>
    <xf xfId="0" numFmtId="4" applyNumberFormat="1" borderId="2" applyBorder="1" fontId="2" applyFont="1" fillId="0" applyAlignment="1">
      <alignment horizontal="center"/>
    </xf>
    <xf xfId="0" numFmtId="0" borderId="2" applyBorder="1" fontId="2" applyFont="1" fillId="0" applyAlignment="1">
      <alignment horizontal="left"/>
    </xf>
    <xf xfId="0" numFmtId="0" borderId="1" applyBorder="1" fontId="2" applyFont="1" fillId="3" applyFill="1" applyAlignment="1">
      <alignment horizontal="center"/>
    </xf>
    <xf xfId="0" numFmtId="0" borderId="1" applyBorder="1" fontId="2" applyFont="1" fillId="4" applyFill="1" applyAlignment="1">
      <alignment horizontal="center"/>
    </xf>
    <xf xfId="0" numFmtId="0" borderId="1" applyBorder="1" fontId="3" applyFont="1" fillId="5" applyFill="1" applyAlignment="1">
      <alignment horizontal="center"/>
    </xf>
    <xf xfId="0" numFmtId="0" borderId="1" applyBorder="1" fontId="2" applyFont="1" fillId="5" applyFill="1" applyAlignment="1">
      <alignment horizontal="left"/>
    </xf>
    <xf xfId="0" numFmtId="0" borderId="1" applyBorder="1" fontId="2" applyFont="1" fillId="5" applyFill="1" applyAlignment="1">
      <alignment horizontal="center"/>
    </xf>
    <xf xfId="0" numFmtId="14" applyNumberFormat="1" borderId="1" applyBorder="1" fontId="2" applyFont="1" fillId="5" applyFill="1" applyAlignment="1">
      <alignment horizontal="center"/>
    </xf>
    <xf xfId="0" numFmtId="3" applyNumberFormat="1" borderId="1" applyBorder="1" fontId="2" applyFont="1" fillId="5" applyFill="1" applyAlignment="1">
      <alignment horizontal="center"/>
    </xf>
    <xf xfId="0" numFmtId="3" applyNumberFormat="1" borderId="1" applyBorder="1" fontId="2" applyFont="1" fillId="5" applyFill="1" applyAlignment="1">
      <alignment horizontal="left"/>
    </xf>
    <xf xfId="0" numFmtId="4" applyNumberFormat="1" borderId="1" applyBorder="1" fontId="2" applyFont="1" fillId="5" applyFill="1" applyAlignment="1">
      <alignment horizontal="center"/>
    </xf>
    <xf xfId="0" numFmtId="0" borderId="2" applyBorder="1" fontId="4" applyFont="1" fillId="0" applyAlignment="1">
      <alignment horizontal="left"/>
    </xf>
    <xf xfId="0" numFmtId="14" applyNumberFormat="1" borderId="0" fontId="0" fillId="0" applyAlignment="1">
      <alignment horizontal="general"/>
    </xf>
    <xf xfId="0" numFmtId="0" borderId="2" applyBorder="1" fontId="4" applyFont="1" fillId="0" applyAlignment="1">
      <alignment horizontal="center"/>
    </xf>
    <xf xfId="0" numFmtId="14" applyNumberFormat="1" borderId="2" applyBorder="1" fontId="4" applyFont="1" fillId="0" applyAlignment="1">
      <alignment horizontal="center"/>
    </xf>
    <xf xfId="0" numFmtId="0" borderId="2" applyBorder="1" fontId="2" applyFont="1" fillId="0" applyAlignment="1">
      <alignment horizontal="left" wrapText="1"/>
    </xf>
    <xf xfId="0" numFmtId="0" borderId="2" applyBorder="1" fontId="2" applyFont="1" fillId="0" applyAlignment="1">
      <alignment horizontal="center" wrapText="1"/>
    </xf>
    <xf xfId="0" numFmtId="0" borderId="1" applyBorder="1" fontId="4" applyFont="1" fillId="4" applyFill="1" applyAlignment="1">
      <alignment horizontal="center"/>
    </xf>
    <xf xfId="0" numFmtId="0" borderId="1" applyBorder="1" fontId="5" applyFont="1" fillId="6" applyFill="1" applyAlignment="1">
      <alignment horizontal="center"/>
    </xf>
    <xf xfId="0" numFmtId="0" borderId="1" applyBorder="1" fontId="4" applyFont="1" fillId="6" applyFill="1" applyAlignment="1">
      <alignment horizontal="left"/>
    </xf>
    <xf xfId="0" numFmtId="0" borderId="1" applyBorder="1" fontId="2" applyFont="1" fillId="6" applyFill="1" applyAlignment="1">
      <alignment horizontal="center"/>
    </xf>
    <xf xfId="0" numFmtId="14" applyNumberFormat="1" borderId="1" applyBorder="1" fontId="2" applyFont="1" fillId="6" applyFill="1" applyAlignment="1">
      <alignment horizontal="center"/>
    </xf>
    <xf xfId="0" numFmtId="3" applyNumberFormat="1" borderId="1" applyBorder="1" fontId="2" applyFont="1" fillId="6" applyFill="1" applyAlignment="1">
      <alignment horizontal="center"/>
    </xf>
    <xf xfId="0" numFmtId="0" borderId="1" applyBorder="1" fontId="2" applyFont="1" fillId="6" applyFill="1" applyAlignment="1">
      <alignment horizontal="left"/>
    </xf>
    <xf xfId="0" numFmtId="3" applyNumberFormat="1" borderId="1" applyBorder="1" fontId="2" applyFont="1" fillId="6" applyFill="1" applyAlignment="1">
      <alignment horizontal="left"/>
    </xf>
    <xf xfId="0" numFmtId="4" applyNumberFormat="1" borderId="1" applyBorder="1" fontId="2" applyFont="1" fillId="6" applyFill="1" applyAlignment="1">
      <alignment horizontal="center"/>
    </xf>
    <xf xfId="0" numFmtId="4" applyNumberFormat="1" borderId="1" applyBorder="1" fontId="2" applyFont="1" fillId="6" applyFill="1" applyAlignment="1">
      <alignment horizontal="right"/>
    </xf>
    <xf xfId="0" numFmtId="4" applyNumberFormat="1" borderId="0" fontId="0" fillId="0" applyAlignment="1">
      <alignment horizontal="general"/>
    </xf>
    <xf xfId="0" numFmtId="3" applyNumberFormat="1" borderId="1" applyBorder="1" fontId="3" applyFont="1" fillId="4" applyFill="1" applyAlignment="1">
      <alignment horizontal="center"/>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3" applyNumberFormat="1" borderId="1" applyBorder="1" fontId="2" applyFont="1" fillId="4" applyFill="1" applyAlignment="1">
      <alignment horizontal="center"/>
    </xf>
    <xf xfId="0" numFmtId="3" applyNumberFormat="1" borderId="2" applyBorder="1" fontId="2" applyFont="1" fillId="0" applyAlignment="1">
      <alignment horizontal="left" wrapText="1"/>
    </xf>
    <xf xfId="0" numFmtId="14" applyNumberFormat="1" borderId="2" applyBorder="1" fontId="2" applyFont="1" fillId="0" applyAlignment="1">
      <alignment horizontal="left"/>
    </xf>
    <xf xfId="0" numFmtId="0" borderId="0" fontId="0" fillId="0" applyAlignment="1">
      <alignment horizontal="center"/>
    </xf>
    <xf xfId="0" numFmtId="0" borderId="0" fontId="0" fillId="0" applyAlignment="1">
      <alignment horizontal="general"/>
    </xf>
    <xf xfId="0" numFmtId="14" applyNumberFormat="1" borderId="0" fontId="0" fillId="0" applyAlignment="1">
      <alignment horizontal="general"/>
    </xf>
    <xf xfId="0" numFmtId="3" applyNumberFormat="1" borderId="0" fontId="0" fillId="0" applyAlignment="1">
      <alignment horizontal="general"/>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M118"/>
  <sheetViews>
    <sheetView workbookViewId="0" tabSelected="1">
      <pane state="frozen" activePane="bottomLeft" topLeftCell="A2" ySplit="1" xSplit="0"/>
    </sheetView>
  </sheetViews>
  <sheetFormatPr defaultRowHeight="15" x14ac:dyDescent="0.25"/>
  <cols>
    <col min="1" max="1" style="47" width="11.43357142857143" customWidth="1" bestFit="1"/>
    <col min="2" max="2" style="48" width="30.005" customWidth="1" bestFit="1"/>
    <col min="3" max="3" style="48" width="30.005" customWidth="1" bestFit="1"/>
    <col min="4" max="4" style="47" width="13.005" customWidth="1" bestFit="1"/>
    <col min="5" max="5" style="49" width="13.005" customWidth="1" bestFit="1"/>
    <col min="6" max="6" style="50" width="13.005" customWidth="1" bestFit="1"/>
    <col min="7" max="7" style="48" width="18.576428571428572" customWidth="1" bestFit="1"/>
    <col min="8" max="8" style="48" width="30.433571428571426" customWidth="1" bestFit="1"/>
    <col min="9" max="9" style="48" width="14.43357142857143" customWidth="1" bestFit="1"/>
    <col min="10" max="10" style="48" width="232.71928571428572" customWidth="1" bestFit="1"/>
    <col min="11" max="11" style="49" width="14.43357142857143" customWidth="1" bestFit="1"/>
    <col min="12" max="12" style="48" width="12.43357142857143" customWidth="1" bestFit="1"/>
    <col min="13" max="13" style="50" width="100.43357142857143" customWidth="1" bestFit="1"/>
    <col min="14" max="14" style="50" width="27.719285714285714" customWidth="1" bestFit="1"/>
    <col min="15" max="15" style="48" width="127.14785714285713" customWidth="1" bestFit="1"/>
    <col min="16" max="16" style="50" width="37.71928571428572" customWidth="1" bestFit="1"/>
    <col min="17" max="17" style="48" width="255.71928571428572" customWidth="1" bestFit="1"/>
    <col min="18" max="18" style="50" width="144.14785714285713" customWidth="1" bestFit="1"/>
    <col min="19" max="19" style="50" width="16.576428571428572" customWidth="1" bestFit="1"/>
    <col min="20" max="20" style="50" width="16.576428571428572" customWidth="1" bestFit="1"/>
    <col min="21" max="21" style="51" width="25.14785714285714" customWidth="1" bestFit="1"/>
    <col min="22" max="22" style="51" width="17.719285714285714" customWidth="1" bestFit="1"/>
    <col min="23" max="23" style="51" width="16.290714285714284" customWidth="1" bestFit="1"/>
    <col min="24" max="24" style="51" width="16.290714285714284" customWidth="1" bestFit="1"/>
    <col min="25" max="25" style="51" width="16.290714285714284" customWidth="1" bestFit="1"/>
    <col min="26" max="26" style="51" width="17.576428571428572" customWidth="1" bestFit="1"/>
    <col min="27" max="27" style="51" width="18.005" customWidth="1" bestFit="1"/>
    <col min="28" max="28" style="51" width="17.719285714285714" customWidth="1" bestFit="1"/>
    <col min="29" max="29" style="51" width="20.719285714285714" customWidth="1" bestFit="1"/>
    <col min="30" max="30" style="48" width="66.86214285714286" customWidth="1" bestFit="1"/>
    <col min="31" max="31" style="51" width="13.005" customWidth="1" bestFit="1"/>
    <col min="32" max="32" style="50" width="14.290714285714287" customWidth="1" bestFit="1"/>
    <col min="33" max="33" style="50" width="11.576428571428572" customWidth="1" bestFit="1"/>
    <col min="34" max="34" style="50" width="21.719285714285714" customWidth="1" bestFit="1"/>
    <col min="35" max="35" style="50" width="21.719285714285714" customWidth="1" bestFit="1"/>
    <col min="36" max="36" style="50" width="16.290714285714284" customWidth="1" bestFit="1"/>
    <col min="37" max="37" style="50" width="15.005" customWidth="1" bestFit="1"/>
    <col min="38" max="38" style="48" width="13.005" customWidth="1" bestFit="1"/>
    <col min="39" max="39" style="50" width="18.290714285714284" customWidth="1" bestFit="1"/>
  </cols>
  <sheetData>
    <row x14ac:dyDescent="0.25" r="1" customHeight="1" ht="18">
      <c r="A1" s="1" t="s">
        <v>0</v>
      </c>
      <c r="B1" s="1" t="s">
        <v>1</v>
      </c>
      <c r="C1" s="1" t="s">
        <v>2</v>
      </c>
      <c r="D1" s="1" t="s">
        <v>3</v>
      </c>
      <c r="E1" s="2" t="s">
        <v>4</v>
      </c>
      <c r="F1" s="3" t="s">
        <v>5</v>
      </c>
      <c r="G1" s="1" t="s">
        <v>6</v>
      </c>
      <c r="H1" s="1" t="s">
        <v>7</v>
      </c>
      <c r="I1" s="1" t="s">
        <v>8</v>
      </c>
      <c r="J1" s="1" t="s">
        <v>9</v>
      </c>
      <c r="K1" s="2" t="s">
        <v>10</v>
      </c>
      <c r="L1" s="1" t="s">
        <v>11</v>
      </c>
      <c r="M1" s="3" t="s">
        <v>12</v>
      </c>
      <c r="N1" s="3" t="s">
        <v>13</v>
      </c>
      <c r="O1" s="1" t="s">
        <v>14</v>
      </c>
      <c r="P1" s="3" t="s">
        <v>15</v>
      </c>
      <c r="Q1" s="1" t="s">
        <v>16</v>
      </c>
      <c r="R1" s="3" t="s">
        <v>17</v>
      </c>
      <c r="S1" s="3" t="s">
        <v>18</v>
      </c>
      <c r="T1" s="3" t="s">
        <v>19</v>
      </c>
      <c r="U1" s="4" t="s">
        <v>20</v>
      </c>
      <c r="V1" s="4" t="s">
        <v>21</v>
      </c>
      <c r="W1" s="4" t="s">
        <v>22</v>
      </c>
      <c r="X1" s="4" t="s">
        <v>23</v>
      </c>
      <c r="Y1" s="4" t="s">
        <v>24</v>
      </c>
      <c r="Z1" s="4" t="s">
        <v>25</v>
      </c>
      <c r="AA1" s="4" t="s">
        <v>26</v>
      </c>
      <c r="AB1" s="4" t="s">
        <v>27</v>
      </c>
      <c r="AC1" s="4" t="s">
        <v>28</v>
      </c>
      <c r="AD1" s="1" t="s">
        <v>29</v>
      </c>
      <c r="AE1" s="4" t="s">
        <v>30</v>
      </c>
      <c r="AF1" s="3" t="s">
        <v>31</v>
      </c>
      <c r="AG1" s="3" t="s">
        <v>32</v>
      </c>
      <c r="AH1" s="3" t="s">
        <v>33</v>
      </c>
      <c r="AI1" s="3" t="s">
        <v>34</v>
      </c>
      <c r="AJ1" s="5" t="s">
        <v>35</v>
      </c>
      <c r="AK1" s="5" t="s">
        <v>36</v>
      </c>
      <c r="AL1" s="6" t="s">
        <v>37</v>
      </c>
      <c r="AM1" s="5" t="s">
        <v>38</v>
      </c>
    </row>
    <row x14ac:dyDescent="0.25" r="2" customHeight="1" ht="18">
      <c r="A2" s="7" t="s">
        <v>39</v>
      </c>
      <c r="B2" s="8" t="s">
        <v>40</v>
      </c>
      <c r="C2" s="8" t="s">
        <v>41</v>
      </c>
      <c r="D2" s="7" t="s">
        <v>42</v>
      </c>
      <c r="E2" s="9">
        <v>19725</v>
      </c>
      <c r="F2" s="10">
        <v>66</v>
      </c>
      <c r="G2" s="7" t="s">
        <v>43</v>
      </c>
      <c r="H2" s="7" t="s">
        <v>44</v>
      </c>
      <c r="I2" s="8"/>
      <c r="J2" s="8" t="s">
        <v>45</v>
      </c>
      <c r="K2" s="9">
        <v>44154</v>
      </c>
      <c r="L2" s="8"/>
      <c r="M2" s="11"/>
      <c r="N2" s="10">
        <v>0</v>
      </c>
      <c r="O2" s="8"/>
      <c r="P2" s="11"/>
      <c r="Q2" s="8"/>
      <c r="R2" s="12"/>
      <c r="S2" s="10">
        <v>21</v>
      </c>
      <c r="T2" s="10">
        <f>S2*60</f>
      </c>
      <c r="U2" s="10">
        <v>162</v>
      </c>
      <c r="V2" s="13">
        <v>12.92</v>
      </c>
      <c r="W2" s="13">
        <v>3.38</v>
      </c>
      <c r="X2" s="13">
        <v>63.07</v>
      </c>
      <c r="Y2" s="13">
        <v>20.61</v>
      </c>
      <c r="Z2" s="10">
        <v>135</v>
      </c>
      <c r="AA2" s="13">
        <f>AH2/S2</f>
      </c>
      <c r="AB2" s="13">
        <v>0.74</v>
      </c>
      <c r="AC2" s="13">
        <v>2.21</v>
      </c>
      <c r="AD2" s="7" t="s">
        <v>46</v>
      </c>
      <c r="AE2" s="13">
        <v>5.9</v>
      </c>
      <c r="AF2" s="13">
        <f>5.71+2.85</f>
      </c>
      <c r="AG2" s="10">
        <v>32</v>
      </c>
      <c r="AH2" s="10">
        <v>2</v>
      </c>
      <c r="AI2" s="10">
        <v>87</v>
      </c>
      <c r="AJ2" s="10"/>
      <c r="AK2" s="10"/>
      <c r="AL2" s="7"/>
      <c r="AM2" s="10"/>
    </row>
    <row x14ac:dyDescent="0.25" r="3" customHeight="1" ht="18">
      <c r="A3" s="7" t="s">
        <v>47</v>
      </c>
      <c r="B3" s="8" t="s">
        <v>48</v>
      </c>
      <c r="C3" s="8" t="s">
        <v>41</v>
      </c>
      <c r="D3" s="7" t="s">
        <v>42</v>
      </c>
      <c r="E3" s="9">
        <v>17899</v>
      </c>
      <c r="F3" s="10">
        <v>72</v>
      </c>
      <c r="G3" s="7" t="s">
        <v>43</v>
      </c>
      <c r="H3" s="7" t="s">
        <v>44</v>
      </c>
      <c r="I3" s="8"/>
      <c r="J3" s="8" t="s">
        <v>49</v>
      </c>
      <c r="K3" s="9">
        <v>44385</v>
      </c>
      <c r="L3" s="8"/>
      <c r="M3" s="11"/>
      <c r="N3" s="10">
        <v>0</v>
      </c>
      <c r="O3" s="8"/>
      <c r="P3" s="11"/>
      <c r="Q3" s="8"/>
      <c r="R3" s="12"/>
      <c r="S3" s="10">
        <v>74</v>
      </c>
      <c r="T3" s="10">
        <f>S3*60</f>
      </c>
      <c r="U3" s="10">
        <v>394</v>
      </c>
      <c r="V3" s="13">
        <v>18.88</v>
      </c>
      <c r="W3" s="13">
        <v>10.51</v>
      </c>
      <c r="X3" s="13">
        <v>59.69</v>
      </c>
      <c r="Y3" s="13">
        <v>10.89</v>
      </c>
      <c r="Z3" s="10">
        <v>148</v>
      </c>
      <c r="AA3" s="13">
        <f>AH3/S3</f>
      </c>
      <c r="AB3" s="13">
        <v>0.79</v>
      </c>
      <c r="AC3" s="13">
        <v>29.2</v>
      </c>
      <c r="AD3" s="7" t="s">
        <v>50</v>
      </c>
      <c r="AE3" s="13">
        <v>46.84</v>
      </c>
      <c r="AF3" s="13">
        <f>16.1+1.61+45.09</f>
      </c>
      <c r="AG3" s="10">
        <f>5*60+37+22+60+11</f>
      </c>
      <c r="AH3" s="10">
        <v>4</v>
      </c>
      <c r="AI3" s="10">
        <v>97</v>
      </c>
      <c r="AJ3" s="10"/>
      <c r="AK3" s="10"/>
      <c r="AL3" s="7"/>
      <c r="AM3" s="10"/>
    </row>
    <row x14ac:dyDescent="0.25" r="4" customHeight="1" ht="18">
      <c r="A4" s="7" t="s">
        <v>51</v>
      </c>
      <c r="B4" s="8" t="s">
        <v>52</v>
      </c>
      <c r="C4" s="8" t="s">
        <v>53</v>
      </c>
      <c r="D4" s="7" t="s">
        <v>42</v>
      </c>
      <c r="E4" s="9">
        <v>19305</v>
      </c>
      <c r="F4" s="10">
        <v>69</v>
      </c>
      <c r="G4" s="7" t="s">
        <v>43</v>
      </c>
      <c r="H4" s="7" t="s">
        <v>54</v>
      </c>
      <c r="I4" s="8"/>
      <c r="J4" s="8" t="s">
        <v>55</v>
      </c>
      <c r="K4" s="9">
        <v>44328</v>
      </c>
      <c r="L4" s="8"/>
      <c r="M4" s="11"/>
      <c r="N4" s="10">
        <v>0</v>
      </c>
      <c r="O4" s="8"/>
      <c r="P4" s="11"/>
      <c r="Q4" s="14" t="s">
        <v>56</v>
      </c>
      <c r="R4" s="12"/>
      <c r="S4" s="10">
        <v>56</v>
      </c>
      <c r="T4" s="10">
        <f>S4*60</f>
      </c>
      <c r="U4" s="10">
        <v>244</v>
      </c>
      <c r="V4" s="13">
        <v>22.99</v>
      </c>
      <c r="W4" s="13">
        <v>12.88</v>
      </c>
      <c r="X4" s="13">
        <v>26.78</v>
      </c>
      <c r="Y4" s="13">
        <v>37.42</v>
      </c>
      <c r="Z4" s="10">
        <v>302</v>
      </c>
      <c r="AA4" s="13">
        <f>AH4/S4</f>
      </c>
      <c r="AB4" s="13">
        <v>0.65</v>
      </c>
      <c r="AC4" s="13">
        <v>19.63</v>
      </c>
      <c r="AD4" s="7" t="s">
        <v>57</v>
      </c>
      <c r="AE4" s="13">
        <v>18.15</v>
      </c>
      <c r="AF4" s="13">
        <v>19.28</v>
      </c>
      <c r="AG4" s="10">
        <v>0</v>
      </c>
      <c r="AH4" s="10">
        <v>1</v>
      </c>
      <c r="AI4" s="10">
        <v>33</v>
      </c>
      <c r="AJ4" s="10"/>
      <c r="AK4" s="10"/>
      <c r="AL4" s="7"/>
      <c r="AM4" s="10"/>
    </row>
    <row x14ac:dyDescent="0.25" r="5" customHeight="1" ht="18">
      <c r="A5" s="7" t="s">
        <v>58</v>
      </c>
      <c r="B5" s="8" t="s">
        <v>59</v>
      </c>
      <c r="C5" s="8" t="s">
        <v>53</v>
      </c>
      <c r="D5" s="7" t="s">
        <v>60</v>
      </c>
      <c r="E5" s="9">
        <v>14858</v>
      </c>
      <c r="F5" s="10">
        <v>81</v>
      </c>
      <c r="G5" s="7" t="s">
        <v>43</v>
      </c>
      <c r="H5" s="7" t="s">
        <v>54</v>
      </c>
      <c r="I5" s="8"/>
      <c r="J5" s="8" t="s">
        <v>61</v>
      </c>
      <c r="K5" s="9">
        <v>44441</v>
      </c>
      <c r="L5" s="8"/>
      <c r="M5" s="11"/>
      <c r="N5" s="10">
        <v>0</v>
      </c>
      <c r="O5" s="14" t="s">
        <v>62</v>
      </c>
      <c r="P5" s="11"/>
      <c r="Q5" s="14" t="s">
        <v>63</v>
      </c>
      <c r="R5" s="12" t="s">
        <v>64</v>
      </c>
      <c r="S5" s="10">
        <v>40</v>
      </c>
      <c r="T5" s="10">
        <f>S5*60</f>
      </c>
      <c r="U5" s="10">
        <v>300</v>
      </c>
      <c r="V5" s="13">
        <v>13.5</v>
      </c>
      <c r="W5" s="13">
        <v>4.66</v>
      </c>
      <c r="X5" s="13">
        <v>41.5</v>
      </c>
      <c r="Y5" s="13">
        <v>40.33</v>
      </c>
      <c r="Z5" s="10">
        <v>146</v>
      </c>
      <c r="AA5" s="13">
        <f>AH5/S5</f>
      </c>
      <c r="AB5" s="13">
        <v>0.91</v>
      </c>
      <c r="AC5" s="13">
        <v>9.19</v>
      </c>
      <c r="AD5" s="7" t="s">
        <v>65</v>
      </c>
      <c r="AE5" s="13">
        <v>1.2</v>
      </c>
      <c r="AF5" s="13">
        <f>1.48+4.44</f>
      </c>
      <c r="AG5" s="10">
        <v>10</v>
      </c>
      <c r="AH5" s="10">
        <v>2</v>
      </c>
      <c r="AI5" s="10">
        <v>42</v>
      </c>
      <c r="AJ5" s="10"/>
      <c r="AK5" s="10"/>
      <c r="AL5" s="7"/>
      <c r="AM5" s="10"/>
    </row>
    <row x14ac:dyDescent="0.25" r="6" customHeight="1" ht="18">
      <c r="A6" s="7" t="s">
        <v>66</v>
      </c>
      <c r="B6" s="8" t="s">
        <v>67</v>
      </c>
      <c r="C6" s="8" t="s">
        <v>53</v>
      </c>
      <c r="D6" s="7" t="s">
        <v>42</v>
      </c>
      <c r="E6" s="9">
        <v>22802</v>
      </c>
      <c r="F6" s="10">
        <v>60</v>
      </c>
      <c r="G6" s="7" t="s">
        <v>43</v>
      </c>
      <c r="H6" s="7" t="s">
        <v>54</v>
      </c>
      <c r="I6" s="8"/>
      <c r="J6" s="8" t="s">
        <v>68</v>
      </c>
      <c r="K6" s="9">
        <v>44798</v>
      </c>
      <c r="L6" s="8"/>
      <c r="M6" s="11"/>
      <c r="N6" s="10">
        <v>0</v>
      </c>
      <c r="O6" s="8"/>
      <c r="P6" s="11"/>
      <c r="Q6" s="8"/>
      <c r="R6" s="12"/>
      <c r="S6" s="10">
        <v>47</v>
      </c>
      <c r="T6" s="10">
        <f>S6*60</f>
      </c>
      <c r="U6" s="10">
        <v>177</v>
      </c>
      <c r="V6" s="13">
        <v>26.55</v>
      </c>
      <c r="W6" s="13">
        <v>4.51</v>
      </c>
      <c r="X6" s="13">
        <v>29.37</v>
      </c>
      <c r="Y6" s="13">
        <v>39.54</v>
      </c>
      <c r="Z6" s="10">
        <v>119</v>
      </c>
      <c r="AA6" s="13">
        <f>AH6/S6</f>
      </c>
      <c r="AB6" s="13">
        <v>0.76</v>
      </c>
      <c r="AC6" s="13">
        <v>2.71</v>
      </c>
      <c r="AD6" s="7" t="s">
        <v>46</v>
      </c>
      <c r="AE6" s="13">
        <v>6.1</v>
      </c>
      <c r="AF6" s="13">
        <f>2.55+5.1</f>
      </c>
      <c r="AG6" s="10">
        <v>22</v>
      </c>
      <c r="AH6" s="10">
        <v>6</v>
      </c>
      <c r="AI6" s="10">
        <v>88</v>
      </c>
      <c r="AJ6" s="10"/>
      <c r="AK6" s="10"/>
      <c r="AL6" s="7"/>
      <c r="AM6" s="10"/>
    </row>
    <row x14ac:dyDescent="0.25" r="7" customHeight="1" ht="18">
      <c r="A7" s="7" t="s">
        <v>69</v>
      </c>
      <c r="B7" s="8" t="s">
        <v>70</v>
      </c>
      <c r="C7" s="8" t="s">
        <v>71</v>
      </c>
      <c r="D7" s="7" t="s">
        <v>42</v>
      </c>
      <c r="E7" s="9">
        <v>21262</v>
      </c>
      <c r="F7" s="10">
        <v>60</v>
      </c>
      <c r="G7" s="8"/>
      <c r="H7" s="15" t="s">
        <v>72</v>
      </c>
      <c r="I7" s="8"/>
      <c r="J7" s="8"/>
      <c r="K7" s="9">
        <v>44675</v>
      </c>
      <c r="L7" s="8"/>
      <c r="M7" s="11"/>
      <c r="N7" s="10"/>
      <c r="O7" s="8"/>
      <c r="P7" s="11"/>
      <c r="Q7" s="8"/>
      <c r="R7" s="12"/>
      <c r="S7" s="10">
        <v>56</v>
      </c>
      <c r="T7" s="10">
        <f>S7*60</f>
      </c>
      <c r="U7" s="10">
        <v>357</v>
      </c>
      <c r="V7" s="13">
        <v>15.82</v>
      </c>
      <c r="W7" s="13">
        <v>10.64</v>
      </c>
      <c r="X7" s="13">
        <v>62.04</v>
      </c>
      <c r="Y7" s="13">
        <v>11.48</v>
      </c>
      <c r="Z7" s="10">
        <v>92</v>
      </c>
      <c r="AA7" s="13">
        <f>AH7/S7</f>
      </c>
      <c r="AB7" s="13">
        <v>0.91</v>
      </c>
      <c r="AC7" s="13">
        <v>13.78</v>
      </c>
      <c r="AD7" s="7" t="s">
        <v>73</v>
      </c>
      <c r="AE7" s="13">
        <v>11.59</v>
      </c>
      <c r="AF7" s="13">
        <v>19.11</v>
      </c>
      <c r="AG7" s="10">
        <v>0</v>
      </c>
      <c r="AH7" s="10">
        <v>5</v>
      </c>
      <c r="AI7" s="10">
        <v>8</v>
      </c>
      <c r="AJ7" s="10"/>
      <c r="AK7" s="10"/>
      <c r="AL7" s="7"/>
      <c r="AM7" s="10"/>
    </row>
    <row x14ac:dyDescent="0.25" r="8" customHeight="1" ht="18">
      <c r="A8" s="7" t="s">
        <v>74</v>
      </c>
      <c r="B8" s="8" t="s">
        <v>75</v>
      </c>
      <c r="C8" s="8" t="s">
        <v>41</v>
      </c>
      <c r="D8" s="7" t="s">
        <v>42</v>
      </c>
      <c r="E8" s="9">
        <v>20412</v>
      </c>
      <c r="F8" s="10">
        <v>67</v>
      </c>
      <c r="G8" s="7" t="s">
        <v>43</v>
      </c>
      <c r="H8" s="7" t="s">
        <v>54</v>
      </c>
      <c r="I8" s="8"/>
      <c r="J8" s="8" t="s">
        <v>76</v>
      </c>
      <c r="K8" s="9">
        <v>44728</v>
      </c>
      <c r="L8" s="8"/>
      <c r="M8" s="11"/>
      <c r="N8" s="10">
        <v>0</v>
      </c>
      <c r="O8" s="8"/>
      <c r="P8" s="11"/>
      <c r="Q8" s="8"/>
      <c r="R8" s="12"/>
      <c r="S8" s="10">
        <v>87</v>
      </c>
      <c r="T8" s="10">
        <f>S8*60</f>
      </c>
      <c r="U8" s="10">
        <v>280</v>
      </c>
      <c r="V8" s="13">
        <v>31.25</v>
      </c>
      <c r="W8" s="13">
        <v>4.64</v>
      </c>
      <c r="X8" s="13">
        <v>25.35</v>
      </c>
      <c r="Y8" s="13">
        <v>38.75</v>
      </c>
      <c r="Z8" s="10">
        <v>67</v>
      </c>
      <c r="AA8" s="13">
        <f>AH8/S8</f>
      </c>
      <c r="AB8" s="13">
        <v>0.72</v>
      </c>
      <c r="AC8" s="13">
        <v>15.42</v>
      </c>
      <c r="AD8" s="7" t="s">
        <v>73</v>
      </c>
      <c r="AE8" s="13">
        <v>7.07</v>
      </c>
      <c r="AF8" s="13">
        <f>0.68+0.68+2.05+7.54</f>
      </c>
      <c r="AG8" s="10">
        <f>14+10+49</f>
      </c>
      <c r="AH8" s="10">
        <v>4</v>
      </c>
      <c r="AI8" s="10">
        <v>87</v>
      </c>
      <c r="AJ8" s="10"/>
      <c r="AK8" s="10"/>
      <c r="AL8" s="7"/>
      <c r="AM8" s="10"/>
    </row>
    <row x14ac:dyDescent="0.25" r="9" customHeight="1" ht="18">
      <c r="A9" s="7" t="s">
        <v>77</v>
      </c>
      <c r="B9" s="8" t="s">
        <v>78</v>
      </c>
      <c r="C9" s="8" t="s">
        <v>41</v>
      </c>
      <c r="D9" s="7" t="s">
        <v>42</v>
      </c>
      <c r="E9" s="9">
        <v>20425</v>
      </c>
      <c r="F9" s="10">
        <v>67</v>
      </c>
      <c r="G9" s="7" t="s">
        <v>79</v>
      </c>
      <c r="H9" s="15" t="s">
        <v>80</v>
      </c>
      <c r="I9" s="8"/>
      <c r="J9" s="8" t="s">
        <v>81</v>
      </c>
      <c r="K9" s="9">
        <v>44742</v>
      </c>
      <c r="L9" s="8"/>
      <c r="M9" s="12" t="s">
        <v>82</v>
      </c>
      <c r="N9" s="10">
        <v>1</v>
      </c>
      <c r="O9" s="8"/>
      <c r="P9" s="11"/>
      <c r="Q9" s="8"/>
      <c r="R9" s="12"/>
      <c r="S9" s="10">
        <v>52</v>
      </c>
      <c r="T9" s="10">
        <f>S9*60</f>
      </c>
      <c r="U9" s="10">
        <v>330</v>
      </c>
      <c r="V9" s="13">
        <v>15.88</v>
      </c>
      <c r="W9" s="13">
        <v>8.77</v>
      </c>
      <c r="X9" s="13">
        <v>34.34</v>
      </c>
      <c r="Y9" s="13">
        <v>40.99</v>
      </c>
      <c r="Z9" s="10">
        <v>80</v>
      </c>
      <c r="AA9" s="13">
        <f>AH9/S9</f>
      </c>
      <c r="AB9" s="13">
        <v>0.76</v>
      </c>
      <c r="AC9" s="13">
        <v>3.63</v>
      </c>
      <c r="AD9" s="7" t="s">
        <v>65</v>
      </c>
      <c r="AE9" s="13">
        <v>2.9</v>
      </c>
      <c r="AF9" s="13">
        <v>1.14</v>
      </c>
      <c r="AG9" s="10">
        <v>0</v>
      </c>
      <c r="AH9" s="10">
        <v>1</v>
      </c>
      <c r="AI9" s="10">
        <v>20</v>
      </c>
      <c r="AJ9" s="10"/>
      <c r="AK9" s="10"/>
      <c r="AL9" s="7"/>
      <c r="AM9" s="10"/>
    </row>
    <row x14ac:dyDescent="0.25" r="10" customHeight="1" ht="18">
      <c r="A10" s="7" t="s">
        <v>83</v>
      </c>
      <c r="B10" s="8" t="s">
        <v>84</v>
      </c>
      <c r="C10" s="8" t="s">
        <v>41</v>
      </c>
      <c r="D10" s="7" t="s">
        <v>42</v>
      </c>
      <c r="E10" s="9">
        <v>19830</v>
      </c>
      <c r="F10" s="10">
        <v>68</v>
      </c>
      <c r="G10" s="7" t="s">
        <v>79</v>
      </c>
      <c r="H10" s="7" t="s">
        <v>85</v>
      </c>
      <c r="I10" s="8"/>
      <c r="J10" s="8" t="s">
        <v>86</v>
      </c>
      <c r="K10" s="9">
        <v>44803</v>
      </c>
      <c r="L10" s="8"/>
      <c r="M10" s="12" t="s">
        <v>87</v>
      </c>
      <c r="N10" s="10">
        <v>1</v>
      </c>
      <c r="O10" s="14" t="s">
        <v>88</v>
      </c>
      <c r="P10" s="11"/>
      <c r="Q10" s="8"/>
      <c r="R10" s="12" t="s">
        <v>89</v>
      </c>
      <c r="S10" s="10">
        <v>63</v>
      </c>
      <c r="T10" s="10">
        <f>S10*60</f>
      </c>
      <c r="U10" s="10">
        <v>328</v>
      </c>
      <c r="V10" s="13">
        <v>19.17</v>
      </c>
      <c r="W10" s="13">
        <v>7.45</v>
      </c>
      <c r="X10" s="13">
        <v>54.64</v>
      </c>
      <c r="Y10" s="13">
        <v>18.72</v>
      </c>
      <c r="Z10" s="10">
        <v>168</v>
      </c>
      <c r="AA10" s="13">
        <f>AH10/S10</f>
      </c>
      <c r="AB10" s="13">
        <v>0.91</v>
      </c>
      <c r="AC10" s="13">
        <v>6.02</v>
      </c>
      <c r="AD10" s="7" t="s">
        <v>65</v>
      </c>
      <c r="AE10" s="13">
        <v>1.82</v>
      </c>
      <c r="AF10" s="13">
        <f>0.95+6.66</f>
      </c>
      <c r="AG10" s="10">
        <v>14</v>
      </c>
      <c r="AH10" s="10">
        <v>2</v>
      </c>
      <c r="AI10" s="10">
        <v>39</v>
      </c>
      <c r="AJ10" s="10"/>
      <c r="AK10" s="10"/>
      <c r="AL10" s="7"/>
      <c r="AM10" s="10"/>
    </row>
    <row x14ac:dyDescent="0.25" r="11" customHeight="1" ht="18">
      <c r="A11" s="7" t="s">
        <v>90</v>
      </c>
      <c r="B11" s="8" t="s">
        <v>91</v>
      </c>
      <c r="C11" s="8" t="s">
        <v>53</v>
      </c>
      <c r="D11" s="7" t="s">
        <v>60</v>
      </c>
      <c r="E11" s="9">
        <v>24135</v>
      </c>
      <c r="F11" s="10">
        <v>56</v>
      </c>
      <c r="G11" s="7" t="s">
        <v>79</v>
      </c>
      <c r="H11" s="15" t="s">
        <v>80</v>
      </c>
      <c r="I11" s="8"/>
      <c r="J11" s="8"/>
      <c r="K11" s="9">
        <v>44812</v>
      </c>
      <c r="L11" s="8"/>
      <c r="M11" s="12" t="s">
        <v>92</v>
      </c>
      <c r="N11" s="10">
        <v>1</v>
      </c>
      <c r="O11" s="14" t="s">
        <v>93</v>
      </c>
      <c r="P11" s="11"/>
      <c r="Q11" s="8"/>
      <c r="R11" s="12"/>
      <c r="S11" s="10">
        <v>47</v>
      </c>
      <c r="T11" s="10">
        <f>S11*60</f>
      </c>
      <c r="U11" s="10">
        <v>383</v>
      </c>
      <c r="V11" s="13">
        <v>12.38</v>
      </c>
      <c r="W11" s="13">
        <v>10.03</v>
      </c>
      <c r="X11" s="13">
        <v>29.46</v>
      </c>
      <c r="Y11" s="13">
        <v>48.1</v>
      </c>
      <c r="Z11" s="10">
        <v>301</v>
      </c>
      <c r="AA11" s="13">
        <f>AH11/S11</f>
      </c>
      <c r="AB11" s="13">
        <v>0.91</v>
      </c>
      <c r="AC11" s="13">
        <v>0.93</v>
      </c>
      <c r="AD11" s="7" t="s">
        <v>94</v>
      </c>
      <c r="AE11" s="13">
        <v>84.95</v>
      </c>
      <c r="AF11" s="13">
        <f>15.15+3.78+20.2</f>
      </c>
      <c r="AG11" s="10">
        <f>3*60+13+41</f>
      </c>
      <c r="AH11" s="10">
        <v>1</v>
      </c>
      <c r="AI11" s="10">
        <v>9</v>
      </c>
      <c r="AJ11" s="10"/>
      <c r="AK11" s="10"/>
      <c r="AL11" s="7"/>
      <c r="AM11" s="10"/>
    </row>
    <row x14ac:dyDescent="0.25" r="12" customHeight="1" ht="18">
      <c r="A12" s="7" t="s">
        <v>95</v>
      </c>
      <c r="B12" s="8" t="s">
        <v>96</v>
      </c>
      <c r="C12" s="8" t="s">
        <v>41</v>
      </c>
      <c r="D12" s="7" t="s">
        <v>42</v>
      </c>
      <c r="E12" s="9">
        <v>20957</v>
      </c>
      <c r="F12" s="10">
        <v>65</v>
      </c>
      <c r="G12" s="7" t="s">
        <v>79</v>
      </c>
      <c r="H12" s="7" t="s">
        <v>85</v>
      </c>
      <c r="I12" s="8"/>
      <c r="J12" s="8" t="s">
        <v>86</v>
      </c>
      <c r="K12" s="9">
        <v>44854</v>
      </c>
      <c r="L12" s="8"/>
      <c r="M12" s="11"/>
      <c r="N12" s="10">
        <v>0</v>
      </c>
      <c r="O12" s="14" t="s">
        <v>97</v>
      </c>
      <c r="P12" s="11"/>
      <c r="Q12" s="8"/>
      <c r="R12" s="12"/>
      <c r="S12" s="10">
        <v>63</v>
      </c>
      <c r="T12" s="10">
        <f>S12*60</f>
      </c>
      <c r="U12" s="10">
        <v>226</v>
      </c>
      <c r="V12" s="13">
        <v>28.09</v>
      </c>
      <c r="W12" s="13">
        <v>5.97</v>
      </c>
      <c r="X12" s="13">
        <v>47.56</v>
      </c>
      <c r="Y12" s="13">
        <v>18.36</v>
      </c>
      <c r="Z12" s="10">
        <v>81</v>
      </c>
      <c r="AA12" s="13">
        <f>AH12/S12</f>
      </c>
      <c r="AB12" s="13">
        <v>0.58</v>
      </c>
      <c r="AC12" s="13">
        <v>4.51</v>
      </c>
      <c r="AD12" s="7" t="s">
        <v>46</v>
      </c>
      <c r="AE12" s="13">
        <v>11.15</v>
      </c>
      <c r="AF12" s="13">
        <f>0.94+8.5</f>
      </c>
      <c r="AG12" s="10">
        <v>13</v>
      </c>
      <c r="AH12" s="10">
        <v>2</v>
      </c>
      <c r="AI12" s="10">
        <v>52</v>
      </c>
      <c r="AJ12" s="10"/>
      <c r="AK12" s="10"/>
      <c r="AL12" s="7"/>
      <c r="AM12" s="10"/>
    </row>
    <row x14ac:dyDescent="0.25" r="13" customHeight="1" ht="18">
      <c r="A13" s="7" t="s">
        <v>98</v>
      </c>
      <c r="B13" s="8" t="s">
        <v>99</v>
      </c>
      <c r="C13" s="8" t="s">
        <v>41</v>
      </c>
      <c r="D13" s="7" t="s">
        <v>42</v>
      </c>
      <c r="E13" s="9">
        <v>17193</v>
      </c>
      <c r="F13" s="10">
        <v>75</v>
      </c>
      <c r="G13" s="7" t="s">
        <v>79</v>
      </c>
      <c r="H13" s="15" t="s">
        <v>100</v>
      </c>
      <c r="I13" s="8"/>
      <c r="J13" s="8" t="s">
        <v>101</v>
      </c>
      <c r="K13" s="9">
        <v>44854</v>
      </c>
      <c r="L13" s="8"/>
      <c r="M13" s="12" t="s">
        <v>102</v>
      </c>
      <c r="N13" s="10">
        <v>0</v>
      </c>
      <c r="O13" s="14" t="s">
        <v>103</v>
      </c>
      <c r="P13" s="11"/>
      <c r="Q13" s="14" t="s">
        <v>104</v>
      </c>
      <c r="R13" s="12"/>
      <c r="S13" s="10">
        <v>47</v>
      </c>
      <c r="T13" s="10">
        <f>S13*60</f>
      </c>
      <c r="U13" s="10">
        <v>400</v>
      </c>
      <c r="V13" s="13">
        <v>11.73</v>
      </c>
      <c r="W13" s="13">
        <v>9.36</v>
      </c>
      <c r="X13" s="13">
        <v>63.67</v>
      </c>
      <c r="Y13" s="13">
        <v>15.23</v>
      </c>
      <c r="Z13" s="10">
        <v>162</v>
      </c>
      <c r="AA13" s="13">
        <f>AH13/S13</f>
      </c>
      <c r="AB13" s="13">
        <v>0.87</v>
      </c>
      <c r="AC13" s="13">
        <v>5.84</v>
      </c>
      <c r="AD13" s="7" t="s">
        <v>46</v>
      </c>
      <c r="AE13" s="13">
        <v>5.99</v>
      </c>
      <c r="AF13" s="10">
        <v>0</v>
      </c>
      <c r="AG13" s="10">
        <v>0</v>
      </c>
      <c r="AH13" s="10">
        <v>1</v>
      </c>
      <c r="AI13" s="10">
        <v>19</v>
      </c>
      <c r="AJ13" s="10"/>
      <c r="AK13" s="10"/>
      <c r="AL13" s="7"/>
      <c r="AM13" s="10"/>
    </row>
    <row x14ac:dyDescent="0.25" r="14" customHeight="1" ht="18">
      <c r="A14" s="7" t="s">
        <v>105</v>
      </c>
      <c r="B14" s="8" t="s">
        <v>106</v>
      </c>
      <c r="C14" s="8" t="s">
        <v>41</v>
      </c>
      <c r="D14" s="7" t="s">
        <v>42</v>
      </c>
      <c r="E14" s="9">
        <v>38510</v>
      </c>
      <c r="F14" s="10">
        <v>17</v>
      </c>
      <c r="G14" s="7" t="s">
        <v>107</v>
      </c>
      <c r="H14" s="7" t="s">
        <v>108</v>
      </c>
      <c r="I14" s="8"/>
      <c r="J14" s="8" t="s">
        <v>109</v>
      </c>
      <c r="K14" s="9">
        <v>44888</v>
      </c>
      <c r="L14" s="8"/>
      <c r="M14" s="11"/>
      <c r="N14" s="10">
        <v>0</v>
      </c>
      <c r="O14" s="8"/>
      <c r="P14" s="11"/>
      <c r="Q14" s="8"/>
      <c r="R14" s="12"/>
      <c r="S14" s="10">
        <v>168</v>
      </c>
      <c r="T14" s="10">
        <f>S14*60</f>
      </c>
      <c r="U14" s="10">
        <v>535</v>
      </c>
      <c r="V14" s="13">
        <v>31.37</v>
      </c>
      <c r="W14" s="13">
        <v>12.88</v>
      </c>
      <c r="X14" s="13">
        <v>36.32</v>
      </c>
      <c r="Y14" s="13">
        <v>19.42</v>
      </c>
      <c r="Z14" s="10">
        <v>44</v>
      </c>
      <c r="AA14" s="13">
        <f>AH14/S14</f>
      </c>
      <c r="AB14" s="13">
        <v>0.81</v>
      </c>
      <c r="AC14" s="13">
        <v>2.35</v>
      </c>
      <c r="AD14" s="7" t="s">
        <v>65</v>
      </c>
      <c r="AE14" s="13">
        <v>3.18</v>
      </c>
      <c r="AF14" s="13">
        <f>0.62+0.62+0.62+4.35</f>
      </c>
      <c r="AG14" s="11"/>
      <c r="AH14" s="10">
        <v>2</v>
      </c>
      <c r="AI14" s="10">
        <v>25</v>
      </c>
      <c r="AJ14" s="10">
        <v>2.4</v>
      </c>
      <c r="AK14" s="10">
        <v>4</v>
      </c>
      <c r="AL14" s="7" t="s">
        <v>110</v>
      </c>
      <c r="AM14" s="10">
        <v>11</v>
      </c>
    </row>
    <row x14ac:dyDescent="0.25" r="15" customHeight="1" ht="18">
      <c r="A15" s="7" t="s">
        <v>111</v>
      </c>
      <c r="B15" s="8" t="s">
        <v>112</v>
      </c>
      <c r="C15" s="8" t="s">
        <v>113</v>
      </c>
      <c r="D15" s="7" t="s">
        <v>42</v>
      </c>
      <c r="E15" s="9">
        <v>18688</v>
      </c>
      <c r="F15" s="10">
        <v>71</v>
      </c>
      <c r="G15" s="7" t="s">
        <v>79</v>
      </c>
      <c r="H15" s="7" t="s">
        <v>85</v>
      </c>
      <c r="I15" s="8"/>
      <c r="J15" s="8" t="s">
        <v>114</v>
      </c>
      <c r="K15" s="9">
        <v>44889</v>
      </c>
      <c r="L15" s="8"/>
      <c r="M15" s="11"/>
      <c r="N15" s="10">
        <v>0</v>
      </c>
      <c r="O15" s="8"/>
      <c r="P15" s="12" t="s">
        <v>115</v>
      </c>
      <c r="Q15" s="14" t="s">
        <v>116</v>
      </c>
      <c r="R15" s="12" t="s">
        <v>117</v>
      </c>
      <c r="S15" s="10">
        <v>97</v>
      </c>
      <c r="T15" s="10">
        <f>S15*60</f>
      </c>
      <c r="U15" s="10">
        <v>372</v>
      </c>
      <c r="V15" s="13">
        <v>26.2</v>
      </c>
      <c r="W15" s="13">
        <v>4.03</v>
      </c>
      <c r="X15" s="13">
        <v>43.68</v>
      </c>
      <c r="Y15" s="13">
        <v>26.07</v>
      </c>
      <c r="Z15" s="10">
        <v>68</v>
      </c>
      <c r="AA15" s="13">
        <f>AH15/S15</f>
      </c>
      <c r="AB15" s="13">
        <v>0.85</v>
      </c>
      <c r="AC15" s="13">
        <v>6.45</v>
      </c>
      <c r="AD15" s="7" t="s">
        <v>118</v>
      </c>
      <c r="AE15" s="13">
        <v>0.64</v>
      </c>
      <c r="AF15" s="13">
        <v>0.61</v>
      </c>
      <c r="AG15" s="10">
        <v>0</v>
      </c>
      <c r="AH15" s="10">
        <v>7</v>
      </c>
      <c r="AI15" s="10">
        <v>1287</v>
      </c>
      <c r="AJ15" s="10"/>
      <c r="AK15" s="10"/>
      <c r="AL15" s="7"/>
      <c r="AM15" s="10"/>
    </row>
    <row x14ac:dyDescent="0.25" r="16" customHeight="1" ht="18">
      <c r="A16" s="16" t="s">
        <v>119</v>
      </c>
      <c r="B16" s="8" t="s">
        <v>120</v>
      </c>
      <c r="C16" s="8" t="s">
        <v>71</v>
      </c>
      <c r="D16" s="7" t="s">
        <v>42</v>
      </c>
      <c r="E16" s="9">
        <v>20737</v>
      </c>
      <c r="F16" s="10">
        <v>66</v>
      </c>
      <c r="G16" s="7" t="s">
        <v>79</v>
      </c>
      <c r="H16" s="7" t="s">
        <v>85</v>
      </c>
      <c r="I16" s="8"/>
      <c r="J16" s="8" t="s">
        <v>121</v>
      </c>
      <c r="K16" s="9">
        <v>44901</v>
      </c>
      <c r="L16" s="8"/>
      <c r="M16" s="11"/>
      <c r="N16" s="10">
        <v>0</v>
      </c>
      <c r="O16" s="14" t="s">
        <v>122</v>
      </c>
      <c r="P16" s="11"/>
      <c r="Q16" s="14" t="s">
        <v>123</v>
      </c>
      <c r="R16" s="12" t="s">
        <v>124</v>
      </c>
      <c r="S16" s="10">
        <v>67</v>
      </c>
      <c r="T16" s="10">
        <f>S16*60</f>
      </c>
      <c r="U16" s="10">
        <v>388</v>
      </c>
      <c r="V16" s="13">
        <v>17.39</v>
      </c>
      <c r="W16" s="13">
        <v>9.4</v>
      </c>
      <c r="X16" s="13">
        <v>42.78</v>
      </c>
      <c r="Y16" s="13">
        <v>30.41</v>
      </c>
      <c r="Z16" s="10">
        <v>88</v>
      </c>
      <c r="AA16" s="13">
        <f>AH16/S16</f>
      </c>
      <c r="AB16" s="13">
        <v>0.95</v>
      </c>
      <c r="AC16" s="13">
        <v>2.47</v>
      </c>
      <c r="AD16" s="7" t="s">
        <v>46</v>
      </c>
      <c r="AE16" s="13">
        <v>5.56</v>
      </c>
      <c r="AF16" s="13">
        <f>0.88+0.88+10.66</f>
      </c>
      <c r="AG16" s="10">
        <f>13+14</f>
      </c>
      <c r="AH16" s="10">
        <v>13</v>
      </c>
      <c r="AI16" s="10">
        <v>0</v>
      </c>
      <c r="AJ16" s="10"/>
      <c r="AK16" s="10"/>
      <c r="AL16" s="7"/>
      <c r="AM16" s="10"/>
    </row>
    <row x14ac:dyDescent="0.25" r="17" customHeight="1" ht="18.75">
      <c r="A17" s="17" t="s">
        <v>125</v>
      </c>
      <c r="B17" s="18" t="s">
        <v>126</v>
      </c>
      <c r="C17" s="8"/>
      <c r="D17" s="19" t="s">
        <v>60</v>
      </c>
      <c r="E17" s="20">
        <v>31010</v>
      </c>
      <c r="F17" s="21">
        <v>38</v>
      </c>
      <c r="G17" s="19" t="s">
        <v>107</v>
      </c>
      <c r="H17" s="19" t="s">
        <v>108</v>
      </c>
      <c r="I17" s="8"/>
      <c r="J17" s="18" t="s">
        <v>109</v>
      </c>
      <c r="K17" s="20"/>
      <c r="L17" s="8"/>
      <c r="M17" s="22"/>
      <c r="N17" s="11"/>
      <c r="O17" s="18"/>
      <c r="P17" s="22"/>
      <c r="Q17" s="18"/>
      <c r="R17" s="22"/>
      <c r="S17" s="21">
        <v>108</v>
      </c>
      <c r="T17" s="10">
        <f>S17*60</f>
      </c>
      <c r="U17" s="21">
        <v>429</v>
      </c>
      <c r="V17" s="23">
        <v>25.29</v>
      </c>
      <c r="W17" s="23">
        <v>14.21</v>
      </c>
      <c r="X17" s="23">
        <v>45.22</v>
      </c>
      <c r="Y17" s="23">
        <v>15.26</v>
      </c>
      <c r="Z17" s="21">
        <v>102</v>
      </c>
      <c r="AA17" s="13">
        <f>AH17/S17</f>
      </c>
      <c r="AB17" s="23">
        <v>0.86</v>
      </c>
      <c r="AC17" s="23">
        <v>18.32</v>
      </c>
      <c r="AD17" s="19" t="s">
        <v>46</v>
      </c>
      <c r="AE17" s="23">
        <v>8.81</v>
      </c>
      <c r="AF17" s="23">
        <v>11.05</v>
      </c>
      <c r="AG17" s="21">
        <v>0</v>
      </c>
      <c r="AH17" s="21">
        <v>1</v>
      </c>
      <c r="AI17" s="21"/>
      <c r="AJ17" s="21"/>
      <c r="AK17" s="21"/>
      <c r="AL17" s="19"/>
      <c r="AM17" s="21"/>
    </row>
    <row x14ac:dyDescent="0.25" r="18" customHeight="1" ht="18">
      <c r="A18" s="7" t="s">
        <v>127</v>
      </c>
      <c r="B18" s="8" t="s">
        <v>128</v>
      </c>
      <c r="C18" s="8" t="s">
        <v>113</v>
      </c>
      <c r="D18" s="7" t="s">
        <v>60</v>
      </c>
      <c r="E18" s="9">
        <v>40880</v>
      </c>
      <c r="F18" s="10">
        <v>11</v>
      </c>
      <c r="G18" s="7" t="s">
        <v>107</v>
      </c>
      <c r="H18" s="7" t="s">
        <v>108</v>
      </c>
      <c r="I18" s="8"/>
      <c r="J18" s="8" t="s">
        <v>129</v>
      </c>
      <c r="K18" s="9">
        <v>44903</v>
      </c>
      <c r="L18" s="8"/>
      <c r="M18" s="11"/>
      <c r="N18" s="10">
        <v>0</v>
      </c>
      <c r="O18" s="8"/>
      <c r="P18" s="11"/>
      <c r="Q18" s="14" t="s">
        <v>130</v>
      </c>
      <c r="R18" s="12"/>
      <c r="S18" s="10">
        <v>88</v>
      </c>
      <c r="T18" s="10">
        <f>S18*60</f>
      </c>
      <c r="U18" s="10">
        <v>403</v>
      </c>
      <c r="V18" s="13">
        <v>21.96</v>
      </c>
      <c r="W18" s="13">
        <v>21.83</v>
      </c>
      <c r="X18" s="13">
        <v>42.92</v>
      </c>
      <c r="Y18" s="13">
        <v>13.27</v>
      </c>
      <c r="Z18" s="10">
        <v>35</v>
      </c>
      <c r="AA18" s="13">
        <f>AH18/S18</f>
      </c>
      <c r="AB18" s="13">
        <v>0.73</v>
      </c>
      <c r="AC18" s="13">
        <v>1.48</v>
      </c>
      <c r="AD18" s="7" t="s">
        <v>65</v>
      </c>
      <c r="AE18" s="13">
        <v>0.89</v>
      </c>
      <c r="AF18" s="13">
        <f>2.03+1.35</f>
      </c>
      <c r="AG18" s="11"/>
      <c r="AH18" s="10">
        <v>6</v>
      </c>
      <c r="AI18" s="10">
        <v>175</v>
      </c>
      <c r="AJ18" s="10">
        <v>0.75</v>
      </c>
      <c r="AK18" s="10">
        <v>3</v>
      </c>
      <c r="AL18" s="7" t="s">
        <v>110</v>
      </c>
      <c r="AM18" s="10"/>
    </row>
    <row x14ac:dyDescent="0.25" r="19" customHeight="1" ht="18">
      <c r="A19" s="7" t="s">
        <v>131</v>
      </c>
      <c r="B19" s="8" t="s">
        <v>132</v>
      </c>
      <c r="C19" s="8" t="s">
        <v>41</v>
      </c>
      <c r="D19" s="7" t="s">
        <v>60</v>
      </c>
      <c r="E19" s="9">
        <v>32631</v>
      </c>
      <c r="F19" s="10">
        <v>32</v>
      </c>
      <c r="G19" s="7" t="s">
        <v>107</v>
      </c>
      <c r="H19" s="7" t="s">
        <v>133</v>
      </c>
      <c r="I19" s="8"/>
      <c r="J19" s="8" t="s">
        <v>134</v>
      </c>
      <c r="K19" s="9">
        <v>44463</v>
      </c>
      <c r="L19" s="8"/>
      <c r="M19" s="12" t="s">
        <v>135</v>
      </c>
      <c r="N19" s="10">
        <v>0</v>
      </c>
      <c r="O19" s="14" t="s">
        <v>136</v>
      </c>
      <c r="P19" s="11"/>
      <c r="Q19" s="8"/>
      <c r="R19" s="12"/>
      <c r="S19" s="10">
        <v>52</v>
      </c>
      <c r="T19" s="10">
        <f>S19*60</f>
      </c>
      <c r="U19" s="10">
        <v>399</v>
      </c>
      <c r="V19" s="13">
        <v>13.03</v>
      </c>
      <c r="W19" s="13">
        <v>10.27</v>
      </c>
      <c r="X19" s="13">
        <v>54.76</v>
      </c>
      <c r="Y19" s="13">
        <v>21.92</v>
      </c>
      <c r="Z19" s="10">
        <v>426</v>
      </c>
      <c r="AA19" s="13">
        <f>AH19/S19</f>
      </c>
      <c r="AB19" s="13">
        <v>0.83</v>
      </c>
      <c r="AC19" s="13">
        <v>7.66</v>
      </c>
      <c r="AD19" s="7" t="s">
        <v>137</v>
      </c>
      <c r="AE19" s="13">
        <v>6.76</v>
      </c>
      <c r="AF19" s="13">
        <f>6.92+23.07</f>
      </c>
      <c r="AG19" s="10">
        <f>60*3+7+38</f>
      </c>
      <c r="AH19" s="10">
        <v>1</v>
      </c>
      <c r="AI19" s="10">
        <v>26</v>
      </c>
      <c r="AJ19" s="10" t="s">
        <v>138</v>
      </c>
      <c r="AK19" s="10" t="s">
        <v>139</v>
      </c>
      <c r="AL19" s="7"/>
      <c r="AM19" s="10"/>
    </row>
    <row x14ac:dyDescent="0.25" r="20" customHeight="1" ht="18">
      <c r="A20" s="7" t="s">
        <v>140</v>
      </c>
      <c r="B20" s="8" t="s">
        <v>141</v>
      </c>
      <c r="C20" s="8" t="s">
        <v>41</v>
      </c>
      <c r="D20" s="7" t="s">
        <v>42</v>
      </c>
      <c r="E20" s="9">
        <v>41210</v>
      </c>
      <c r="F20" s="10">
        <v>7</v>
      </c>
      <c r="G20" s="7" t="s">
        <v>107</v>
      </c>
      <c r="H20" s="7" t="s">
        <v>133</v>
      </c>
      <c r="I20" s="8"/>
      <c r="J20" s="8" t="s">
        <v>142</v>
      </c>
      <c r="K20" s="9">
        <v>43636</v>
      </c>
      <c r="L20" s="8"/>
      <c r="M20" s="11"/>
      <c r="N20" s="10">
        <v>0</v>
      </c>
      <c r="O20" s="8"/>
      <c r="P20" s="12" t="s">
        <v>143</v>
      </c>
      <c r="Q20" s="8"/>
      <c r="R20" s="12"/>
      <c r="S20" s="10">
        <v>104</v>
      </c>
      <c r="T20" s="10">
        <f>S20*60</f>
      </c>
      <c r="U20" s="10">
        <v>450</v>
      </c>
      <c r="V20" s="13">
        <v>23.11</v>
      </c>
      <c r="W20" s="13">
        <v>5.77</v>
      </c>
      <c r="X20" s="10">
        <v>19</v>
      </c>
      <c r="Y20" s="13">
        <v>52.11</v>
      </c>
      <c r="Z20" s="10">
        <v>216</v>
      </c>
      <c r="AA20" s="13">
        <f>AH20/S20</f>
      </c>
      <c r="AB20" s="13">
        <v>0.8</v>
      </c>
      <c r="AC20" s="13">
        <v>1.46</v>
      </c>
      <c r="AD20" s="7" t="s">
        <v>65</v>
      </c>
      <c r="AE20" s="13">
        <v>0.13</v>
      </c>
      <c r="AF20" s="10">
        <v>0</v>
      </c>
      <c r="AG20" s="10">
        <v>0</v>
      </c>
      <c r="AH20" s="10">
        <v>4</v>
      </c>
      <c r="AI20" s="10">
        <v>117</v>
      </c>
      <c r="AJ20" s="10">
        <v>4.25</v>
      </c>
      <c r="AK20" s="10">
        <v>3</v>
      </c>
      <c r="AL20" s="7" t="s">
        <v>110</v>
      </c>
      <c r="AM20" s="10"/>
    </row>
    <row x14ac:dyDescent="0.25" r="21" customHeight="1" ht="18">
      <c r="A21" s="7" t="s">
        <v>144</v>
      </c>
      <c r="B21" s="8" t="s">
        <v>145</v>
      </c>
      <c r="C21" s="8" t="s">
        <v>41</v>
      </c>
      <c r="D21" s="7" t="s">
        <v>60</v>
      </c>
      <c r="E21" s="9">
        <v>36193</v>
      </c>
      <c r="F21" s="10">
        <v>20</v>
      </c>
      <c r="G21" s="7" t="s">
        <v>107</v>
      </c>
      <c r="H21" s="7" t="s">
        <v>133</v>
      </c>
      <c r="I21" s="8"/>
      <c r="J21" s="8" t="s">
        <v>146</v>
      </c>
      <c r="K21" s="9">
        <v>43797</v>
      </c>
      <c r="L21" s="8"/>
      <c r="M21" s="11"/>
      <c r="N21" s="10">
        <v>0</v>
      </c>
      <c r="O21" s="8"/>
      <c r="P21" s="11"/>
      <c r="Q21" s="14" t="s">
        <v>130</v>
      </c>
      <c r="R21" s="12"/>
      <c r="S21" s="10">
        <v>173</v>
      </c>
      <c r="T21" s="10">
        <f>S21*60</f>
      </c>
      <c r="U21" s="10">
        <v>459</v>
      </c>
      <c r="V21" s="13">
        <v>37.75</v>
      </c>
      <c r="W21" s="13">
        <v>7.07</v>
      </c>
      <c r="X21" s="13">
        <v>32.97</v>
      </c>
      <c r="Y21" s="13">
        <v>22.19</v>
      </c>
      <c r="Z21" s="10">
        <v>3</v>
      </c>
      <c r="AA21" s="13">
        <f>AH21/S21</f>
      </c>
      <c r="AB21" s="13">
        <v>0.94</v>
      </c>
      <c r="AC21" s="13">
        <v>2.87</v>
      </c>
      <c r="AD21" s="7" t="s">
        <v>46</v>
      </c>
      <c r="AE21" s="13">
        <v>6.13</v>
      </c>
      <c r="AF21" s="13">
        <f>2.07+3.45+5.53</f>
      </c>
      <c r="AG21" s="10">
        <f>60+10+120+2</f>
      </c>
      <c r="AH21" s="10">
        <v>2</v>
      </c>
      <c r="AI21" s="10">
        <v>52</v>
      </c>
      <c r="AJ21" s="10" t="s">
        <v>147</v>
      </c>
      <c r="AK21" s="10">
        <v>4</v>
      </c>
      <c r="AL21" s="7" t="s">
        <v>110</v>
      </c>
      <c r="AM21" s="10"/>
    </row>
    <row x14ac:dyDescent="0.25" r="22" customHeight="1" ht="18.75">
      <c r="A22" s="7" t="s">
        <v>148</v>
      </c>
      <c r="B22" s="8" t="s">
        <v>149</v>
      </c>
      <c r="C22" s="24" t="s">
        <v>41</v>
      </c>
      <c r="D22" s="7" t="s">
        <v>60</v>
      </c>
      <c r="E22" s="9">
        <v>36850</v>
      </c>
      <c r="F22" s="10">
        <v>24</v>
      </c>
      <c r="G22" s="7" t="s">
        <v>107</v>
      </c>
      <c r="H22" s="7" t="s">
        <v>133</v>
      </c>
      <c r="I22" s="8"/>
      <c r="J22" s="8" t="s">
        <v>150</v>
      </c>
      <c r="K22" s="9">
        <v>43711</v>
      </c>
      <c r="L22" s="8"/>
      <c r="M22" s="12" t="s">
        <v>151</v>
      </c>
      <c r="N22" s="10"/>
      <c r="O22" s="8"/>
      <c r="P22" s="11"/>
      <c r="Q22" s="8"/>
      <c r="R22" s="12"/>
      <c r="S22" s="10">
        <v>165</v>
      </c>
      <c r="T22" s="10">
        <f>S22*60</f>
      </c>
      <c r="U22" s="10">
        <v>513</v>
      </c>
      <c r="V22" s="13">
        <v>32.26</v>
      </c>
      <c r="W22" s="13">
        <v>23.09</v>
      </c>
      <c r="X22" s="13">
        <v>30.79</v>
      </c>
      <c r="Y22" s="13">
        <v>13.84</v>
      </c>
      <c r="Z22" s="10">
        <v>1</v>
      </c>
      <c r="AA22" s="13">
        <f>AH22/S22</f>
      </c>
      <c r="AB22" s="13">
        <v>0.88</v>
      </c>
      <c r="AC22" s="13">
        <v>3.97</v>
      </c>
      <c r="AD22" s="7" t="s">
        <v>65</v>
      </c>
      <c r="AE22" s="13">
        <v>5.61</v>
      </c>
      <c r="AF22" s="13">
        <v>5.61</v>
      </c>
      <c r="AG22" s="13">
        <f>11.57+16.02+11.54</f>
      </c>
      <c r="AH22" s="10">
        <v>8</v>
      </c>
      <c r="AI22" s="10">
        <v>219</v>
      </c>
      <c r="AJ22" s="10"/>
      <c r="AK22" s="10"/>
      <c r="AL22" s="7"/>
      <c r="AM22" s="10"/>
    </row>
    <row x14ac:dyDescent="0.25" r="23" customHeight="1" ht="18">
      <c r="A23" s="7" t="s">
        <v>152</v>
      </c>
      <c r="B23" s="8" t="s">
        <v>153</v>
      </c>
      <c r="C23" s="8" t="s">
        <v>71</v>
      </c>
      <c r="D23" s="7" t="s">
        <v>42</v>
      </c>
      <c r="E23" s="9">
        <v>22512</v>
      </c>
      <c r="F23" s="10">
        <v>60</v>
      </c>
      <c r="G23" s="7" t="s">
        <v>79</v>
      </c>
      <c r="H23" s="7" t="s">
        <v>154</v>
      </c>
      <c r="I23" s="8"/>
      <c r="J23" s="8" t="s">
        <v>155</v>
      </c>
      <c r="K23" s="25"/>
      <c r="L23" s="8"/>
      <c r="M23" s="11"/>
      <c r="N23" s="10">
        <v>0</v>
      </c>
      <c r="O23" s="14" t="s">
        <v>155</v>
      </c>
      <c r="P23" s="12" t="s">
        <v>156</v>
      </c>
      <c r="Q23" s="14" t="s">
        <v>130</v>
      </c>
      <c r="R23" s="12"/>
      <c r="S23" s="10">
        <v>62</v>
      </c>
      <c r="T23" s="10">
        <f>S23*60</f>
      </c>
      <c r="U23" s="10">
        <v>397</v>
      </c>
      <c r="V23" s="13">
        <v>15.72</v>
      </c>
      <c r="W23" s="13">
        <v>2.89</v>
      </c>
      <c r="X23" s="13">
        <v>58.23</v>
      </c>
      <c r="Y23" s="13">
        <v>23.14</v>
      </c>
      <c r="Z23" s="10">
        <v>113</v>
      </c>
      <c r="AA23" s="13">
        <f>AH23/S23</f>
      </c>
      <c r="AB23" s="13">
        <v>0.93</v>
      </c>
      <c r="AC23" s="13">
        <v>3.47</v>
      </c>
      <c r="AD23" s="7" t="s">
        <v>157</v>
      </c>
      <c r="AE23" s="13">
        <v>1.2</v>
      </c>
      <c r="AF23" s="13">
        <f>0.96+1.92</f>
      </c>
      <c r="AG23" s="10">
        <v>17</v>
      </c>
      <c r="AH23" s="10">
        <v>5</v>
      </c>
      <c r="AI23" s="10">
        <v>623</v>
      </c>
      <c r="AJ23" s="10"/>
      <c r="AK23" s="10"/>
      <c r="AL23" s="7"/>
      <c r="AM23" s="10"/>
    </row>
    <row x14ac:dyDescent="0.25" r="24" customHeight="1" ht="18">
      <c r="A24" s="7" t="s">
        <v>158</v>
      </c>
      <c r="B24" s="8" t="s">
        <v>159</v>
      </c>
      <c r="C24" s="8" t="s">
        <v>71</v>
      </c>
      <c r="D24" s="7" t="s">
        <v>42</v>
      </c>
      <c r="E24" s="9">
        <v>18709</v>
      </c>
      <c r="F24" s="10">
        <v>72</v>
      </c>
      <c r="G24" s="7" t="s">
        <v>79</v>
      </c>
      <c r="H24" s="7" t="s">
        <v>85</v>
      </c>
      <c r="I24" s="8"/>
      <c r="J24" s="8" t="s">
        <v>121</v>
      </c>
      <c r="K24" s="9">
        <v>44873</v>
      </c>
      <c r="L24" s="8"/>
      <c r="M24" s="11"/>
      <c r="N24" s="10">
        <v>0</v>
      </c>
      <c r="O24" s="8"/>
      <c r="P24" s="11"/>
      <c r="Q24" s="14" t="s">
        <v>130</v>
      </c>
      <c r="R24" s="12" t="s">
        <v>160</v>
      </c>
      <c r="S24" s="10">
        <v>63</v>
      </c>
      <c r="T24" s="10">
        <f>S24*60</f>
      </c>
      <c r="U24" s="10">
        <v>327</v>
      </c>
      <c r="V24" s="13">
        <v>19.23</v>
      </c>
      <c r="W24" s="13">
        <v>7.63</v>
      </c>
      <c r="X24" s="13">
        <v>50.99</v>
      </c>
      <c r="Y24" s="13">
        <v>22.13</v>
      </c>
      <c r="Z24" s="10">
        <v>144</v>
      </c>
      <c r="AA24" s="13">
        <f>AH24/S24</f>
      </c>
      <c r="AB24" s="13">
        <v>0.84</v>
      </c>
      <c r="AC24" s="13">
        <v>1.64</v>
      </c>
      <c r="AD24" s="7" t="s">
        <v>46</v>
      </c>
      <c r="AE24" s="13">
        <v>9.16</v>
      </c>
      <c r="AF24" s="13">
        <v>16.18</v>
      </c>
      <c r="AG24" s="10">
        <v>63</v>
      </c>
      <c r="AH24" s="10">
        <v>11</v>
      </c>
      <c r="AI24" s="10">
        <v>1271</v>
      </c>
      <c r="AJ24" s="10"/>
      <c r="AK24" s="10"/>
      <c r="AL24" s="7"/>
      <c r="AM24" s="10"/>
    </row>
    <row x14ac:dyDescent="0.25" r="25" customHeight="1" ht="18">
      <c r="A25" s="7" t="s">
        <v>161</v>
      </c>
      <c r="B25" s="8" t="s">
        <v>162</v>
      </c>
      <c r="C25" s="8" t="s">
        <v>41</v>
      </c>
      <c r="D25" s="7" t="s">
        <v>42</v>
      </c>
      <c r="E25" s="9">
        <v>15990</v>
      </c>
      <c r="F25" s="10">
        <v>79</v>
      </c>
      <c r="G25" s="7" t="s">
        <v>79</v>
      </c>
      <c r="H25" s="7" t="s">
        <v>85</v>
      </c>
      <c r="I25" s="8"/>
      <c r="J25" s="8" t="s">
        <v>163</v>
      </c>
      <c r="K25" s="9">
        <v>44847</v>
      </c>
      <c r="L25" s="8"/>
      <c r="M25" s="11"/>
      <c r="N25" s="10">
        <v>0</v>
      </c>
      <c r="O25" s="14" t="s">
        <v>164</v>
      </c>
      <c r="P25" s="12" t="s">
        <v>165</v>
      </c>
      <c r="Q25" s="14" t="s">
        <v>166</v>
      </c>
      <c r="R25" s="12" t="s">
        <v>167</v>
      </c>
      <c r="S25" s="10">
        <v>64</v>
      </c>
      <c r="T25" s="10">
        <f>S25*60</f>
      </c>
      <c r="U25" s="10">
        <v>223</v>
      </c>
      <c r="V25" s="13">
        <v>28.85</v>
      </c>
      <c r="W25" s="13">
        <v>21.25</v>
      </c>
      <c r="X25" s="13">
        <v>32.21</v>
      </c>
      <c r="Y25" s="13">
        <v>17.67</v>
      </c>
      <c r="Z25" s="10">
        <v>148</v>
      </c>
      <c r="AA25" s="13">
        <f>AH25/S25</f>
      </c>
      <c r="AB25" s="13">
        <v>0.62</v>
      </c>
      <c r="AC25" s="13">
        <v>15.57</v>
      </c>
      <c r="AD25" s="7" t="s">
        <v>57</v>
      </c>
      <c r="AE25" s="13">
        <v>23.9</v>
      </c>
      <c r="AF25" s="13">
        <f>4.65+24.18</f>
      </c>
      <c r="AG25" s="10">
        <f>60+26</f>
      </c>
      <c r="AH25" s="10">
        <v>1</v>
      </c>
      <c r="AI25" s="10">
        <v>26</v>
      </c>
      <c r="AJ25" s="10"/>
      <c r="AK25" s="10"/>
      <c r="AL25" s="7"/>
      <c r="AM25" s="10"/>
    </row>
    <row x14ac:dyDescent="0.25" r="26" customHeight="1" ht="14.25">
      <c r="A26" s="17" t="s">
        <v>168</v>
      </c>
      <c r="B26" s="18" t="s">
        <v>169</v>
      </c>
      <c r="C26" s="8"/>
      <c r="D26" s="19" t="s">
        <v>42</v>
      </c>
      <c r="E26" s="20">
        <v>17426</v>
      </c>
      <c r="F26" s="21">
        <v>75</v>
      </c>
      <c r="G26" s="19" t="s">
        <v>43</v>
      </c>
      <c r="H26" s="19" t="s">
        <v>170</v>
      </c>
      <c r="I26" s="8"/>
      <c r="J26" s="18" t="s">
        <v>171</v>
      </c>
      <c r="K26" s="20">
        <v>44629</v>
      </c>
      <c r="L26" s="8"/>
      <c r="M26" s="22"/>
      <c r="N26" s="11"/>
      <c r="O26" s="18"/>
      <c r="P26" s="22"/>
      <c r="Q26" s="18"/>
      <c r="R26" s="22"/>
      <c r="S26" s="21">
        <v>18</v>
      </c>
      <c r="T26" s="10">
        <f>S26*60</f>
      </c>
      <c r="U26" s="21">
        <v>219</v>
      </c>
      <c r="V26" s="23">
        <v>8.21</v>
      </c>
      <c r="W26" s="23">
        <v>34.47</v>
      </c>
      <c r="X26" s="23">
        <v>54.56</v>
      </c>
      <c r="Y26" s="23">
        <v>2.73</v>
      </c>
      <c r="Z26" s="21">
        <v>178</v>
      </c>
      <c r="AA26" s="13">
        <f>AH26/S26</f>
      </c>
      <c r="AB26" s="23">
        <v>0.62</v>
      </c>
      <c r="AC26" s="23">
        <v>41.64</v>
      </c>
      <c r="AD26" s="19" t="s">
        <v>172</v>
      </c>
      <c r="AE26" s="23">
        <v>4.1</v>
      </c>
      <c r="AF26" s="21">
        <v>0</v>
      </c>
      <c r="AG26" s="21">
        <v>0</v>
      </c>
      <c r="AH26" s="21">
        <v>1</v>
      </c>
      <c r="AI26" s="21"/>
      <c r="AJ26" s="21"/>
      <c r="AK26" s="21"/>
      <c r="AL26" s="19"/>
      <c r="AM26" s="21"/>
    </row>
    <row x14ac:dyDescent="0.25" r="27" customHeight="1" ht="18">
      <c r="A27" s="7" t="s">
        <v>173</v>
      </c>
      <c r="B27" s="8" t="s">
        <v>174</v>
      </c>
      <c r="C27" s="24" t="s">
        <v>41</v>
      </c>
      <c r="D27" s="7" t="s">
        <v>42</v>
      </c>
      <c r="E27" s="9">
        <v>23593</v>
      </c>
      <c r="F27" s="10">
        <v>58</v>
      </c>
      <c r="G27" s="7" t="s">
        <v>43</v>
      </c>
      <c r="H27" s="7" t="s">
        <v>54</v>
      </c>
      <c r="I27" s="8"/>
      <c r="J27" s="8" t="s">
        <v>175</v>
      </c>
      <c r="K27" s="9">
        <v>44539</v>
      </c>
      <c r="L27" s="8"/>
      <c r="M27" s="12" t="s">
        <v>176</v>
      </c>
      <c r="N27" s="11"/>
      <c r="O27" s="8"/>
      <c r="P27" s="11"/>
      <c r="Q27" s="8"/>
      <c r="R27" s="11"/>
      <c r="S27" s="10">
        <v>35</v>
      </c>
      <c r="T27" s="10">
        <f>S27*60</f>
      </c>
      <c r="U27" s="10">
        <v>333</v>
      </c>
      <c r="V27" s="13">
        <v>10.66</v>
      </c>
      <c r="W27" s="13">
        <v>13.36</v>
      </c>
      <c r="X27" s="13">
        <v>62.46</v>
      </c>
      <c r="Y27" s="13">
        <v>13.51</v>
      </c>
      <c r="Z27" s="10">
        <v>362</v>
      </c>
      <c r="AA27" s="13">
        <f>AH27/S27</f>
      </c>
      <c r="AB27" s="13">
        <v>0.74</v>
      </c>
      <c r="AC27" s="13">
        <v>16.21</v>
      </c>
      <c r="AD27" s="7" t="s">
        <v>46</v>
      </c>
      <c r="AE27" s="13">
        <v>6.66</v>
      </c>
      <c r="AF27" s="13">
        <f>1.69+11.83</f>
      </c>
      <c r="AG27" s="10">
        <v>14</v>
      </c>
      <c r="AH27" s="10">
        <v>11</v>
      </c>
      <c r="AI27" s="10">
        <v>390</v>
      </c>
      <c r="AJ27" s="10"/>
      <c r="AK27" s="10"/>
      <c r="AL27" s="7"/>
      <c r="AM27" s="10"/>
    </row>
    <row x14ac:dyDescent="0.25" r="28" customHeight="1" ht="13.800000000000002">
      <c r="A28" s="7" t="s">
        <v>177</v>
      </c>
      <c r="B28" s="8" t="s">
        <v>178</v>
      </c>
      <c r="C28" s="8" t="s">
        <v>41</v>
      </c>
      <c r="D28" s="7" t="s">
        <v>60</v>
      </c>
      <c r="E28" s="9">
        <v>23537</v>
      </c>
      <c r="F28" s="10">
        <v>55</v>
      </c>
      <c r="G28" s="7" t="s">
        <v>43</v>
      </c>
      <c r="H28" s="7" t="s">
        <v>170</v>
      </c>
      <c r="I28" s="8"/>
      <c r="J28" s="8"/>
      <c r="K28" s="9">
        <v>43643</v>
      </c>
      <c r="L28" s="8"/>
      <c r="M28" s="11"/>
      <c r="N28" s="10">
        <v>0</v>
      </c>
      <c r="O28" s="8"/>
      <c r="P28" s="11"/>
      <c r="Q28" s="8"/>
      <c r="R28" s="11"/>
      <c r="S28" s="10">
        <v>76</v>
      </c>
      <c r="T28" s="10">
        <f>S28*60</f>
      </c>
      <c r="U28" s="10">
        <v>425</v>
      </c>
      <c r="V28" s="13">
        <v>17.97</v>
      </c>
      <c r="W28" s="13">
        <v>4.81</v>
      </c>
      <c r="X28" s="13">
        <v>76.96</v>
      </c>
      <c r="Y28" s="13">
        <v>0.23</v>
      </c>
      <c r="Z28" s="10">
        <v>85</v>
      </c>
      <c r="AA28" s="13">
        <f>AH28/S28</f>
      </c>
      <c r="AB28" s="13">
        <v>0.92</v>
      </c>
      <c r="AC28" s="13">
        <v>10.43</v>
      </c>
      <c r="AD28" s="7" t="s">
        <v>57</v>
      </c>
      <c r="AE28" s="13">
        <v>17.48</v>
      </c>
      <c r="AF28" s="13">
        <f>0.87+1.75</f>
      </c>
      <c r="AG28" s="10">
        <v>14</v>
      </c>
      <c r="AH28" s="10">
        <v>3</v>
      </c>
      <c r="AI28" s="10">
        <v>46</v>
      </c>
      <c r="AJ28" s="10"/>
      <c r="AK28" s="10"/>
      <c r="AL28" s="7"/>
      <c r="AM28" s="10"/>
    </row>
    <row x14ac:dyDescent="0.25" r="29" customHeight="1" ht="18">
      <c r="A29" s="7" t="s">
        <v>179</v>
      </c>
      <c r="B29" s="14" t="s">
        <v>180</v>
      </c>
      <c r="C29" s="14" t="s">
        <v>41</v>
      </c>
      <c r="D29" s="7" t="s">
        <v>60</v>
      </c>
      <c r="E29" s="9">
        <v>18057</v>
      </c>
      <c r="F29" s="10">
        <v>70</v>
      </c>
      <c r="G29" s="7" t="s">
        <v>43</v>
      </c>
      <c r="H29" s="7" t="s">
        <v>170</v>
      </c>
      <c r="I29" s="8"/>
      <c r="J29" s="8" t="s">
        <v>181</v>
      </c>
      <c r="K29" s="9">
        <v>43699</v>
      </c>
      <c r="L29" s="8"/>
      <c r="M29" s="12" t="s">
        <v>82</v>
      </c>
      <c r="N29" s="10">
        <v>1</v>
      </c>
      <c r="O29" s="8"/>
      <c r="P29" s="12" t="s">
        <v>182</v>
      </c>
      <c r="Q29" s="8"/>
      <c r="R29" s="11"/>
      <c r="S29" s="10">
        <v>40</v>
      </c>
      <c r="T29" s="10">
        <f>S29*60</f>
      </c>
      <c r="U29" s="10">
        <v>321</v>
      </c>
      <c r="V29" s="13">
        <v>12.59</v>
      </c>
      <c r="W29" s="13">
        <v>13.99</v>
      </c>
      <c r="X29" s="13">
        <v>53.49</v>
      </c>
      <c r="Y29" s="13">
        <v>19.9</v>
      </c>
      <c r="Z29" s="10">
        <v>192</v>
      </c>
      <c r="AA29" s="13">
        <f>AH29/S29</f>
      </c>
      <c r="AB29" s="13">
        <v>0.84</v>
      </c>
      <c r="AC29" s="13">
        <v>14.74</v>
      </c>
      <c r="AD29" s="7" t="s">
        <v>183</v>
      </c>
      <c r="AE29" s="13">
        <v>49.45</v>
      </c>
      <c r="AF29" s="13">
        <f>22.22+2.96+40</f>
      </c>
      <c r="AG29" s="10">
        <f>3*60+46+36</f>
      </c>
      <c r="AH29" s="10">
        <v>1</v>
      </c>
      <c r="AI29" s="10">
        <v>27</v>
      </c>
      <c r="AJ29" s="10"/>
      <c r="AK29" s="10"/>
      <c r="AL29" s="7"/>
      <c r="AM29" s="10"/>
    </row>
    <row x14ac:dyDescent="0.25" r="30" customHeight="1" ht="18">
      <c r="A30" s="17" t="s">
        <v>184</v>
      </c>
      <c r="B30" s="18" t="s">
        <v>185</v>
      </c>
      <c r="C30" s="8"/>
      <c r="D30" s="19" t="s">
        <v>60</v>
      </c>
      <c r="E30" s="20">
        <v>21538</v>
      </c>
      <c r="F30" s="21">
        <v>63</v>
      </c>
      <c r="G30" s="19" t="s">
        <v>43</v>
      </c>
      <c r="H30" s="19" t="s">
        <v>186</v>
      </c>
      <c r="I30" s="8"/>
      <c r="J30" s="18" t="s">
        <v>187</v>
      </c>
      <c r="K30" s="20">
        <v>44677</v>
      </c>
      <c r="L30" s="8"/>
      <c r="M30" s="22"/>
      <c r="N30" s="11"/>
      <c r="O30" s="18"/>
      <c r="P30" s="22"/>
      <c r="Q30" s="18"/>
      <c r="R30" s="22"/>
      <c r="S30" s="21">
        <v>26</v>
      </c>
      <c r="T30" s="10">
        <f>S30*60</f>
      </c>
      <c r="U30" s="21">
        <v>368</v>
      </c>
      <c r="V30" s="23">
        <v>7.06</v>
      </c>
      <c r="W30" s="23">
        <v>18.61</v>
      </c>
      <c r="X30" s="23">
        <v>51.49</v>
      </c>
      <c r="Y30" s="23">
        <v>22.82</v>
      </c>
      <c r="Z30" s="21">
        <v>352</v>
      </c>
      <c r="AA30" s="13">
        <f>AH30/S30</f>
      </c>
      <c r="AB30" s="23">
        <v>0.83</v>
      </c>
      <c r="AC30" s="23">
        <v>14.02</v>
      </c>
      <c r="AD30" s="19" t="s">
        <v>46</v>
      </c>
      <c r="AE30" s="23">
        <v>9.29</v>
      </c>
      <c r="AF30" s="23">
        <v>6.92</v>
      </c>
      <c r="AG30" s="21">
        <v>0</v>
      </c>
      <c r="AH30" s="21">
        <v>1</v>
      </c>
      <c r="AI30" s="21"/>
      <c r="AJ30" s="21"/>
      <c r="AK30" s="21"/>
      <c r="AL30" s="19"/>
      <c r="AM30" s="21"/>
    </row>
    <row x14ac:dyDescent="0.25" r="31" customHeight="1" ht="18">
      <c r="A31" s="7" t="s">
        <v>188</v>
      </c>
      <c r="B31" s="14" t="s">
        <v>189</v>
      </c>
      <c r="C31" s="8" t="s">
        <v>41</v>
      </c>
      <c r="D31" s="7" t="s">
        <v>42</v>
      </c>
      <c r="E31" s="9">
        <v>22153</v>
      </c>
      <c r="F31" s="10">
        <v>58</v>
      </c>
      <c r="G31" s="7" t="s">
        <v>43</v>
      </c>
      <c r="H31" s="7" t="s">
        <v>54</v>
      </c>
      <c r="I31" s="8"/>
      <c r="J31" s="8"/>
      <c r="K31" s="9">
        <v>43382</v>
      </c>
      <c r="L31" s="8"/>
      <c r="M31" s="12" t="s">
        <v>190</v>
      </c>
      <c r="N31" s="10">
        <v>0</v>
      </c>
      <c r="O31" s="8"/>
      <c r="P31" s="11"/>
      <c r="Q31" s="8"/>
      <c r="R31" s="12"/>
      <c r="S31" s="10">
        <v>84</v>
      </c>
      <c r="T31" s="10">
        <f>S31*60</f>
      </c>
      <c r="U31" s="10">
        <v>266</v>
      </c>
      <c r="V31" s="13">
        <v>31.57</v>
      </c>
      <c r="W31" s="13">
        <v>3.57</v>
      </c>
      <c r="X31" s="13">
        <v>46.99</v>
      </c>
      <c r="Y31" s="13">
        <v>17.85</v>
      </c>
      <c r="Z31" s="10">
        <v>50</v>
      </c>
      <c r="AA31" s="13">
        <f>AH31/S31</f>
      </c>
      <c r="AB31" s="13">
        <v>0.61</v>
      </c>
      <c r="AC31" s="13">
        <v>9.47</v>
      </c>
      <c r="AD31" s="7" t="s">
        <v>172</v>
      </c>
      <c r="AE31" s="10">
        <v>0</v>
      </c>
      <c r="AF31" s="10">
        <v>0</v>
      </c>
      <c r="AG31" s="10">
        <v>0</v>
      </c>
      <c r="AH31" s="10">
        <v>1</v>
      </c>
      <c r="AI31" s="10">
        <v>12</v>
      </c>
      <c r="AJ31" s="10"/>
      <c r="AK31" s="10"/>
      <c r="AL31" s="7"/>
      <c r="AM31" s="10"/>
    </row>
    <row x14ac:dyDescent="0.25" r="32" customHeight="1" ht="18">
      <c r="A32" s="7" t="s">
        <v>191</v>
      </c>
      <c r="B32" s="14" t="s">
        <v>192</v>
      </c>
      <c r="C32" s="8" t="s">
        <v>41</v>
      </c>
      <c r="D32" s="7" t="s">
        <v>42</v>
      </c>
      <c r="E32" s="9">
        <v>21658</v>
      </c>
      <c r="F32" s="10">
        <v>59</v>
      </c>
      <c r="G32" s="7" t="s">
        <v>43</v>
      </c>
      <c r="H32" s="7" t="s">
        <v>170</v>
      </c>
      <c r="I32" s="8"/>
      <c r="J32" s="8" t="s">
        <v>193</v>
      </c>
      <c r="K32" s="9">
        <v>43573</v>
      </c>
      <c r="L32" s="8"/>
      <c r="M32" s="11"/>
      <c r="N32" s="10">
        <v>0</v>
      </c>
      <c r="O32" s="8"/>
      <c r="P32" s="11"/>
      <c r="Q32" s="8"/>
      <c r="R32" s="12"/>
      <c r="S32" s="10">
        <v>91</v>
      </c>
      <c r="T32" s="10">
        <f>S32*60</f>
      </c>
      <c r="U32" s="10">
        <v>362</v>
      </c>
      <c r="V32" s="13">
        <v>25.13</v>
      </c>
      <c r="W32" s="13">
        <v>2.76</v>
      </c>
      <c r="X32" s="13">
        <v>49.44</v>
      </c>
      <c r="Y32" s="13">
        <v>22.65</v>
      </c>
      <c r="Z32" s="10">
        <v>145</v>
      </c>
      <c r="AA32" s="13">
        <f>AH32/S32</f>
      </c>
      <c r="AB32" s="13">
        <v>0.89</v>
      </c>
      <c r="AC32" s="13">
        <v>6.62</v>
      </c>
      <c r="AD32" s="7" t="s">
        <v>172</v>
      </c>
      <c r="AE32" s="13">
        <v>2.98</v>
      </c>
      <c r="AF32" s="13">
        <v>1.97</v>
      </c>
      <c r="AG32" s="10">
        <v>0</v>
      </c>
      <c r="AH32" s="10">
        <v>2</v>
      </c>
      <c r="AI32" s="10">
        <v>63</v>
      </c>
      <c r="AJ32" s="10"/>
      <c r="AK32" s="10"/>
      <c r="AL32" s="7"/>
      <c r="AM32" s="10"/>
    </row>
    <row x14ac:dyDescent="0.25" r="33" customHeight="1" ht="18">
      <c r="A33" s="7" t="s">
        <v>194</v>
      </c>
      <c r="B33" s="14" t="s">
        <v>195</v>
      </c>
      <c r="C33" s="8" t="s">
        <v>41</v>
      </c>
      <c r="D33" s="7" t="s">
        <v>42</v>
      </c>
      <c r="E33" s="9">
        <v>16199</v>
      </c>
      <c r="F33" s="10">
        <v>70</v>
      </c>
      <c r="G33" s="7" t="s">
        <v>43</v>
      </c>
      <c r="H33" s="7" t="s">
        <v>170</v>
      </c>
      <c r="I33" s="8"/>
      <c r="J33" s="8"/>
      <c r="K33" s="9">
        <v>41991</v>
      </c>
      <c r="L33" s="8"/>
      <c r="M33" s="11"/>
      <c r="N33" s="10">
        <v>0</v>
      </c>
      <c r="O33" s="8"/>
      <c r="P33" s="11"/>
      <c r="Q33" s="8"/>
      <c r="R33" s="12"/>
      <c r="S33" s="10">
        <v>55</v>
      </c>
      <c r="T33" s="10">
        <f>S33*60</f>
      </c>
      <c r="U33" s="10">
        <v>256</v>
      </c>
      <c r="V33" s="13">
        <v>21.44</v>
      </c>
      <c r="W33" s="13">
        <v>3.5</v>
      </c>
      <c r="X33" s="13">
        <v>74.85</v>
      </c>
      <c r="Y33" s="13">
        <v>0.19</v>
      </c>
      <c r="Z33" s="10">
        <v>309</v>
      </c>
      <c r="AA33" s="13">
        <f>AH33/S33</f>
      </c>
      <c r="AB33" s="13">
        <v>0.89</v>
      </c>
      <c r="AC33" s="13">
        <v>3.04</v>
      </c>
      <c r="AD33" s="7" t="s">
        <v>65</v>
      </c>
      <c r="AE33" s="13">
        <v>10.76</v>
      </c>
      <c r="AF33" s="10">
        <v>0</v>
      </c>
      <c r="AG33" s="10">
        <v>0</v>
      </c>
      <c r="AH33" s="10">
        <v>2</v>
      </c>
      <c r="AI33" s="10">
        <v>234</v>
      </c>
      <c r="AJ33" s="10"/>
      <c r="AK33" s="10"/>
      <c r="AL33" s="7"/>
      <c r="AM33" s="10"/>
    </row>
    <row x14ac:dyDescent="0.25" r="34" customHeight="1" ht="18">
      <c r="A34" s="7" t="s">
        <v>196</v>
      </c>
      <c r="B34" s="14" t="s">
        <v>197</v>
      </c>
      <c r="C34" s="8" t="s">
        <v>41</v>
      </c>
      <c r="D34" s="7" t="s">
        <v>42</v>
      </c>
      <c r="E34" s="9">
        <v>24564</v>
      </c>
      <c r="F34" s="10">
        <v>50</v>
      </c>
      <c r="G34" s="7" t="s">
        <v>43</v>
      </c>
      <c r="H34" s="7" t="s">
        <v>54</v>
      </c>
      <c r="I34" s="8"/>
      <c r="J34" s="8"/>
      <c r="K34" s="9">
        <v>42865</v>
      </c>
      <c r="L34" s="8"/>
      <c r="M34" s="11"/>
      <c r="N34" s="10">
        <v>0</v>
      </c>
      <c r="O34" s="8"/>
      <c r="P34" s="11"/>
      <c r="Q34" s="8"/>
      <c r="R34" s="12"/>
      <c r="S34" s="10">
        <v>86</v>
      </c>
      <c r="T34" s="10">
        <f>S34*60</f>
      </c>
      <c r="U34" s="10">
        <v>391</v>
      </c>
      <c r="V34" s="13">
        <v>21.99</v>
      </c>
      <c r="W34" s="13">
        <v>7.8</v>
      </c>
      <c r="X34" s="13">
        <v>50.63</v>
      </c>
      <c r="Y34" s="13">
        <v>19.56</v>
      </c>
      <c r="Z34" s="10">
        <v>104</v>
      </c>
      <c r="AA34" s="13">
        <f>AH34/S34</f>
      </c>
      <c r="AB34" s="13">
        <v>0.89</v>
      </c>
      <c r="AC34" s="13">
        <v>3.83</v>
      </c>
      <c r="AD34" s="7" t="s">
        <v>65</v>
      </c>
      <c r="AE34" s="13">
        <v>1.68</v>
      </c>
      <c r="AF34" s="13">
        <f>0.69+1.39</f>
      </c>
      <c r="AG34" s="10">
        <v>22</v>
      </c>
      <c r="AH34" s="10">
        <v>1</v>
      </c>
      <c r="AI34" s="10">
        <v>7</v>
      </c>
      <c r="AJ34" s="10"/>
      <c r="AK34" s="10"/>
      <c r="AL34" s="7"/>
      <c r="AM34" s="10"/>
    </row>
    <row x14ac:dyDescent="0.25" r="35" customHeight="1" ht="18">
      <c r="A35" s="7" t="s">
        <v>198</v>
      </c>
      <c r="B35" s="14" t="s">
        <v>199</v>
      </c>
      <c r="C35" s="8" t="s">
        <v>41</v>
      </c>
      <c r="D35" s="7" t="s">
        <v>42</v>
      </c>
      <c r="E35" s="9">
        <v>18924</v>
      </c>
      <c r="F35" s="10">
        <v>66</v>
      </c>
      <c r="G35" s="7" t="s">
        <v>43</v>
      </c>
      <c r="H35" s="7" t="s">
        <v>170</v>
      </c>
      <c r="I35" s="8"/>
      <c r="J35" s="8"/>
      <c r="K35" s="9">
        <v>43166</v>
      </c>
      <c r="L35" s="8"/>
      <c r="M35" s="11"/>
      <c r="N35" s="10">
        <v>0</v>
      </c>
      <c r="O35" s="8"/>
      <c r="P35" s="11"/>
      <c r="Q35" s="8"/>
      <c r="R35" s="12"/>
      <c r="S35" s="10">
        <v>8</v>
      </c>
      <c r="T35" s="10">
        <f>S35*60</f>
      </c>
      <c r="U35" s="10">
        <v>351</v>
      </c>
      <c r="V35" s="13">
        <v>2.41</v>
      </c>
      <c r="W35" s="13">
        <v>8.67</v>
      </c>
      <c r="X35" s="13">
        <v>79.51</v>
      </c>
      <c r="Y35" s="13">
        <v>9.38</v>
      </c>
      <c r="Z35" s="10">
        <v>346</v>
      </c>
      <c r="AA35" s="13">
        <f>AH35/S35</f>
      </c>
      <c r="AB35" s="13">
        <v>0.78</v>
      </c>
      <c r="AC35" s="13">
        <v>36.52</v>
      </c>
      <c r="AD35" s="7" t="s">
        <v>200</v>
      </c>
      <c r="AE35" s="13">
        <v>89.1</v>
      </c>
      <c r="AF35" s="13">
        <f>7.05*2+28.23</f>
      </c>
      <c r="AG35" s="10">
        <v>42</v>
      </c>
      <c r="AH35" s="10">
        <v>2</v>
      </c>
      <c r="AI35" s="10">
        <v>87</v>
      </c>
      <c r="AJ35" s="10"/>
      <c r="AK35" s="10"/>
      <c r="AL35" s="7"/>
      <c r="AM35" s="10"/>
    </row>
    <row x14ac:dyDescent="0.25" r="36" customHeight="1" ht="18">
      <c r="A36" s="7" t="s">
        <v>201</v>
      </c>
      <c r="B36" s="14" t="s">
        <v>202</v>
      </c>
      <c r="C36" s="8" t="s">
        <v>41</v>
      </c>
      <c r="D36" s="7" t="s">
        <v>60</v>
      </c>
      <c r="E36" s="9">
        <v>19291</v>
      </c>
      <c r="F36" s="10">
        <v>62</v>
      </c>
      <c r="G36" s="7" t="s">
        <v>43</v>
      </c>
      <c r="H36" s="7" t="s">
        <v>170</v>
      </c>
      <c r="I36" s="8"/>
      <c r="J36" s="8"/>
      <c r="K36" s="9">
        <v>42170</v>
      </c>
      <c r="L36" s="8"/>
      <c r="M36" s="12" t="s">
        <v>203</v>
      </c>
      <c r="N36" s="10">
        <v>1</v>
      </c>
      <c r="O36" s="8"/>
      <c r="P36" s="11"/>
      <c r="Q36" s="8"/>
      <c r="R36" s="12"/>
      <c r="S36" s="10">
        <v>10</v>
      </c>
      <c r="T36" s="10">
        <f>S36*60</f>
      </c>
      <c r="U36" s="10">
        <v>380</v>
      </c>
      <c r="V36" s="13">
        <v>2.75</v>
      </c>
      <c r="W36" s="13">
        <v>6.57</v>
      </c>
      <c r="X36" s="13">
        <v>77.26</v>
      </c>
      <c r="Y36" s="13">
        <v>13.4</v>
      </c>
      <c r="Z36" s="10">
        <v>393</v>
      </c>
      <c r="AA36" s="13">
        <f>AH36/S36</f>
      </c>
      <c r="AB36" s="13">
        <v>0.89</v>
      </c>
      <c r="AC36" s="13">
        <v>10.24</v>
      </c>
      <c r="AD36" s="7" t="s">
        <v>204</v>
      </c>
      <c r="AE36" s="13">
        <v>17.97</v>
      </c>
      <c r="AF36" s="13">
        <f>5.71+11.42</f>
      </c>
      <c r="AG36" s="10">
        <v>12</v>
      </c>
      <c r="AH36" s="10">
        <v>1</v>
      </c>
      <c r="AI36" s="10">
        <v>292</v>
      </c>
      <c r="AJ36" s="10"/>
      <c r="AK36" s="10"/>
      <c r="AL36" s="7"/>
      <c r="AM36" s="10"/>
    </row>
    <row x14ac:dyDescent="0.25" r="37" customHeight="1" ht="18">
      <c r="A37" s="7" t="s">
        <v>205</v>
      </c>
      <c r="B37" s="14" t="s">
        <v>206</v>
      </c>
      <c r="C37" s="24"/>
      <c r="D37" s="7" t="s">
        <v>42</v>
      </c>
      <c r="E37" s="9">
        <v>24850</v>
      </c>
      <c r="F37" s="10">
        <v>55</v>
      </c>
      <c r="G37" s="7"/>
      <c r="H37" s="7"/>
      <c r="I37" s="8"/>
      <c r="J37" s="8" t="s">
        <v>207</v>
      </c>
      <c r="K37" s="9">
        <v>45019</v>
      </c>
      <c r="L37" s="8"/>
      <c r="M37" s="12"/>
      <c r="N37" s="10"/>
      <c r="O37" s="14"/>
      <c r="P37" s="12"/>
      <c r="Q37" s="14"/>
      <c r="R37" s="12"/>
      <c r="S37" s="10">
        <v>17</v>
      </c>
      <c r="T37" s="10">
        <f>S37*60</f>
      </c>
      <c r="U37" s="10">
        <v>245</v>
      </c>
      <c r="V37" s="13">
        <v>7.12</v>
      </c>
      <c r="W37" s="13">
        <v>20.97</v>
      </c>
      <c r="X37" s="13">
        <v>71.89</v>
      </c>
      <c r="Y37" s="10">
        <v>0</v>
      </c>
      <c r="Z37" s="10">
        <v>337</v>
      </c>
      <c r="AA37" s="13"/>
      <c r="AB37" s="13">
        <v>65.18</v>
      </c>
      <c r="AC37" s="13">
        <v>9.53</v>
      </c>
      <c r="AD37" s="7"/>
      <c r="AE37" s="13">
        <v>12.7</v>
      </c>
      <c r="AF37" s="10"/>
      <c r="AG37" s="10">
        <v>0</v>
      </c>
      <c r="AH37" s="10"/>
      <c r="AI37" s="10"/>
      <c r="AJ37" s="10"/>
      <c r="AK37" s="10"/>
      <c r="AL37" s="7"/>
      <c r="AM37" s="10"/>
    </row>
    <row x14ac:dyDescent="0.25" r="38" customHeight="1" ht="18">
      <c r="A38" s="26" t="s">
        <v>208</v>
      </c>
      <c r="B38" s="24" t="s">
        <v>209</v>
      </c>
      <c r="C38" s="8" t="s">
        <v>71</v>
      </c>
      <c r="D38" s="7" t="s">
        <v>42</v>
      </c>
      <c r="E38" s="27">
        <v>31200</v>
      </c>
      <c r="F38" s="10">
        <v>37</v>
      </c>
      <c r="G38" s="7" t="s">
        <v>107</v>
      </c>
      <c r="H38" s="7" t="s">
        <v>133</v>
      </c>
      <c r="I38" s="8"/>
      <c r="J38" s="8" t="s">
        <v>210</v>
      </c>
      <c r="K38" s="9">
        <v>44965</v>
      </c>
      <c r="L38" s="8"/>
      <c r="M38" s="12" t="s">
        <v>211</v>
      </c>
      <c r="N38" s="10"/>
      <c r="O38" s="8"/>
      <c r="P38" s="11"/>
      <c r="Q38" s="8"/>
      <c r="R38" s="12"/>
      <c r="S38" s="10">
        <v>77</v>
      </c>
      <c r="T38" s="10">
        <f>S38*60</f>
      </c>
      <c r="U38" s="10">
        <v>422</v>
      </c>
      <c r="V38" s="13">
        <v>18.22</v>
      </c>
      <c r="W38" s="13">
        <v>17.51</v>
      </c>
      <c r="X38" s="13">
        <v>41.77</v>
      </c>
      <c r="Y38" s="13">
        <v>22.48</v>
      </c>
      <c r="Z38" s="10">
        <v>101</v>
      </c>
      <c r="AA38" s="13">
        <f>AH38/S38</f>
      </c>
      <c r="AB38" s="13">
        <v>0.85</v>
      </c>
      <c r="AC38" s="13">
        <v>17.89</v>
      </c>
      <c r="AD38" s="7" t="s">
        <v>57</v>
      </c>
      <c r="AE38" s="13">
        <v>17.04</v>
      </c>
      <c r="AF38" s="13">
        <f>4.67+8.57+1.55+18.7</f>
      </c>
      <c r="AG38" s="10">
        <f>120+4*60+34+53</f>
      </c>
      <c r="AH38" s="10">
        <v>4</v>
      </c>
      <c r="AI38" s="10">
        <v>831</v>
      </c>
      <c r="AJ38" s="10" t="s">
        <v>212</v>
      </c>
      <c r="AK38" s="10">
        <v>5</v>
      </c>
      <c r="AL38" s="7" t="s">
        <v>110</v>
      </c>
      <c r="AM38" s="10"/>
    </row>
    <row x14ac:dyDescent="0.25" r="39" customHeight="1" ht="18">
      <c r="A39" s="7" t="s">
        <v>213</v>
      </c>
      <c r="B39" s="14" t="s">
        <v>214</v>
      </c>
      <c r="C39" s="8" t="s">
        <v>71</v>
      </c>
      <c r="D39" s="7" t="s">
        <v>42</v>
      </c>
      <c r="E39" s="9">
        <v>21650</v>
      </c>
      <c r="F39" s="10">
        <v>63</v>
      </c>
      <c r="G39" s="7" t="s">
        <v>79</v>
      </c>
      <c r="H39" s="7" t="s">
        <v>85</v>
      </c>
      <c r="I39" s="8"/>
      <c r="J39" s="8" t="s">
        <v>155</v>
      </c>
      <c r="K39" s="9">
        <v>45207</v>
      </c>
      <c r="L39" s="8"/>
      <c r="M39" s="11"/>
      <c r="N39" s="10">
        <v>0</v>
      </c>
      <c r="O39" s="14" t="s">
        <v>155</v>
      </c>
      <c r="P39" s="11"/>
      <c r="Q39" s="8"/>
      <c r="R39" s="12" t="s">
        <v>215</v>
      </c>
      <c r="S39" s="10">
        <v>36</v>
      </c>
      <c r="T39" s="10">
        <f>S39*60</f>
      </c>
      <c r="U39" s="10">
        <v>279</v>
      </c>
      <c r="V39" s="13">
        <v>12.9</v>
      </c>
      <c r="W39" s="13">
        <v>15.59</v>
      </c>
      <c r="X39" s="13">
        <v>58.78</v>
      </c>
      <c r="Y39" s="13">
        <v>12.72</v>
      </c>
      <c r="Z39" s="10">
        <v>85</v>
      </c>
      <c r="AA39" s="13">
        <f>AH39/S39</f>
      </c>
      <c r="AB39" s="13">
        <v>0.72</v>
      </c>
      <c r="AC39" s="13">
        <v>7.95</v>
      </c>
      <c r="AD39" s="7" t="s">
        <v>65</v>
      </c>
      <c r="AE39" s="13">
        <v>0.64</v>
      </c>
      <c r="AF39" s="10">
        <v>0</v>
      </c>
      <c r="AG39" s="10">
        <v>0</v>
      </c>
      <c r="AH39" s="10">
        <v>11</v>
      </c>
      <c r="AI39" s="10">
        <v>1047</v>
      </c>
      <c r="AJ39" s="10"/>
      <c r="AK39" s="10"/>
      <c r="AL39" s="7"/>
      <c r="AM39" s="10"/>
    </row>
    <row x14ac:dyDescent="0.25" r="40" customHeight="1" ht="18">
      <c r="A40" s="7" t="s">
        <v>216</v>
      </c>
      <c r="B40" s="14" t="s">
        <v>217</v>
      </c>
      <c r="C40" s="24" t="s">
        <v>71</v>
      </c>
      <c r="D40" s="7" t="s">
        <v>42</v>
      </c>
      <c r="E40" s="9">
        <v>18681</v>
      </c>
      <c r="F40" s="10">
        <v>70</v>
      </c>
      <c r="G40" s="7" t="s">
        <v>79</v>
      </c>
      <c r="H40" s="7" t="s">
        <v>218</v>
      </c>
      <c r="I40" s="8"/>
      <c r="J40" s="8" t="s">
        <v>219</v>
      </c>
      <c r="K40" s="9">
        <v>44435</v>
      </c>
      <c r="L40" s="8"/>
      <c r="M40" s="12" t="s">
        <v>220</v>
      </c>
      <c r="N40" s="10">
        <v>1</v>
      </c>
      <c r="O40" s="14" t="s">
        <v>221</v>
      </c>
      <c r="P40" s="12" t="s">
        <v>222</v>
      </c>
      <c r="Q40" s="14" t="s">
        <v>130</v>
      </c>
      <c r="R40" s="12" t="s">
        <v>223</v>
      </c>
      <c r="S40" s="10">
        <v>25</v>
      </c>
      <c r="T40" s="10">
        <f>S40*60</f>
      </c>
      <c r="U40" s="10">
        <v>174</v>
      </c>
      <c r="V40" s="13">
        <v>14.65</v>
      </c>
      <c r="W40" s="13">
        <v>34.48</v>
      </c>
      <c r="X40" s="13">
        <v>39.08</v>
      </c>
      <c r="Y40" s="13">
        <v>11.78</v>
      </c>
      <c r="Z40" s="10">
        <v>233</v>
      </c>
      <c r="AA40" s="13">
        <f>AH40/S40</f>
      </c>
      <c r="AB40" s="13">
        <v>0.52</v>
      </c>
      <c r="AC40" s="13">
        <v>31.03</v>
      </c>
      <c r="AD40" s="7" t="s">
        <v>57</v>
      </c>
      <c r="AE40" s="13">
        <v>19.31</v>
      </c>
      <c r="AF40" s="13">
        <v>11.76</v>
      </c>
      <c r="AG40" s="10">
        <v>0</v>
      </c>
      <c r="AH40" s="10">
        <v>6</v>
      </c>
      <c r="AI40" s="10">
        <v>370</v>
      </c>
      <c r="AJ40" s="10"/>
      <c r="AK40" s="10"/>
      <c r="AL40" s="7"/>
      <c r="AM40" s="10"/>
    </row>
    <row x14ac:dyDescent="0.25" r="41" customHeight="1" ht="18">
      <c r="A41" s="26" t="s">
        <v>224</v>
      </c>
      <c r="B41" s="24" t="s">
        <v>225</v>
      </c>
      <c r="C41" s="24" t="s">
        <v>71</v>
      </c>
      <c r="D41" s="7" t="s">
        <v>42</v>
      </c>
      <c r="E41" s="27">
        <v>16298</v>
      </c>
      <c r="F41" s="10">
        <v>79</v>
      </c>
      <c r="G41" s="7" t="s">
        <v>79</v>
      </c>
      <c r="H41" s="7" t="s">
        <v>85</v>
      </c>
      <c r="I41" s="8"/>
      <c r="J41" s="8"/>
      <c r="K41" s="9">
        <v>45022</v>
      </c>
      <c r="L41" s="8"/>
      <c r="M41" s="11"/>
      <c r="N41" s="10">
        <v>0</v>
      </c>
      <c r="O41" s="8"/>
      <c r="P41" s="11"/>
      <c r="Q41" s="14" t="s">
        <v>130</v>
      </c>
      <c r="R41" s="12" t="s">
        <v>215</v>
      </c>
      <c r="S41" s="10">
        <v>75</v>
      </c>
      <c r="T41" s="10">
        <f>S41*60</f>
      </c>
      <c r="U41" s="10">
        <v>390</v>
      </c>
      <c r="V41" s="13">
        <v>19.33</v>
      </c>
      <c r="W41" s="13">
        <v>5.37</v>
      </c>
      <c r="X41" s="13">
        <v>60.56</v>
      </c>
      <c r="Y41" s="13">
        <v>14.72</v>
      </c>
      <c r="Z41" s="10">
        <v>88</v>
      </c>
      <c r="AA41" s="13">
        <f>AH41/S41</f>
      </c>
      <c r="AB41" s="13">
        <v>0.9</v>
      </c>
      <c r="AC41" s="13">
        <v>4.91</v>
      </c>
      <c r="AD41" s="7" t="s">
        <v>226</v>
      </c>
      <c r="AE41" s="13">
        <v>6.29</v>
      </c>
      <c r="AF41" s="13">
        <f>3.36+2.24+4.48</f>
      </c>
      <c r="AG41" s="10">
        <f>56+41</f>
      </c>
      <c r="AH41" s="10">
        <v>11</v>
      </c>
      <c r="AI41" s="10">
        <v>306</v>
      </c>
      <c r="AJ41" s="10"/>
      <c r="AK41" s="10"/>
      <c r="AL41" s="7"/>
      <c r="AM41" s="10"/>
    </row>
    <row x14ac:dyDescent="0.25" r="42" customHeight="1" ht="18">
      <c r="A42" s="26" t="s">
        <v>227</v>
      </c>
      <c r="B42" s="14" t="s">
        <v>228</v>
      </c>
      <c r="C42" s="24" t="s">
        <v>71</v>
      </c>
      <c r="D42" s="7" t="s">
        <v>42</v>
      </c>
      <c r="E42" s="9">
        <v>15271</v>
      </c>
      <c r="F42" s="10">
        <v>82</v>
      </c>
      <c r="G42" s="7" t="s">
        <v>79</v>
      </c>
      <c r="H42" s="7" t="s">
        <v>85</v>
      </c>
      <c r="I42" s="8"/>
      <c r="J42" s="8" t="s">
        <v>114</v>
      </c>
      <c r="K42" s="9">
        <v>45030</v>
      </c>
      <c r="L42" s="8"/>
      <c r="M42" s="12" t="s">
        <v>229</v>
      </c>
      <c r="N42" s="10"/>
      <c r="O42" s="8"/>
      <c r="P42" s="11"/>
      <c r="Q42" s="14" t="s">
        <v>130</v>
      </c>
      <c r="R42" s="12" t="s">
        <v>230</v>
      </c>
      <c r="S42" s="10">
        <v>51</v>
      </c>
      <c r="T42" s="10">
        <f>S42*60</f>
      </c>
      <c r="U42" s="10">
        <v>275</v>
      </c>
      <c r="V42" s="13">
        <v>18.54</v>
      </c>
      <c r="W42" s="10">
        <v>10</v>
      </c>
      <c r="X42" s="13">
        <v>59.09</v>
      </c>
      <c r="Y42" s="13">
        <v>12.36</v>
      </c>
      <c r="Z42" s="10">
        <v>178</v>
      </c>
      <c r="AA42" s="13">
        <f>AH42/S42</f>
      </c>
      <c r="AB42" s="13">
        <v>0.75</v>
      </c>
      <c r="AC42" s="13">
        <v>18.98</v>
      </c>
      <c r="AD42" s="7" t="s">
        <v>46</v>
      </c>
      <c r="AE42" s="13">
        <v>10.9</v>
      </c>
      <c r="AF42" s="13">
        <v>5.88</v>
      </c>
      <c r="AG42" s="10">
        <v>0</v>
      </c>
      <c r="AH42" s="10">
        <v>11</v>
      </c>
      <c r="AI42" s="10">
        <v>629</v>
      </c>
      <c r="AJ42" s="10"/>
      <c r="AK42" s="10"/>
      <c r="AL42" s="7"/>
      <c r="AM42" s="10"/>
    </row>
    <row x14ac:dyDescent="0.25" r="43" customHeight="1" ht="18">
      <c r="A43" s="7" t="s">
        <v>231</v>
      </c>
      <c r="B43" s="14" t="s">
        <v>232</v>
      </c>
      <c r="C43" s="24" t="s">
        <v>41</v>
      </c>
      <c r="D43" s="7" t="s">
        <v>42</v>
      </c>
      <c r="E43" s="9">
        <v>26362</v>
      </c>
      <c r="F43" s="10">
        <v>48</v>
      </c>
      <c r="G43" s="7" t="s">
        <v>79</v>
      </c>
      <c r="H43" s="7" t="s">
        <v>85</v>
      </c>
      <c r="I43" s="8"/>
      <c r="J43" s="8"/>
      <c r="K43" s="9">
        <v>44937</v>
      </c>
      <c r="L43" s="8"/>
      <c r="M43" s="11"/>
      <c r="N43" s="10">
        <v>0</v>
      </c>
      <c r="O43" s="14" t="s">
        <v>233</v>
      </c>
      <c r="P43" s="11"/>
      <c r="Q43" s="14" t="s">
        <v>130</v>
      </c>
      <c r="R43" s="12" t="s">
        <v>215</v>
      </c>
      <c r="S43" s="10">
        <v>26</v>
      </c>
      <c r="T43" s="10">
        <f>S43*60</f>
      </c>
      <c r="U43" s="10">
        <v>218</v>
      </c>
      <c r="V43" s="13">
        <v>11.89</v>
      </c>
      <c r="W43" s="13">
        <v>31.8</v>
      </c>
      <c r="X43" s="13">
        <v>42.79</v>
      </c>
      <c r="Y43" s="13">
        <v>13.5</v>
      </c>
      <c r="Z43" s="10">
        <v>259</v>
      </c>
      <c r="AA43" s="13">
        <f>AH43/S43</f>
      </c>
      <c r="AB43" s="13">
        <v>0.56</v>
      </c>
      <c r="AC43" s="13">
        <v>59.58</v>
      </c>
      <c r="AD43" s="7" t="s">
        <v>50</v>
      </c>
      <c r="AE43" s="13">
        <v>75.51</v>
      </c>
      <c r="AF43" s="10">
        <v>0</v>
      </c>
      <c r="AG43" s="10">
        <v>0</v>
      </c>
      <c r="AH43" s="10">
        <v>4</v>
      </c>
      <c r="AI43" s="10">
        <v>95</v>
      </c>
      <c r="AJ43" s="10"/>
      <c r="AK43" s="10"/>
      <c r="AL43" s="7"/>
      <c r="AM43" s="10"/>
    </row>
    <row x14ac:dyDescent="0.25" r="44" customHeight="1" ht="18">
      <c r="A44" s="7" t="s">
        <v>234</v>
      </c>
      <c r="B44" s="14" t="s">
        <v>235</v>
      </c>
      <c r="C44" s="28" t="s">
        <v>71</v>
      </c>
      <c r="D44" s="7" t="s">
        <v>42</v>
      </c>
      <c r="E44" s="9">
        <v>23045</v>
      </c>
      <c r="F44" s="10">
        <v>60</v>
      </c>
      <c r="G44" s="7" t="s">
        <v>79</v>
      </c>
      <c r="H44" s="7" t="s">
        <v>85</v>
      </c>
      <c r="I44" s="8"/>
      <c r="J44" s="8" t="s">
        <v>236</v>
      </c>
      <c r="K44" s="9">
        <v>45092</v>
      </c>
      <c r="L44" s="8"/>
      <c r="M44" s="12" t="s">
        <v>237</v>
      </c>
      <c r="N44" s="10">
        <v>1</v>
      </c>
      <c r="O44" s="8"/>
      <c r="P44" s="12" t="s">
        <v>238</v>
      </c>
      <c r="Q44" s="14" t="s">
        <v>130</v>
      </c>
      <c r="R44" s="12"/>
      <c r="S44" s="10">
        <v>74</v>
      </c>
      <c r="T44" s="10">
        <f>S44*60</f>
      </c>
      <c r="U44" s="10">
        <v>296</v>
      </c>
      <c r="V44" s="13">
        <v>25.16</v>
      </c>
      <c r="W44" s="13">
        <v>5.23</v>
      </c>
      <c r="X44" s="13">
        <v>38.85</v>
      </c>
      <c r="Y44" s="13">
        <v>30.74</v>
      </c>
      <c r="Z44" s="10">
        <v>94</v>
      </c>
      <c r="AA44" s="13">
        <f>AH44/S44</f>
      </c>
      <c r="AB44" s="13">
        <v>0.81</v>
      </c>
      <c r="AC44" s="13">
        <v>21.89</v>
      </c>
      <c r="AD44" s="7" t="s">
        <v>239</v>
      </c>
      <c r="AE44" s="13">
        <v>5.67</v>
      </c>
      <c r="AF44" s="13">
        <f>0.8+8.04</f>
      </c>
      <c r="AG44" s="10">
        <v>15</v>
      </c>
      <c r="AH44" s="10">
        <v>4</v>
      </c>
      <c r="AI44" s="10">
        <v>30</v>
      </c>
      <c r="AJ44" s="10"/>
      <c r="AK44" s="10"/>
      <c r="AL44" s="7"/>
      <c r="AM44" s="10"/>
    </row>
    <row x14ac:dyDescent="0.25" r="45" customHeight="1" ht="18">
      <c r="A45" s="29" t="s">
        <v>240</v>
      </c>
      <c r="B45" s="14" t="s">
        <v>241</v>
      </c>
      <c r="C45" s="24" t="s">
        <v>71</v>
      </c>
      <c r="D45" s="7" t="s">
        <v>42</v>
      </c>
      <c r="E45" s="9">
        <v>26480</v>
      </c>
      <c r="F45" s="10">
        <v>51</v>
      </c>
      <c r="G45" s="7" t="s">
        <v>242</v>
      </c>
      <c r="H45" s="7" t="s">
        <v>243</v>
      </c>
      <c r="I45" s="8"/>
      <c r="J45" s="8"/>
      <c r="K45" s="9">
        <v>44998</v>
      </c>
      <c r="L45" s="8"/>
      <c r="M45" s="12" t="s">
        <v>244</v>
      </c>
      <c r="N45" s="10"/>
      <c r="O45" s="14" t="s">
        <v>245</v>
      </c>
      <c r="P45" s="11"/>
      <c r="Q45" s="14" t="s">
        <v>246</v>
      </c>
      <c r="R45" s="12"/>
      <c r="S45" s="10">
        <v>48</v>
      </c>
      <c r="T45" s="10">
        <f>S45*60</f>
      </c>
      <c r="U45" s="10">
        <v>513</v>
      </c>
      <c r="V45" s="13">
        <v>9.35</v>
      </c>
      <c r="W45" s="13">
        <v>25.24</v>
      </c>
      <c r="X45" s="13">
        <v>52.04</v>
      </c>
      <c r="Y45" s="13">
        <v>13.35</v>
      </c>
      <c r="Z45" s="10">
        <v>112</v>
      </c>
      <c r="AA45" s="13">
        <f>AH45/S45</f>
      </c>
      <c r="AB45" s="13">
        <v>0.71</v>
      </c>
      <c r="AC45" s="13">
        <v>36.95</v>
      </c>
      <c r="AD45" s="7" t="s">
        <v>247</v>
      </c>
      <c r="AE45" s="10">
        <v>44</v>
      </c>
      <c r="AF45" s="11"/>
      <c r="AG45" s="11"/>
      <c r="AH45" s="10">
        <v>10</v>
      </c>
      <c r="AI45" s="10">
        <v>1093</v>
      </c>
      <c r="AJ45" s="10"/>
      <c r="AK45" s="10"/>
      <c r="AL45" s="7"/>
      <c r="AM45" s="10"/>
    </row>
    <row x14ac:dyDescent="0.25" r="46" customHeight="1" ht="18">
      <c r="A46" s="16" t="s">
        <v>248</v>
      </c>
      <c r="B46" s="14" t="s">
        <v>249</v>
      </c>
      <c r="C46" s="24" t="s">
        <v>71</v>
      </c>
      <c r="D46" s="7" t="s">
        <v>60</v>
      </c>
      <c r="E46" s="9">
        <v>23426</v>
      </c>
      <c r="F46" s="10">
        <v>59</v>
      </c>
      <c r="G46" s="7" t="s">
        <v>43</v>
      </c>
      <c r="H46" s="7" t="s">
        <v>54</v>
      </c>
      <c r="I46" s="8"/>
      <c r="J46" s="8" t="s">
        <v>250</v>
      </c>
      <c r="K46" s="9">
        <v>45043</v>
      </c>
      <c r="L46" s="8"/>
      <c r="M46" s="12" t="s">
        <v>251</v>
      </c>
      <c r="N46" s="10"/>
      <c r="O46" s="8"/>
      <c r="P46" s="11"/>
      <c r="Q46" s="8"/>
      <c r="R46" s="12"/>
      <c r="S46" s="10">
        <v>92</v>
      </c>
      <c r="T46" s="10">
        <f>S46*60</f>
      </c>
      <c r="U46" s="10">
        <v>392</v>
      </c>
      <c r="V46" s="13">
        <v>23.59</v>
      </c>
      <c r="W46" s="13">
        <v>11.35</v>
      </c>
      <c r="X46" s="13">
        <v>45.28</v>
      </c>
      <c r="Y46" s="13">
        <v>19.77</v>
      </c>
      <c r="Z46" s="10">
        <v>262</v>
      </c>
      <c r="AA46" s="13">
        <f>AH46/S46</f>
      </c>
      <c r="AB46" s="13">
        <v>0.81</v>
      </c>
      <c r="AC46" s="13">
        <v>15.61</v>
      </c>
      <c r="AD46" s="7" t="s">
        <v>252</v>
      </c>
      <c r="AE46" s="13">
        <v>38.87</v>
      </c>
      <c r="AF46" s="13">
        <f>0.64+2.59+2.59+1.94+34.37</f>
      </c>
      <c r="AG46" s="10">
        <f>54+60+44</f>
      </c>
      <c r="AH46" s="10">
        <v>25</v>
      </c>
      <c r="AI46" s="10">
        <v>1404</v>
      </c>
      <c r="AJ46" s="10"/>
      <c r="AK46" s="10"/>
      <c r="AL46" s="7"/>
      <c r="AM46" s="10"/>
    </row>
    <row x14ac:dyDescent="0.25" r="47" customHeight="1" ht="18">
      <c r="A47" s="7" t="s">
        <v>253</v>
      </c>
      <c r="B47" s="14" t="s">
        <v>254</v>
      </c>
      <c r="C47" s="24" t="s">
        <v>41</v>
      </c>
      <c r="D47" s="7" t="s">
        <v>60</v>
      </c>
      <c r="E47" s="9">
        <v>19866</v>
      </c>
      <c r="F47" s="10">
        <v>68</v>
      </c>
      <c r="G47" s="7" t="s">
        <v>79</v>
      </c>
      <c r="H47" s="7" t="s">
        <v>85</v>
      </c>
      <c r="I47" s="8"/>
      <c r="J47" s="8" t="s">
        <v>255</v>
      </c>
      <c r="K47" s="9">
        <v>45044</v>
      </c>
      <c r="L47" s="8"/>
      <c r="M47" s="12" t="s">
        <v>256</v>
      </c>
      <c r="N47" s="10">
        <v>1</v>
      </c>
      <c r="O47" s="8"/>
      <c r="P47" s="12" t="s">
        <v>238</v>
      </c>
      <c r="Q47" s="8"/>
      <c r="R47" s="12" t="s">
        <v>215</v>
      </c>
      <c r="S47" s="10">
        <v>50</v>
      </c>
      <c r="T47" s="10">
        <f>S47*60</f>
      </c>
      <c r="U47" s="10">
        <v>385</v>
      </c>
      <c r="V47" s="13">
        <v>12.97</v>
      </c>
      <c r="W47" s="13">
        <v>25.55</v>
      </c>
      <c r="X47" s="13">
        <v>47.34</v>
      </c>
      <c r="Y47" s="13">
        <v>14.13</v>
      </c>
      <c r="Z47" s="10">
        <v>385</v>
      </c>
      <c r="AA47" s="13">
        <f>AH47/S47</f>
      </c>
      <c r="AB47" s="13">
        <v>0.78</v>
      </c>
      <c r="AC47" s="13">
        <v>46.07</v>
      </c>
      <c r="AD47" s="7" t="s">
        <v>252</v>
      </c>
      <c r="AE47" s="13">
        <v>56.8</v>
      </c>
      <c r="AF47" s="13">
        <f>2.4+4.8+19.2</f>
      </c>
      <c r="AG47" s="10">
        <f>33+10+60</f>
      </c>
      <c r="AH47" s="10">
        <v>1</v>
      </c>
      <c r="AI47" s="10">
        <v>25</v>
      </c>
      <c r="AJ47" s="10"/>
      <c r="AK47" s="10"/>
      <c r="AL47" s="7"/>
      <c r="AM47" s="10"/>
    </row>
    <row x14ac:dyDescent="0.25" r="48" customHeight="1" ht="18">
      <c r="A48" s="7" t="s">
        <v>257</v>
      </c>
      <c r="B48" s="14" t="s">
        <v>258</v>
      </c>
      <c r="C48" s="24"/>
      <c r="D48" s="7" t="s">
        <v>42</v>
      </c>
      <c r="E48" s="9">
        <v>18578</v>
      </c>
      <c r="F48" s="10">
        <v>72</v>
      </c>
      <c r="G48" s="7"/>
      <c r="H48" s="7"/>
      <c r="I48" s="8"/>
      <c r="J48" s="8" t="s">
        <v>259</v>
      </c>
      <c r="K48" s="9">
        <v>45061</v>
      </c>
      <c r="L48" s="8"/>
      <c r="M48" s="12"/>
      <c r="N48" s="10"/>
      <c r="O48" s="14"/>
      <c r="P48" s="12"/>
      <c r="Q48" s="14"/>
      <c r="R48" s="12"/>
      <c r="S48" s="10">
        <v>58</v>
      </c>
      <c r="T48" s="10">
        <f>58*60</f>
      </c>
      <c r="U48" s="10">
        <v>290</v>
      </c>
      <c r="V48" s="13">
        <v>19.96</v>
      </c>
      <c r="W48" s="13">
        <v>17.21</v>
      </c>
      <c r="X48" s="13">
        <v>52.32</v>
      </c>
      <c r="Y48" s="13">
        <v>10.49</v>
      </c>
      <c r="Z48" s="10">
        <v>116</v>
      </c>
      <c r="AA48" s="13"/>
      <c r="AB48" s="13">
        <v>0.67</v>
      </c>
      <c r="AC48" s="13">
        <v>30.77</v>
      </c>
      <c r="AD48" s="7" t="s">
        <v>260</v>
      </c>
      <c r="AE48" s="13">
        <v>14.25</v>
      </c>
      <c r="AF48" s="13">
        <v>24.82</v>
      </c>
      <c r="AG48" s="10">
        <v>0</v>
      </c>
      <c r="AH48" s="10"/>
      <c r="AI48" s="10"/>
      <c r="AJ48" s="10"/>
      <c r="AK48" s="10"/>
      <c r="AL48" s="7"/>
      <c r="AM48" s="10"/>
    </row>
    <row x14ac:dyDescent="0.25" r="49" customHeight="1" ht="18">
      <c r="A49" s="7" t="s">
        <v>261</v>
      </c>
      <c r="B49" s="14" t="s">
        <v>262</v>
      </c>
      <c r="C49" s="14" t="s">
        <v>41</v>
      </c>
      <c r="D49" s="7" t="s">
        <v>60</v>
      </c>
      <c r="E49" s="9">
        <v>39708</v>
      </c>
      <c r="F49" s="10">
        <v>14</v>
      </c>
      <c r="G49" s="7" t="s">
        <v>79</v>
      </c>
      <c r="H49" s="7" t="s">
        <v>85</v>
      </c>
      <c r="I49" s="8"/>
      <c r="J49" s="8" t="s">
        <v>263</v>
      </c>
      <c r="K49" s="9">
        <v>45080</v>
      </c>
      <c r="L49" s="8"/>
      <c r="M49" s="11"/>
      <c r="N49" s="10">
        <v>0</v>
      </c>
      <c r="O49" s="8"/>
      <c r="P49" s="11"/>
      <c r="Q49" s="8"/>
      <c r="R49" s="12">
        <v>0</v>
      </c>
      <c r="S49" s="10">
        <v>66</v>
      </c>
      <c r="T49" s="10">
        <f>S49*60</f>
      </c>
      <c r="U49" s="10">
        <v>431</v>
      </c>
      <c r="V49" s="13">
        <v>15.41</v>
      </c>
      <c r="W49" s="13">
        <v>4.4</v>
      </c>
      <c r="X49" s="13">
        <v>55.38</v>
      </c>
      <c r="Y49" s="13">
        <v>24.79</v>
      </c>
      <c r="Z49" s="10">
        <v>77</v>
      </c>
      <c r="AA49" s="13">
        <f>AH49/S49</f>
      </c>
      <c r="AB49" s="13">
        <v>0.94</v>
      </c>
      <c r="AC49" s="13">
        <v>7.23</v>
      </c>
      <c r="AD49" s="7" t="s">
        <v>264</v>
      </c>
      <c r="AE49" s="13">
        <v>4.86</v>
      </c>
      <c r="AF49" s="13">
        <f>3.6+0.9+4.51+4.51+0.9</f>
      </c>
      <c r="AG49" s="11"/>
      <c r="AH49" s="10">
        <v>2</v>
      </c>
      <c r="AI49" s="10">
        <v>20</v>
      </c>
      <c r="AJ49" s="10"/>
      <c r="AK49" s="10"/>
      <c r="AL49" s="7"/>
      <c r="AM49" s="10"/>
    </row>
    <row x14ac:dyDescent="0.25" r="50" customHeight="1" ht="18">
      <c r="A50" s="7" t="s">
        <v>265</v>
      </c>
      <c r="B50" s="14" t="s">
        <v>266</v>
      </c>
      <c r="C50" s="14"/>
      <c r="D50" s="7" t="s">
        <v>60</v>
      </c>
      <c r="E50" s="9">
        <v>16675</v>
      </c>
      <c r="F50" s="10">
        <v>77</v>
      </c>
      <c r="G50" s="7"/>
      <c r="H50" s="7"/>
      <c r="I50" s="8"/>
      <c r="J50" s="8" t="s">
        <v>267</v>
      </c>
      <c r="K50" s="9">
        <v>45126</v>
      </c>
      <c r="L50" s="8"/>
      <c r="M50" s="12"/>
      <c r="N50" s="10"/>
      <c r="O50" s="14"/>
      <c r="P50" s="12"/>
      <c r="Q50" s="14"/>
      <c r="R50" s="12"/>
      <c r="S50" s="10">
        <v>38</v>
      </c>
      <c r="T50" s="10">
        <f>38*60</f>
      </c>
      <c r="U50" s="10">
        <v>255</v>
      </c>
      <c r="V50" s="13">
        <v>14.9</v>
      </c>
      <c r="W50" s="13">
        <v>15.49</v>
      </c>
      <c r="X50" s="13">
        <v>58.82</v>
      </c>
      <c r="Y50" s="13">
        <v>10.78</v>
      </c>
      <c r="Z50" s="10">
        <v>370</v>
      </c>
      <c r="AA50" s="13"/>
      <c r="AB50" s="13">
        <v>0.78</v>
      </c>
      <c r="AC50" s="13">
        <v>44.23</v>
      </c>
      <c r="AD50" s="7" t="s">
        <v>183</v>
      </c>
      <c r="AE50" s="13">
        <v>38.82</v>
      </c>
      <c r="AF50" s="13">
        <f>6.31+33.15</f>
      </c>
      <c r="AG50" s="10">
        <v>47</v>
      </c>
      <c r="AH50" s="10"/>
      <c r="AI50" s="10"/>
      <c r="AJ50" s="10"/>
      <c r="AK50" s="10"/>
      <c r="AL50" s="7"/>
      <c r="AM50" s="10"/>
    </row>
    <row x14ac:dyDescent="0.25" r="51" customHeight="1" ht="18">
      <c r="A51" s="7" t="s">
        <v>268</v>
      </c>
      <c r="B51" s="14" t="s">
        <v>269</v>
      </c>
      <c r="C51" s="14" t="s">
        <v>41</v>
      </c>
      <c r="D51" s="7" t="s">
        <v>42</v>
      </c>
      <c r="E51" s="9">
        <v>26500</v>
      </c>
      <c r="F51" s="10">
        <v>51</v>
      </c>
      <c r="G51" s="7" t="s">
        <v>79</v>
      </c>
      <c r="H51" s="7" t="s">
        <v>85</v>
      </c>
      <c r="I51" s="8"/>
      <c r="J51" s="8" t="s">
        <v>270</v>
      </c>
      <c r="K51" s="9">
        <v>45164</v>
      </c>
      <c r="L51" s="8"/>
      <c r="M51" s="11"/>
      <c r="N51" s="10"/>
      <c r="O51" s="8"/>
      <c r="P51" s="11"/>
      <c r="Q51" s="14" t="s">
        <v>223</v>
      </c>
      <c r="R51" s="12"/>
      <c r="S51" s="10">
        <v>65</v>
      </c>
      <c r="T51" s="10">
        <f>S51*60</f>
      </c>
      <c r="U51" s="10">
        <v>365</v>
      </c>
      <c r="V51" s="13">
        <v>17.8</v>
      </c>
      <c r="W51" s="13">
        <v>11.09</v>
      </c>
      <c r="X51" s="13">
        <v>44.1</v>
      </c>
      <c r="Y51" s="13">
        <v>24.1</v>
      </c>
      <c r="Z51" s="10">
        <v>114</v>
      </c>
      <c r="AA51" s="13">
        <f>AH51/S51</f>
      </c>
      <c r="AB51" s="13">
        <v>0.83</v>
      </c>
      <c r="AC51" s="13">
        <v>31.56</v>
      </c>
      <c r="AD51" s="7" t="s">
        <v>247</v>
      </c>
      <c r="AE51" s="13">
        <v>24.32</v>
      </c>
      <c r="AF51" s="13">
        <f>11.07+14.76+7.38+32.3</f>
      </c>
      <c r="AG51" s="10">
        <f>4*60+38+7*60+10+3*60+2</f>
      </c>
      <c r="AH51" s="10">
        <v>1</v>
      </c>
      <c r="AI51" s="10">
        <v>6</v>
      </c>
      <c r="AJ51" s="10"/>
      <c r="AK51" s="10"/>
      <c r="AL51" s="7"/>
      <c r="AM51" s="10"/>
    </row>
    <row x14ac:dyDescent="0.25" r="52" customHeight="1" ht="18">
      <c r="A52" s="26" t="s">
        <v>271</v>
      </c>
      <c r="B52" s="14" t="s">
        <v>272</v>
      </c>
      <c r="C52" s="14" t="s">
        <v>41</v>
      </c>
      <c r="D52" s="7" t="s">
        <v>60</v>
      </c>
      <c r="E52" s="27">
        <v>37933</v>
      </c>
      <c r="F52" s="10">
        <v>20</v>
      </c>
      <c r="G52" s="7" t="s">
        <v>107</v>
      </c>
      <c r="H52" s="7" t="s">
        <v>133</v>
      </c>
      <c r="I52" s="8"/>
      <c r="J52" s="8" t="s">
        <v>273</v>
      </c>
      <c r="K52" s="9">
        <v>45237</v>
      </c>
      <c r="L52" s="8"/>
      <c r="M52" s="11"/>
      <c r="N52" s="10">
        <v>0</v>
      </c>
      <c r="O52" s="8"/>
      <c r="P52" s="11"/>
      <c r="Q52" s="8"/>
      <c r="R52" s="12"/>
      <c r="S52" s="10">
        <v>138</v>
      </c>
      <c r="T52" s="10">
        <f>S52*60</f>
      </c>
      <c r="U52" s="10">
        <v>371</v>
      </c>
      <c r="V52" s="13">
        <v>37.14</v>
      </c>
      <c r="W52" s="13">
        <v>7.67</v>
      </c>
      <c r="X52" s="13">
        <v>29.74</v>
      </c>
      <c r="Y52" s="13">
        <v>25.43</v>
      </c>
      <c r="Z52" s="10">
        <v>1</v>
      </c>
      <c r="AA52" s="13">
        <f>AH52/S52</f>
      </c>
      <c r="AB52" s="13">
        <v>0.86</v>
      </c>
      <c r="AC52" s="13">
        <v>31.65</v>
      </c>
      <c r="AD52" s="7" t="s">
        <v>274</v>
      </c>
      <c r="AE52" s="13">
        <v>12.75</v>
      </c>
      <c r="AF52" s="13">
        <f>0+2.17+0.86+14.77</f>
      </c>
      <c r="AG52" s="10">
        <f>59+24</f>
      </c>
      <c r="AH52" s="10">
        <v>2</v>
      </c>
      <c r="AI52" s="10">
        <v>51</v>
      </c>
      <c r="AJ52" s="10">
        <v>0.8</v>
      </c>
      <c r="AK52" s="10">
        <v>5</v>
      </c>
      <c r="AL52" s="7" t="s">
        <v>110</v>
      </c>
      <c r="AM52" s="10" t="s">
        <v>275</v>
      </c>
    </row>
    <row x14ac:dyDescent="0.25" r="53" customHeight="1" ht="13.800000000000002">
      <c r="A53" s="26" t="s">
        <v>276</v>
      </c>
      <c r="B53" s="24" t="s">
        <v>277</v>
      </c>
      <c r="C53" s="24" t="s">
        <v>41</v>
      </c>
      <c r="D53" s="7" t="s">
        <v>42</v>
      </c>
      <c r="E53" s="27">
        <v>26240</v>
      </c>
      <c r="F53" s="10">
        <v>52</v>
      </c>
      <c r="G53" s="7" t="s">
        <v>79</v>
      </c>
      <c r="H53" s="7" t="s">
        <v>85</v>
      </c>
      <c r="I53" s="8"/>
      <c r="J53" s="8" t="s">
        <v>259</v>
      </c>
      <c r="K53" s="9">
        <v>45024</v>
      </c>
      <c r="L53" s="8"/>
      <c r="M53" s="12" t="s">
        <v>278</v>
      </c>
      <c r="N53" s="10">
        <v>1</v>
      </c>
      <c r="O53" s="8"/>
      <c r="P53" s="11"/>
      <c r="Q53" s="14" t="s">
        <v>130</v>
      </c>
      <c r="R53" s="12" t="s">
        <v>215</v>
      </c>
      <c r="S53" s="10">
        <v>27</v>
      </c>
      <c r="T53" s="10">
        <f>S53*60</f>
      </c>
      <c r="U53" s="10">
        <v>313</v>
      </c>
      <c r="V53" s="13">
        <v>8.77</v>
      </c>
      <c r="W53" s="13">
        <v>12.91</v>
      </c>
      <c r="X53" s="13">
        <v>69.21</v>
      </c>
      <c r="Y53" s="13">
        <v>9.09</v>
      </c>
      <c r="Z53" s="10">
        <v>143</v>
      </c>
      <c r="AA53" s="13">
        <f>AH53/S53</f>
      </c>
      <c r="AB53" s="13">
        <v>0.9</v>
      </c>
      <c r="AC53" s="13">
        <v>38.08</v>
      </c>
      <c r="AD53" s="7" t="s">
        <v>279</v>
      </c>
      <c r="AE53" s="13">
        <v>33.3</v>
      </c>
      <c r="AF53" s="13">
        <v>8.72</v>
      </c>
      <c r="AG53" s="10">
        <v>0</v>
      </c>
      <c r="AH53" s="10">
        <v>2</v>
      </c>
      <c r="AI53" s="10">
        <v>21</v>
      </c>
      <c r="AJ53" s="10"/>
      <c r="AK53" s="10"/>
      <c r="AL53" s="7"/>
      <c r="AM53" s="10"/>
    </row>
    <row x14ac:dyDescent="0.25" r="54" customHeight="1" ht="18">
      <c r="A54" s="30" t="s">
        <v>280</v>
      </c>
      <c r="B54" s="24" t="s">
        <v>281</v>
      </c>
      <c r="C54" s="24" t="s">
        <v>71</v>
      </c>
      <c r="D54" s="7" t="s">
        <v>42</v>
      </c>
      <c r="E54" s="27">
        <v>18549</v>
      </c>
      <c r="F54" s="10">
        <v>72</v>
      </c>
      <c r="G54" s="7" t="s">
        <v>242</v>
      </c>
      <c r="H54" s="7" t="s">
        <v>282</v>
      </c>
      <c r="I54" s="8"/>
      <c r="J54" s="8" t="s">
        <v>283</v>
      </c>
      <c r="K54" s="9">
        <v>44673</v>
      </c>
      <c r="L54" s="8"/>
      <c r="M54" s="12" t="s">
        <v>284</v>
      </c>
      <c r="N54" s="10">
        <v>0</v>
      </c>
      <c r="O54" s="8"/>
      <c r="P54" s="11"/>
      <c r="Q54" s="14" t="s">
        <v>285</v>
      </c>
      <c r="R54" s="12"/>
      <c r="S54" s="10">
        <v>40</v>
      </c>
      <c r="T54" s="10">
        <f>S54*60</f>
      </c>
      <c r="U54" s="10">
        <v>455</v>
      </c>
      <c r="V54" s="13">
        <v>8.89</v>
      </c>
      <c r="W54" s="13">
        <v>6.47</v>
      </c>
      <c r="X54" s="13">
        <v>77.71</v>
      </c>
      <c r="Y54" s="13">
        <v>6.91</v>
      </c>
      <c r="Z54" s="10">
        <v>336</v>
      </c>
      <c r="AA54" s="13">
        <f>AH54/S54</f>
      </c>
      <c r="AB54" s="13">
        <v>0.9</v>
      </c>
      <c r="AC54" s="13">
        <v>32.93</v>
      </c>
      <c r="AD54" s="7" t="s">
        <v>286</v>
      </c>
      <c r="AE54" s="13">
        <v>79.95</v>
      </c>
      <c r="AF54" s="13">
        <f>41.48+2.96</f>
      </c>
      <c r="AG54" s="10">
        <v>42</v>
      </c>
      <c r="AH54" s="10">
        <v>6</v>
      </c>
      <c r="AI54" s="10">
        <v>256</v>
      </c>
      <c r="AJ54" s="10"/>
      <c r="AK54" s="10"/>
      <c r="AL54" s="7"/>
      <c r="AM54" s="10"/>
    </row>
    <row x14ac:dyDescent="0.25" r="55" customHeight="1" ht="18">
      <c r="A55" s="26" t="s">
        <v>287</v>
      </c>
      <c r="B55" s="8" t="s">
        <v>288</v>
      </c>
      <c r="C55" s="14" t="s">
        <v>71</v>
      </c>
      <c r="D55" s="7" t="s">
        <v>60</v>
      </c>
      <c r="E55" s="9">
        <v>15571</v>
      </c>
      <c r="F55" s="10">
        <v>81</v>
      </c>
      <c r="G55" s="7" t="s">
        <v>43</v>
      </c>
      <c r="H55" s="7" t="s">
        <v>289</v>
      </c>
      <c r="I55" s="8"/>
      <c r="J55" s="8" t="s">
        <v>290</v>
      </c>
      <c r="K55" s="9">
        <v>45162</v>
      </c>
      <c r="L55" s="8"/>
      <c r="M55" s="11"/>
      <c r="N55" s="10">
        <v>0</v>
      </c>
      <c r="O55" s="14" t="s">
        <v>291</v>
      </c>
      <c r="P55" s="11"/>
      <c r="Q55" s="8"/>
      <c r="R55" s="12" t="s">
        <v>215</v>
      </c>
      <c r="S55" s="10">
        <v>31</v>
      </c>
      <c r="T55" s="10">
        <f>S55*60</f>
      </c>
      <c r="U55" s="10">
        <v>249</v>
      </c>
      <c r="V55" s="13">
        <v>12.44</v>
      </c>
      <c r="W55" s="13">
        <v>11.24</v>
      </c>
      <c r="X55" s="13">
        <v>43.97</v>
      </c>
      <c r="Y55" s="13">
        <v>32.32</v>
      </c>
      <c r="Z55" s="10">
        <v>158</v>
      </c>
      <c r="AA55" s="13">
        <f>AH55/S55</f>
      </c>
      <c r="AB55" s="13">
        <v>0.64</v>
      </c>
      <c r="AC55" s="13">
        <v>8.91</v>
      </c>
      <c r="AD55" s="7" t="s">
        <v>65</v>
      </c>
      <c r="AE55" s="13">
        <v>0.96</v>
      </c>
      <c r="AF55" s="10">
        <v>0</v>
      </c>
      <c r="AG55" s="10">
        <v>0</v>
      </c>
      <c r="AH55" s="10">
        <v>3</v>
      </c>
      <c r="AI55" s="10">
        <v>30</v>
      </c>
      <c r="AJ55" s="10"/>
      <c r="AK55" s="10"/>
      <c r="AL55" s="7"/>
      <c r="AM55" s="10"/>
    </row>
    <row x14ac:dyDescent="0.25" r="56" customHeight="1" ht="18">
      <c r="A56" s="30" t="s">
        <v>292</v>
      </c>
      <c r="B56" s="8" t="s">
        <v>293</v>
      </c>
      <c r="C56" s="14" t="s">
        <v>71</v>
      </c>
      <c r="D56" s="7" t="s">
        <v>60</v>
      </c>
      <c r="E56" s="27">
        <v>40882</v>
      </c>
      <c r="F56" s="10">
        <v>12</v>
      </c>
      <c r="G56" s="7" t="s">
        <v>107</v>
      </c>
      <c r="H56" s="7" t="s">
        <v>133</v>
      </c>
      <c r="I56" s="8"/>
      <c r="J56" s="8" t="s">
        <v>109</v>
      </c>
      <c r="K56" s="9">
        <v>45252</v>
      </c>
      <c r="L56" s="8"/>
      <c r="M56" s="11"/>
      <c r="N56" s="10">
        <v>0</v>
      </c>
      <c r="O56" s="8"/>
      <c r="P56" s="11"/>
      <c r="Q56" s="8"/>
      <c r="R56" s="12"/>
      <c r="S56" s="10">
        <v>195</v>
      </c>
      <c r="T56" s="10">
        <f>S56*60</f>
      </c>
      <c r="U56" s="10">
        <v>523</v>
      </c>
      <c r="V56" s="13">
        <v>37.38</v>
      </c>
      <c r="W56" s="13">
        <v>22.46</v>
      </c>
      <c r="X56" s="13">
        <v>19.31</v>
      </c>
      <c r="Y56" s="13">
        <v>20.84</v>
      </c>
      <c r="Z56" s="10">
        <v>66</v>
      </c>
      <c r="AA56" s="13">
        <f>AH56/S56</f>
      </c>
      <c r="AB56" s="13">
        <v>0.86</v>
      </c>
      <c r="AC56" s="13">
        <v>4.81</v>
      </c>
      <c r="AD56" s="7" t="s">
        <v>274</v>
      </c>
      <c r="AE56" s="13">
        <v>2.39</v>
      </c>
      <c r="AF56" s="11"/>
      <c r="AG56" s="11"/>
      <c r="AH56" s="10">
        <v>3</v>
      </c>
      <c r="AI56" s="10">
        <v>0</v>
      </c>
      <c r="AJ56" s="10">
        <v>1</v>
      </c>
      <c r="AK56" s="10">
        <v>4</v>
      </c>
      <c r="AL56" s="7" t="s">
        <v>110</v>
      </c>
      <c r="AM56" s="10" t="s">
        <v>275</v>
      </c>
    </row>
    <row x14ac:dyDescent="0.25" r="57" customHeight="1" ht="18">
      <c r="A57" s="26" t="s">
        <v>294</v>
      </c>
      <c r="B57" s="24" t="s">
        <v>295</v>
      </c>
      <c r="C57" s="24" t="s">
        <v>71</v>
      </c>
      <c r="D57" s="7" t="s">
        <v>42</v>
      </c>
      <c r="E57" s="27">
        <v>22311</v>
      </c>
      <c r="F57" s="10">
        <v>62</v>
      </c>
      <c r="G57" s="7" t="s">
        <v>79</v>
      </c>
      <c r="H57" s="7" t="s">
        <v>85</v>
      </c>
      <c r="I57" s="8"/>
      <c r="J57" s="8" t="s">
        <v>296</v>
      </c>
      <c r="K57" s="9">
        <v>45259</v>
      </c>
      <c r="L57" s="8"/>
      <c r="M57" s="12" t="s">
        <v>297</v>
      </c>
      <c r="N57" s="10">
        <v>1</v>
      </c>
      <c r="O57" s="8"/>
      <c r="P57" s="12" t="s">
        <v>238</v>
      </c>
      <c r="Q57" s="14" t="s">
        <v>130</v>
      </c>
      <c r="R57" s="12" t="s">
        <v>215</v>
      </c>
      <c r="S57" s="10">
        <v>59</v>
      </c>
      <c r="T57" s="10">
        <f>S57*60</f>
      </c>
      <c r="U57" s="10">
        <v>370</v>
      </c>
      <c r="V57" s="13">
        <v>15.92</v>
      </c>
      <c r="W57" s="13">
        <v>4.18</v>
      </c>
      <c r="X57" s="13">
        <v>43.31</v>
      </c>
      <c r="Y57" s="13">
        <v>36.57</v>
      </c>
      <c r="Z57" s="10">
        <v>295</v>
      </c>
      <c r="AA57" s="13">
        <f>AH57/S57</f>
      </c>
      <c r="AB57" s="13">
        <v>0.93</v>
      </c>
      <c r="AC57" s="13">
        <v>12.3</v>
      </c>
      <c r="AD57" s="7" t="s">
        <v>298</v>
      </c>
      <c r="AE57" s="13">
        <v>3.23</v>
      </c>
      <c r="AF57" s="13">
        <f>1.01+1.01+5.08</f>
      </c>
      <c r="AG57" s="10">
        <f>10+14</f>
      </c>
      <c r="AH57" s="10">
        <v>2</v>
      </c>
      <c r="AI57" s="10">
        <v>56</v>
      </c>
      <c r="AJ57" s="10"/>
      <c r="AK57" s="10"/>
      <c r="AL57" s="7"/>
      <c r="AM57" s="10"/>
    </row>
    <row x14ac:dyDescent="0.25" r="58" customHeight="1" ht="18">
      <c r="A58" s="26" t="s">
        <v>299</v>
      </c>
      <c r="B58" s="24" t="s">
        <v>300</v>
      </c>
      <c r="C58" s="24" t="s">
        <v>71</v>
      </c>
      <c r="D58" s="7" t="s">
        <v>42</v>
      </c>
      <c r="E58" s="27">
        <v>30061</v>
      </c>
      <c r="F58" s="10">
        <v>41</v>
      </c>
      <c r="G58" s="7" t="s">
        <v>79</v>
      </c>
      <c r="H58" s="7" t="s">
        <v>301</v>
      </c>
      <c r="I58" s="8"/>
      <c r="J58" s="8" t="s">
        <v>302</v>
      </c>
      <c r="K58" s="9">
        <v>45260</v>
      </c>
      <c r="L58" s="8"/>
      <c r="M58" s="12" t="s">
        <v>303</v>
      </c>
      <c r="N58" s="10">
        <v>1</v>
      </c>
      <c r="O58" s="8"/>
      <c r="P58" s="12" t="s">
        <v>304</v>
      </c>
      <c r="Q58" s="14" t="s">
        <v>130</v>
      </c>
      <c r="R58" s="12"/>
      <c r="S58" s="10">
        <v>68</v>
      </c>
      <c r="T58" s="10">
        <f>S58*60</f>
      </c>
      <c r="U58" s="10">
        <v>322</v>
      </c>
      <c r="V58" s="13">
        <v>21.08</v>
      </c>
      <c r="W58" s="13">
        <v>17.36</v>
      </c>
      <c r="X58" s="13">
        <v>47.59</v>
      </c>
      <c r="Y58" s="13">
        <v>13.95</v>
      </c>
      <c r="Z58" s="10">
        <v>126</v>
      </c>
      <c r="AA58" s="13">
        <f>AH58/S58</f>
      </c>
      <c r="AB58" s="13">
        <v>0.84</v>
      </c>
      <c r="AC58" s="13">
        <v>30.51</v>
      </c>
      <c r="AD58" s="7" t="s">
        <v>305</v>
      </c>
      <c r="AE58" s="13">
        <v>24.74</v>
      </c>
      <c r="AF58" s="13">
        <f>0.88+9.7</f>
      </c>
      <c r="AG58" s="10">
        <v>16</v>
      </c>
      <c r="AH58" s="10">
        <v>6</v>
      </c>
      <c r="AI58" s="10">
        <v>187</v>
      </c>
      <c r="AJ58" s="10"/>
      <c r="AK58" s="10"/>
      <c r="AL58" s="7"/>
      <c r="AM58" s="10"/>
    </row>
    <row x14ac:dyDescent="0.25" r="59" customHeight="1" ht="18">
      <c r="A59" s="26" t="s">
        <v>306</v>
      </c>
      <c r="B59" s="24" t="s">
        <v>307</v>
      </c>
      <c r="C59" s="24" t="s">
        <v>71</v>
      </c>
      <c r="D59" s="7" t="s">
        <v>60</v>
      </c>
      <c r="E59" s="27">
        <v>21910</v>
      </c>
      <c r="F59" s="10">
        <v>64</v>
      </c>
      <c r="G59" s="7" t="s">
        <v>79</v>
      </c>
      <c r="H59" s="7" t="s">
        <v>308</v>
      </c>
      <c r="I59" s="8"/>
      <c r="J59" s="8" t="s">
        <v>309</v>
      </c>
      <c r="K59" s="9">
        <v>45563</v>
      </c>
      <c r="L59" s="8"/>
      <c r="M59" s="12">
        <v>0</v>
      </c>
      <c r="N59" s="10">
        <v>0</v>
      </c>
      <c r="O59" s="8"/>
      <c r="P59" s="11"/>
      <c r="Q59" s="14" t="s">
        <v>310</v>
      </c>
      <c r="R59" s="12" t="s">
        <v>311</v>
      </c>
      <c r="S59" s="10">
        <v>65</v>
      </c>
      <c r="T59" s="10">
        <f>S59*60</f>
      </c>
      <c r="U59" s="10">
        <v>334</v>
      </c>
      <c r="V59" s="13">
        <v>19.46</v>
      </c>
      <c r="W59" s="13">
        <v>23.5</v>
      </c>
      <c r="X59" s="13">
        <v>19.61</v>
      </c>
      <c r="Y59" s="13">
        <v>37.42</v>
      </c>
      <c r="Z59" s="10">
        <v>228</v>
      </c>
      <c r="AA59" s="13">
        <f>AH59/S59</f>
      </c>
      <c r="AB59" s="13">
        <v>0.89</v>
      </c>
      <c r="AC59" s="13">
        <v>22.81</v>
      </c>
      <c r="AD59" s="7" t="s">
        <v>298</v>
      </c>
      <c r="AE59" s="13">
        <v>1.79</v>
      </c>
      <c r="AF59" s="13">
        <v>0.92</v>
      </c>
      <c r="AG59" s="10">
        <v>0</v>
      </c>
      <c r="AH59" s="10">
        <v>21</v>
      </c>
      <c r="AI59" s="10">
        <v>555</v>
      </c>
      <c r="AJ59" s="10"/>
      <c r="AK59" s="10"/>
      <c r="AL59" s="7"/>
      <c r="AM59" s="10"/>
    </row>
    <row x14ac:dyDescent="0.25" r="60" customHeight="1" ht="18">
      <c r="A60" s="26" t="s">
        <v>312</v>
      </c>
      <c r="B60" s="24" t="s">
        <v>313</v>
      </c>
      <c r="C60" s="24" t="s">
        <v>71</v>
      </c>
      <c r="D60" s="7" t="s">
        <v>42</v>
      </c>
      <c r="E60" s="27">
        <v>24672</v>
      </c>
      <c r="F60" s="10">
        <v>56</v>
      </c>
      <c r="G60" s="7" t="s">
        <v>79</v>
      </c>
      <c r="H60" s="7" t="s">
        <v>85</v>
      </c>
      <c r="I60" s="8"/>
      <c r="J60" s="8" t="s">
        <v>259</v>
      </c>
      <c r="K60" s="9">
        <v>45268</v>
      </c>
      <c r="L60" s="8"/>
      <c r="M60" s="12" t="s">
        <v>314</v>
      </c>
      <c r="N60" s="10">
        <v>0</v>
      </c>
      <c r="O60" s="14" t="s">
        <v>315</v>
      </c>
      <c r="P60" s="12" t="s">
        <v>316</v>
      </c>
      <c r="Q60" s="14" t="s">
        <v>317</v>
      </c>
      <c r="R60" s="12"/>
      <c r="S60" s="10">
        <v>35</v>
      </c>
      <c r="T60" s="10">
        <f>S60*60</f>
      </c>
      <c r="U60" s="10">
        <v>296</v>
      </c>
      <c r="V60" s="13">
        <v>11.97</v>
      </c>
      <c r="W60" s="13">
        <v>13.32</v>
      </c>
      <c r="X60" s="13">
        <v>62.22</v>
      </c>
      <c r="Y60" s="13">
        <v>12.47</v>
      </c>
      <c r="Z60" s="10">
        <v>108</v>
      </c>
      <c r="AA60" s="13">
        <f>AH60/S60</f>
      </c>
      <c r="AB60" s="13">
        <v>0.69</v>
      </c>
      <c r="AC60" s="13">
        <v>45.73</v>
      </c>
      <c r="AD60" s="7" t="s">
        <v>252</v>
      </c>
      <c r="AE60" s="13">
        <v>32.37</v>
      </c>
      <c r="AF60" s="13">
        <v>38.87</v>
      </c>
      <c r="AG60" s="10">
        <v>0</v>
      </c>
      <c r="AH60" s="10">
        <v>2</v>
      </c>
      <c r="AI60" s="10">
        <v>50</v>
      </c>
      <c r="AJ60" s="10"/>
      <c r="AK60" s="10"/>
      <c r="AL60" s="7"/>
      <c r="AM60" s="10"/>
    </row>
    <row x14ac:dyDescent="0.25" r="61" customHeight="1" ht="18">
      <c r="A61" s="26" t="s">
        <v>318</v>
      </c>
      <c r="B61" s="24" t="s">
        <v>319</v>
      </c>
      <c r="C61" s="24" t="s">
        <v>71</v>
      </c>
      <c r="D61" s="7" t="s">
        <v>42</v>
      </c>
      <c r="E61" s="27">
        <v>17906</v>
      </c>
      <c r="F61" s="10">
        <v>74</v>
      </c>
      <c r="G61" s="7" t="s">
        <v>79</v>
      </c>
      <c r="H61" s="7" t="s">
        <v>320</v>
      </c>
      <c r="I61" s="8"/>
      <c r="J61" s="8"/>
      <c r="K61" s="9">
        <v>45196</v>
      </c>
      <c r="L61" s="8"/>
      <c r="M61" s="12" t="s">
        <v>321</v>
      </c>
      <c r="N61" s="10">
        <v>0</v>
      </c>
      <c r="O61" s="14" t="s">
        <v>322</v>
      </c>
      <c r="P61" s="12" t="s">
        <v>304</v>
      </c>
      <c r="Q61" s="14" t="s">
        <v>310</v>
      </c>
      <c r="R61" s="12" t="s">
        <v>215</v>
      </c>
      <c r="S61" s="10">
        <v>37</v>
      </c>
      <c r="T61" s="10">
        <f>S61*60</f>
      </c>
      <c r="U61" s="10">
        <v>364</v>
      </c>
      <c r="V61" s="13">
        <v>10.28</v>
      </c>
      <c r="W61" s="13">
        <v>33.6</v>
      </c>
      <c r="X61" s="13">
        <v>36.48</v>
      </c>
      <c r="Y61" s="13">
        <v>19.61</v>
      </c>
      <c r="Z61" s="10">
        <v>261</v>
      </c>
      <c r="AA61" s="13">
        <f>AH61/S61</f>
      </c>
      <c r="AB61" s="13">
        <v>0.85</v>
      </c>
      <c r="AC61" s="13">
        <v>33.25</v>
      </c>
      <c r="AD61" s="7" t="s">
        <v>137</v>
      </c>
      <c r="AE61" s="13">
        <v>41.97</v>
      </c>
      <c r="AF61" s="11"/>
      <c r="AG61" s="11"/>
      <c r="AH61" s="10">
        <v>5</v>
      </c>
      <c r="AI61" s="10">
        <v>119</v>
      </c>
      <c r="AJ61" s="10"/>
      <c r="AK61" s="10"/>
      <c r="AL61" s="7"/>
      <c r="AM61" s="10"/>
    </row>
    <row x14ac:dyDescent="0.25" r="62" customHeight="1" ht="18">
      <c r="A62" s="26" t="s">
        <v>323</v>
      </c>
      <c r="B62" s="24" t="s">
        <v>324</v>
      </c>
      <c r="C62" s="24" t="s">
        <v>71</v>
      </c>
      <c r="D62" s="7" t="s">
        <v>42</v>
      </c>
      <c r="E62" s="27">
        <v>15057</v>
      </c>
      <c r="F62" s="10">
        <v>82</v>
      </c>
      <c r="G62" s="7" t="s">
        <v>43</v>
      </c>
      <c r="H62" s="7" t="s">
        <v>325</v>
      </c>
      <c r="I62" s="8"/>
      <c r="J62" s="8" t="s">
        <v>326</v>
      </c>
      <c r="K62" s="9">
        <v>45202</v>
      </c>
      <c r="L62" s="8"/>
      <c r="M62" s="12">
        <v>0</v>
      </c>
      <c r="N62" s="10">
        <v>0</v>
      </c>
      <c r="O62" s="8"/>
      <c r="P62" s="12" t="s">
        <v>327</v>
      </c>
      <c r="Q62" s="8"/>
      <c r="R62" s="12" t="s">
        <v>328</v>
      </c>
      <c r="S62" s="10">
        <v>101</v>
      </c>
      <c r="T62" s="10">
        <f>S62*60</f>
      </c>
      <c r="U62" s="10">
        <v>369</v>
      </c>
      <c r="V62" s="13">
        <v>27.5</v>
      </c>
      <c r="W62" s="13">
        <v>2.57</v>
      </c>
      <c r="X62" s="13">
        <v>49.59</v>
      </c>
      <c r="Y62" s="13">
        <v>20.31</v>
      </c>
      <c r="Z62" s="10">
        <v>78</v>
      </c>
      <c r="AA62" s="13">
        <f>AH62/S62</f>
      </c>
      <c r="AB62" s="13">
        <v>0.81</v>
      </c>
      <c r="AC62" s="13">
        <v>10.4</v>
      </c>
      <c r="AD62" s="7" t="s">
        <v>329</v>
      </c>
      <c r="AE62" s="13">
        <v>16.26</v>
      </c>
      <c r="AF62" s="13">
        <f>0.59+0.59+0.59</f>
      </c>
      <c r="AG62" s="10">
        <f>14+14</f>
      </c>
      <c r="AH62" s="10">
        <v>17</v>
      </c>
      <c r="AI62" s="10">
        <v>322</v>
      </c>
      <c r="AJ62" s="10"/>
      <c r="AK62" s="10"/>
      <c r="AL62" s="7"/>
      <c r="AM62" s="10"/>
    </row>
    <row x14ac:dyDescent="0.25" r="63" customHeight="1" ht="18">
      <c r="A63" s="31" t="s">
        <v>330</v>
      </c>
      <c r="B63" s="32" t="s">
        <v>331</v>
      </c>
      <c r="C63" s="32" t="s">
        <v>332</v>
      </c>
      <c r="D63" s="33" t="s">
        <v>60</v>
      </c>
      <c r="E63" s="34">
        <v>23081</v>
      </c>
      <c r="F63" s="35">
        <v>60</v>
      </c>
      <c r="G63" s="33" t="s">
        <v>79</v>
      </c>
      <c r="H63" s="33" t="s">
        <v>85</v>
      </c>
      <c r="I63" s="8"/>
      <c r="J63" s="36" t="s">
        <v>333</v>
      </c>
      <c r="K63" s="34">
        <v>45199</v>
      </c>
      <c r="L63" s="8"/>
      <c r="M63" s="37"/>
      <c r="N63" s="11"/>
      <c r="O63" s="36"/>
      <c r="P63" s="37"/>
      <c r="Q63" s="36"/>
      <c r="R63" s="37"/>
      <c r="S63" s="35">
        <v>99</v>
      </c>
      <c r="T63" s="10">
        <f>99*60</f>
      </c>
      <c r="U63" s="35">
        <v>417</v>
      </c>
      <c r="V63" s="38">
        <v>23.74</v>
      </c>
      <c r="W63" s="38">
        <v>15.7</v>
      </c>
      <c r="X63" s="38">
        <v>39.92</v>
      </c>
      <c r="Y63" s="38">
        <v>20.62</v>
      </c>
      <c r="Z63" s="35">
        <v>68</v>
      </c>
      <c r="AA63" s="13"/>
      <c r="AB63" s="38">
        <v>0.96</v>
      </c>
      <c r="AC63" s="38">
        <v>24.89</v>
      </c>
      <c r="AD63" s="36" t="s">
        <v>137</v>
      </c>
      <c r="AE63" s="39">
        <v>30.5</v>
      </c>
      <c r="AF63" s="38">
        <f>64.84+12.72</f>
      </c>
      <c r="AG63" s="35">
        <f>29*60+30</f>
      </c>
      <c r="AH63" s="35"/>
      <c r="AI63" s="35"/>
      <c r="AJ63" s="11"/>
      <c r="AK63" s="11"/>
      <c r="AL63" s="8"/>
      <c r="AM63" s="11"/>
    </row>
    <row x14ac:dyDescent="0.25" r="64" customHeight="1" ht="18">
      <c r="A64" s="26" t="s">
        <v>334</v>
      </c>
      <c r="B64" s="24" t="s">
        <v>335</v>
      </c>
      <c r="C64" s="24" t="s">
        <v>71</v>
      </c>
      <c r="D64" s="7" t="s">
        <v>60</v>
      </c>
      <c r="E64" s="27">
        <v>30753</v>
      </c>
      <c r="F64" s="10">
        <v>39</v>
      </c>
      <c r="G64" s="7" t="s">
        <v>79</v>
      </c>
      <c r="H64" s="7" t="s">
        <v>85</v>
      </c>
      <c r="I64" s="8"/>
      <c r="J64" s="8"/>
      <c r="K64" s="9">
        <v>45243</v>
      </c>
      <c r="L64" s="8"/>
      <c r="M64" s="12">
        <v>0</v>
      </c>
      <c r="N64" s="10">
        <v>0</v>
      </c>
      <c r="O64" s="14" t="s">
        <v>336</v>
      </c>
      <c r="P64" s="12" t="s">
        <v>337</v>
      </c>
      <c r="Q64" s="8"/>
      <c r="R64" s="12"/>
      <c r="S64" s="10">
        <v>150</v>
      </c>
      <c r="T64" s="10">
        <f>S64*60</f>
      </c>
      <c r="U64" s="10">
        <v>533</v>
      </c>
      <c r="V64" s="13">
        <v>28.23</v>
      </c>
      <c r="W64" s="13">
        <v>10.6</v>
      </c>
      <c r="X64" s="13">
        <v>45.77</v>
      </c>
      <c r="Y64" s="13">
        <v>15.38</v>
      </c>
      <c r="Z64" s="10">
        <v>68</v>
      </c>
      <c r="AA64" s="13">
        <f>AH64/S64</f>
      </c>
      <c r="AB64" s="13">
        <v>0.92</v>
      </c>
      <c r="AC64" s="13">
        <v>4.84</v>
      </c>
      <c r="AD64" s="7" t="s">
        <v>65</v>
      </c>
      <c r="AE64" s="13">
        <v>1.32</v>
      </c>
      <c r="AF64" s="11"/>
      <c r="AG64" s="11"/>
      <c r="AH64" s="10">
        <v>1</v>
      </c>
      <c r="AI64" s="10">
        <v>19</v>
      </c>
      <c r="AJ64" s="10"/>
      <c r="AK64" s="10"/>
      <c r="AL64" s="7"/>
      <c r="AM64" s="10"/>
    </row>
    <row x14ac:dyDescent="0.25" r="65" customHeight="1" ht="18">
      <c r="A65" s="26" t="s">
        <v>338</v>
      </c>
      <c r="B65" s="24" t="s">
        <v>339</v>
      </c>
      <c r="C65" s="24" t="s">
        <v>71</v>
      </c>
      <c r="D65" s="7" t="s">
        <v>42</v>
      </c>
      <c r="E65" s="27">
        <v>21403</v>
      </c>
      <c r="F65" s="10">
        <v>65</v>
      </c>
      <c r="G65" s="7" t="s">
        <v>79</v>
      </c>
      <c r="H65" s="7" t="s">
        <v>320</v>
      </c>
      <c r="I65" s="8"/>
      <c r="J65" s="8" t="s">
        <v>340</v>
      </c>
      <c r="K65" s="9">
        <v>45222</v>
      </c>
      <c r="L65" s="8"/>
      <c r="M65" s="12" t="s">
        <v>203</v>
      </c>
      <c r="N65" s="10">
        <v>1</v>
      </c>
      <c r="O65" s="14" t="s">
        <v>341</v>
      </c>
      <c r="P65" s="11"/>
      <c r="Q65" s="14" t="s">
        <v>342</v>
      </c>
      <c r="R65" s="12" t="s">
        <v>215</v>
      </c>
      <c r="S65" s="10">
        <v>31</v>
      </c>
      <c r="T65" s="10">
        <f>S65*60</f>
      </c>
      <c r="U65" s="10">
        <v>362</v>
      </c>
      <c r="V65" s="13">
        <v>8.56</v>
      </c>
      <c r="W65" s="13">
        <v>38.95</v>
      </c>
      <c r="X65" s="13">
        <v>35.35</v>
      </c>
      <c r="Y65" s="13">
        <v>17.12</v>
      </c>
      <c r="Z65" s="10">
        <v>98</v>
      </c>
      <c r="AA65" s="40"/>
      <c r="AB65" s="13">
        <v>0.78</v>
      </c>
      <c r="AC65" s="13">
        <v>36.96</v>
      </c>
      <c r="AD65" s="7" t="s">
        <v>343</v>
      </c>
      <c r="AE65" s="13">
        <v>58.34</v>
      </c>
      <c r="AF65" s="13">
        <f>3.87+1.93+5.8+21.29</f>
      </c>
      <c r="AG65" s="10">
        <f>41+16+60*3+20</f>
      </c>
      <c r="AH65" s="11"/>
      <c r="AI65" s="10">
        <v>17</v>
      </c>
      <c r="AJ65" s="10"/>
      <c r="AK65" s="10"/>
      <c r="AL65" s="7"/>
      <c r="AM65" s="10"/>
    </row>
    <row x14ac:dyDescent="0.25" r="66" customHeight="1" ht="18">
      <c r="A66" s="26" t="s">
        <v>344</v>
      </c>
      <c r="B66" s="24" t="s">
        <v>345</v>
      </c>
      <c r="C66" s="24" t="s">
        <v>332</v>
      </c>
      <c r="D66" s="7" t="s">
        <v>42</v>
      </c>
      <c r="E66" s="27">
        <v>20717</v>
      </c>
      <c r="F66" s="10">
        <v>68</v>
      </c>
      <c r="G66" s="7" t="s">
        <v>43</v>
      </c>
      <c r="H66" s="7" t="s">
        <v>170</v>
      </c>
      <c r="I66" s="8"/>
      <c r="J66" s="8" t="s">
        <v>346</v>
      </c>
      <c r="K66" s="9">
        <v>45301</v>
      </c>
      <c r="L66" s="8"/>
      <c r="M66" s="12" t="s">
        <v>347</v>
      </c>
      <c r="N66" s="10">
        <v>1</v>
      </c>
      <c r="O66" s="8"/>
      <c r="P66" s="12" t="s">
        <v>304</v>
      </c>
      <c r="Q66" s="8"/>
      <c r="R66" s="12"/>
      <c r="S66" s="10">
        <v>108</v>
      </c>
      <c r="T66" s="10">
        <f>S66*60</f>
      </c>
      <c r="U66" s="10">
        <v>364</v>
      </c>
      <c r="V66" s="13">
        <v>29.67</v>
      </c>
      <c r="W66" s="13">
        <v>20.19</v>
      </c>
      <c r="X66" s="13">
        <v>38.04</v>
      </c>
      <c r="Y66" s="13">
        <v>12.08</v>
      </c>
      <c r="Z66" s="10">
        <v>120</v>
      </c>
      <c r="AA66" s="40"/>
      <c r="AB66" s="13">
        <v>0.87</v>
      </c>
      <c r="AC66" s="13">
        <v>32.96</v>
      </c>
      <c r="AD66" s="7" t="s">
        <v>137</v>
      </c>
      <c r="AE66" s="13">
        <v>66.75</v>
      </c>
      <c r="AF66" s="13">
        <f>2.77+2.22+59.43</f>
      </c>
      <c r="AG66" s="10">
        <f>120+23+60+35+60+10</f>
      </c>
      <c r="AH66" s="11"/>
      <c r="AI66" s="10">
        <v>43</v>
      </c>
      <c r="AJ66" s="10"/>
      <c r="AK66" s="10"/>
      <c r="AL66" s="7"/>
      <c r="AM66" s="10"/>
    </row>
    <row x14ac:dyDescent="0.25" r="67" customHeight="1" ht="18">
      <c r="A67" s="26" t="s">
        <v>348</v>
      </c>
      <c r="B67" s="8" t="s">
        <v>349</v>
      </c>
      <c r="C67" s="24" t="s">
        <v>71</v>
      </c>
      <c r="D67" s="7" t="s">
        <v>42</v>
      </c>
      <c r="E67" s="9">
        <v>24040</v>
      </c>
      <c r="F67" s="10">
        <v>58</v>
      </c>
      <c r="G67" s="7" t="s">
        <v>79</v>
      </c>
      <c r="H67" s="7" t="s">
        <v>85</v>
      </c>
      <c r="I67" s="8"/>
      <c r="J67" s="8" t="s">
        <v>350</v>
      </c>
      <c r="K67" s="9">
        <v>45224</v>
      </c>
      <c r="L67" s="8"/>
      <c r="M67" s="12">
        <v>0</v>
      </c>
      <c r="N67" s="10">
        <v>0</v>
      </c>
      <c r="O67" s="8"/>
      <c r="P67" s="12" t="s">
        <v>304</v>
      </c>
      <c r="Q67" s="8"/>
      <c r="R67" s="12"/>
      <c r="S67" s="10">
        <v>70</v>
      </c>
      <c r="T67" s="10">
        <f>S67*60</f>
      </c>
      <c r="U67" s="10">
        <v>364</v>
      </c>
      <c r="V67" s="13">
        <v>19.2</v>
      </c>
      <c r="W67" s="13">
        <v>12.07</v>
      </c>
      <c r="X67" s="13">
        <v>50.89</v>
      </c>
      <c r="Y67" s="13">
        <v>17.83</v>
      </c>
      <c r="Z67" s="10">
        <v>64</v>
      </c>
      <c r="AA67" s="40"/>
      <c r="AB67" s="13">
        <v>0.87</v>
      </c>
      <c r="AC67" s="13">
        <v>22.55</v>
      </c>
      <c r="AD67" s="7" t="s">
        <v>351</v>
      </c>
      <c r="AE67" s="13">
        <v>17.44</v>
      </c>
      <c r="AF67" s="13">
        <f>0.85+21.42</f>
      </c>
      <c r="AG67" s="10">
        <v>11</v>
      </c>
      <c r="AH67" s="11"/>
      <c r="AI67" s="10">
        <v>114</v>
      </c>
      <c r="AJ67" s="10"/>
      <c r="AK67" s="10"/>
      <c r="AL67" s="7"/>
      <c r="AM67" s="10"/>
    </row>
    <row x14ac:dyDescent="0.25" r="68" customHeight="1" ht="18">
      <c r="A68" s="26" t="s">
        <v>352</v>
      </c>
      <c r="B68" s="24" t="s">
        <v>353</v>
      </c>
      <c r="C68" s="24" t="s">
        <v>71</v>
      </c>
      <c r="D68" s="7" t="s">
        <v>42</v>
      </c>
      <c r="E68" s="27">
        <v>19831</v>
      </c>
      <c r="F68" s="10">
        <v>69</v>
      </c>
      <c r="G68" s="7" t="s">
        <v>79</v>
      </c>
      <c r="H68" s="7" t="s">
        <v>85</v>
      </c>
      <c r="I68" s="8"/>
      <c r="J68" s="8" t="s">
        <v>354</v>
      </c>
      <c r="K68" s="9">
        <v>45316</v>
      </c>
      <c r="L68" s="8"/>
      <c r="M68" s="12">
        <v>0</v>
      </c>
      <c r="N68" s="10">
        <v>0</v>
      </c>
      <c r="O68" s="8"/>
      <c r="P68" s="12">
        <v>0</v>
      </c>
      <c r="Q68" s="8"/>
      <c r="R68" s="12" t="s">
        <v>215</v>
      </c>
      <c r="S68" s="10">
        <v>45</v>
      </c>
      <c r="T68" s="10">
        <f>S68*60</f>
      </c>
      <c r="U68" s="10">
        <v>310</v>
      </c>
      <c r="V68" s="13">
        <v>14.65</v>
      </c>
      <c r="W68" s="13">
        <v>27.53</v>
      </c>
      <c r="X68" s="13">
        <v>40.57</v>
      </c>
      <c r="Y68" s="13">
        <v>17.23</v>
      </c>
      <c r="Z68" s="10">
        <v>84</v>
      </c>
      <c r="AA68" s="40"/>
      <c r="AB68" s="13">
        <v>0.82</v>
      </c>
      <c r="AC68" s="13">
        <v>29.37</v>
      </c>
      <c r="AD68" s="7" t="s">
        <v>355</v>
      </c>
      <c r="AE68" s="13">
        <v>11.01</v>
      </c>
      <c r="AF68" s="13">
        <f>2.63+14.5</f>
      </c>
      <c r="AG68" s="10">
        <v>25</v>
      </c>
      <c r="AH68" s="11"/>
      <c r="AI68" s="10">
        <v>881</v>
      </c>
      <c r="AJ68" s="10"/>
      <c r="AK68" s="10"/>
      <c r="AL68" s="7"/>
      <c r="AM68" s="10"/>
    </row>
    <row x14ac:dyDescent="0.25" r="69" customHeight="1" ht="18">
      <c r="A69" s="26" t="s">
        <v>356</v>
      </c>
      <c r="B69" s="24" t="s">
        <v>357</v>
      </c>
      <c r="C69" s="24" t="s">
        <v>71</v>
      </c>
      <c r="D69" s="7" t="s">
        <v>42</v>
      </c>
      <c r="E69" s="27">
        <v>18978</v>
      </c>
      <c r="F69" s="10">
        <v>71</v>
      </c>
      <c r="G69" s="7" t="s">
        <v>43</v>
      </c>
      <c r="H69" s="15" t="s">
        <v>358</v>
      </c>
      <c r="I69" s="8"/>
      <c r="J69" s="8" t="s">
        <v>359</v>
      </c>
      <c r="K69" s="9">
        <v>45216</v>
      </c>
      <c r="L69" s="8"/>
      <c r="M69" s="12" t="s">
        <v>190</v>
      </c>
      <c r="N69" s="10">
        <v>0</v>
      </c>
      <c r="O69" s="8"/>
      <c r="P69" s="11"/>
      <c r="Q69" s="14" t="s">
        <v>360</v>
      </c>
      <c r="R69" s="12" t="s">
        <v>215</v>
      </c>
      <c r="S69" s="10">
        <v>74</v>
      </c>
      <c r="T69" s="10">
        <f>S69*60</f>
      </c>
      <c r="U69" s="10">
        <v>399</v>
      </c>
      <c r="V69" s="13">
        <v>18.67</v>
      </c>
      <c r="W69" s="13">
        <v>34.46</v>
      </c>
      <c r="X69" s="13">
        <v>30.45</v>
      </c>
      <c r="Y69" s="13">
        <v>16.41</v>
      </c>
      <c r="Z69" s="10">
        <v>81</v>
      </c>
      <c r="AA69" s="40"/>
      <c r="AB69" s="13">
        <v>0.83</v>
      </c>
      <c r="AC69" s="13">
        <v>47.81</v>
      </c>
      <c r="AD69" s="7" t="s">
        <v>252</v>
      </c>
      <c r="AE69" s="13">
        <v>35.93</v>
      </c>
      <c r="AF69" s="13">
        <v>27.38</v>
      </c>
      <c r="AG69" s="10">
        <v>0</v>
      </c>
      <c r="AH69" s="11"/>
      <c r="AI69" s="10">
        <v>908</v>
      </c>
      <c r="AJ69" s="10"/>
      <c r="AK69" s="10"/>
      <c r="AL69" s="7"/>
      <c r="AM69" s="10"/>
    </row>
    <row x14ac:dyDescent="0.25" r="70" customHeight="1" ht="18">
      <c r="A70" s="26" t="s">
        <v>361</v>
      </c>
      <c r="B70" s="24" t="s">
        <v>362</v>
      </c>
      <c r="C70" s="24" t="s">
        <v>71</v>
      </c>
      <c r="D70" s="7" t="s">
        <v>42</v>
      </c>
      <c r="E70" s="27">
        <v>25017</v>
      </c>
      <c r="F70" s="10">
        <v>55</v>
      </c>
      <c r="G70" s="7" t="s">
        <v>79</v>
      </c>
      <c r="H70" s="7" t="s">
        <v>85</v>
      </c>
      <c r="I70" s="8"/>
      <c r="J70" s="8" t="s">
        <v>363</v>
      </c>
      <c r="K70" s="9">
        <v>45306</v>
      </c>
      <c r="L70" s="8"/>
      <c r="M70" s="12">
        <v>0</v>
      </c>
      <c r="N70" s="10">
        <v>0</v>
      </c>
      <c r="O70" s="14" t="s">
        <v>364</v>
      </c>
      <c r="P70" s="12">
        <v>0</v>
      </c>
      <c r="Q70" s="8"/>
      <c r="R70" s="12"/>
      <c r="S70" s="10">
        <v>45</v>
      </c>
      <c r="T70" s="10">
        <f>S70*60</f>
      </c>
      <c r="U70" s="10">
        <v>298</v>
      </c>
      <c r="V70" s="13">
        <v>15.07</v>
      </c>
      <c r="W70" s="13">
        <v>12.06</v>
      </c>
      <c r="X70" s="13">
        <v>54.43</v>
      </c>
      <c r="Y70" s="13">
        <v>18.42</v>
      </c>
      <c r="Z70" s="10">
        <v>185</v>
      </c>
      <c r="AA70" s="40"/>
      <c r="AB70" s="13">
        <v>0.78</v>
      </c>
      <c r="AC70" s="13">
        <v>30.55</v>
      </c>
      <c r="AD70" s="7" t="s">
        <v>252</v>
      </c>
      <c r="AE70" s="13">
        <v>36.78</v>
      </c>
      <c r="AF70" s="13">
        <f>4+8+1.33+46.66</f>
      </c>
      <c r="AG70" s="10">
        <f>32+60+20+11</f>
      </c>
      <c r="AH70" s="11"/>
      <c r="AI70" s="10">
        <v>96</v>
      </c>
      <c r="AJ70" s="10"/>
      <c r="AK70" s="10"/>
      <c r="AL70" s="7"/>
      <c r="AM70" s="10"/>
    </row>
    <row x14ac:dyDescent="0.25" r="71" customHeight="1" ht="18">
      <c r="A71" s="26" t="s">
        <v>365</v>
      </c>
      <c r="B71" s="24" t="s">
        <v>366</v>
      </c>
      <c r="C71" s="24" t="s">
        <v>71</v>
      </c>
      <c r="D71" s="7" t="s">
        <v>42</v>
      </c>
      <c r="E71" s="27">
        <v>22168</v>
      </c>
      <c r="F71" s="10">
        <v>63</v>
      </c>
      <c r="G71" s="7" t="s">
        <v>79</v>
      </c>
      <c r="H71" s="7" t="s">
        <v>85</v>
      </c>
      <c r="I71" s="8"/>
      <c r="J71" s="8" t="s">
        <v>296</v>
      </c>
      <c r="K71" s="9">
        <v>45253</v>
      </c>
      <c r="L71" s="8"/>
      <c r="M71" s="12">
        <v>0</v>
      </c>
      <c r="N71" s="10">
        <v>0</v>
      </c>
      <c r="O71" s="14" t="s">
        <v>367</v>
      </c>
      <c r="P71" s="12">
        <v>0</v>
      </c>
      <c r="Q71" s="14" t="s">
        <v>130</v>
      </c>
      <c r="R71" s="12"/>
      <c r="S71" s="10">
        <v>44</v>
      </c>
      <c r="T71" s="10">
        <f>S71*60</f>
      </c>
      <c r="U71" s="10">
        <v>308</v>
      </c>
      <c r="V71" s="13">
        <v>14.29</v>
      </c>
      <c r="W71" s="13">
        <v>7.61</v>
      </c>
      <c r="X71" s="13">
        <v>55.26</v>
      </c>
      <c r="Y71" s="13">
        <v>22.69</v>
      </c>
      <c r="Z71" s="10">
        <v>95</v>
      </c>
      <c r="AA71" s="40"/>
      <c r="AB71" s="13">
        <v>0.86</v>
      </c>
      <c r="AC71" s="13">
        <v>23.14</v>
      </c>
      <c r="AD71" s="7" t="s">
        <v>368</v>
      </c>
      <c r="AE71" s="13">
        <v>6.8</v>
      </c>
      <c r="AF71" s="13">
        <v>8.08</v>
      </c>
      <c r="AG71" s="10">
        <v>0</v>
      </c>
      <c r="AH71" s="11"/>
      <c r="AI71" s="10">
        <v>60</v>
      </c>
      <c r="AJ71" s="10"/>
      <c r="AK71" s="10"/>
      <c r="AL71" s="7"/>
      <c r="AM71" s="10"/>
    </row>
    <row x14ac:dyDescent="0.25" r="72" customHeight="1" ht="18">
      <c r="A72" s="26" t="s">
        <v>369</v>
      </c>
      <c r="B72" s="24" t="s">
        <v>370</v>
      </c>
      <c r="C72" s="24" t="s">
        <v>71</v>
      </c>
      <c r="D72" s="7" t="s">
        <v>42</v>
      </c>
      <c r="E72" s="27">
        <v>25051</v>
      </c>
      <c r="F72" s="10">
        <v>55</v>
      </c>
      <c r="G72" s="7" t="s">
        <v>79</v>
      </c>
      <c r="H72" s="7" t="s">
        <v>85</v>
      </c>
      <c r="I72" s="8"/>
      <c r="J72" s="8"/>
      <c r="K72" s="9">
        <v>45307</v>
      </c>
      <c r="L72" s="8"/>
      <c r="M72" s="12" t="s">
        <v>371</v>
      </c>
      <c r="N72" s="10">
        <v>1</v>
      </c>
      <c r="O72" s="8"/>
      <c r="P72" s="12" t="s">
        <v>372</v>
      </c>
      <c r="Q72" s="14" t="s">
        <v>130</v>
      </c>
      <c r="R72" s="12"/>
      <c r="S72" s="10">
        <v>54</v>
      </c>
      <c r="T72" s="10">
        <f>S72*60</f>
      </c>
      <c r="U72" s="10">
        <v>396</v>
      </c>
      <c r="V72" s="13">
        <v>13.76</v>
      </c>
      <c r="W72" s="13">
        <v>7.32</v>
      </c>
      <c r="X72" s="13">
        <v>56.56</v>
      </c>
      <c r="Y72" s="13">
        <v>22.34</v>
      </c>
      <c r="Z72" s="10">
        <v>206</v>
      </c>
      <c r="AA72" s="40"/>
      <c r="AB72" s="13">
        <v>0.91</v>
      </c>
      <c r="AC72" s="13">
        <v>5.3</v>
      </c>
      <c r="AD72" s="7" t="s">
        <v>65</v>
      </c>
      <c r="AE72" s="13">
        <v>1.21</v>
      </c>
      <c r="AF72" s="13">
        <f>1.1+4.4</f>
      </c>
      <c r="AG72" s="10">
        <v>15</v>
      </c>
      <c r="AH72" s="11"/>
      <c r="AI72" s="10">
        <v>358</v>
      </c>
      <c r="AJ72" s="10"/>
      <c r="AK72" s="10"/>
      <c r="AL72" s="7"/>
      <c r="AM72" s="10"/>
    </row>
    <row x14ac:dyDescent="0.25" r="73" customHeight="1" ht="18">
      <c r="A73" s="26" t="s">
        <v>373</v>
      </c>
      <c r="B73" s="8" t="s">
        <v>374</v>
      </c>
      <c r="C73" s="24" t="s">
        <v>71</v>
      </c>
      <c r="D73" s="7" t="s">
        <v>42</v>
      </c>
      <c r="E73" s="9">
        <v>21948</v>
      </c>
      <c r="F73" s="10">
        <v>64</v>
      </c>
      <c r="G73" s="7" t="s">
        <v>79</v>
      </c>
      <c r="H73" s="7" t="s">
        <v>85</v>
      </c>
      <c r="I73" s="8"/>
      <c r="J73" s="8" t="s">
        <v>375</v>
      </c>
      <c r="K73" s="25"/>
      <c r="L73" s="8"/>
      <c r="M73" s="12" t="s">
        <v>376</v>
      </c>
      <c r="N73" s="41">
        <v>1</v>
      </c>
      <c r="O73" s="8"/>
      <c r="P73" s="12" t="s">
        <v>377</v>
      </c>
      <c r="Q73" s="14" t="s">
        <v>130</v>
      </c>
      <c r="R73" s="12" t="s">
        <v>378</v>
      </c>
      <c r="S73" s="10">
        <v>74</v>
      </c>
      <c r="T73" s="10">
        <f>S73*60</f>
      </c>
      <c r="U73" s="10">
        <v>293</v>
      </c>
      <c r="V73" s="13">
        <v>25.21</v>
      </c>
      <c r="W73" s="13">
        <v>19.76</v>
      </c>
      <c r="X73" s="13">
        <v>30.49</v>
      </c>
      <c r="Y73" s="13">
        <v>24.53</v>
      </c>
      <c r="Z73" s="10">
        <v>90</v>
      </c>
      <c r="AA73" s="40"/>
      <c r="AB73" s="13">
        <v>0.72</v>
      </c>
      <c r="AC73" s="13">
        <v>24.12</v>
      </c>
      <c r="AD73" s="7" t="s">
        <v>379</v>
      </c>
      <c r="AE73" s="13">
        <v>9.81</v>
      </c>
      <c r="AF73" s="13">
        <v>13.78</v>
      </c>
      <c r="AG73" s="10">
        <v>0</v>
      </c>
      <c r="AH73" s="11"/>
      <c r="AI73" s="10">
        <v>250</v>
      </c>
      <c r="AJ73" s="10"/>
      <c r="AK73" s="10"/>
      <c r="AL73" s="7"/>
      <c r="AM73" s="10"/>
    </row>
    <row x14ac:dyDescent="0.25" r="74" customHeight="1" ht="18">
      <c r="A74" s="26" t="s">
        <v>380</v>
      </c>
      <c r="B74" s="24" t="s">
        <v>381</v>
      </c>
      <c r="C74" s="24" t="s">
        <v>71</v>
      </c>
      <c r="D74" s="7" t="s">
        <v>60</v>
      </c>
      <c r="E74" s="27">
        <v>39174</v>
      </c>
      <c r="F74" s="10">
        <v>17</v>
      </c>
      <c r="G74" s="7" t="s">
        <v>107</v>
      </c>
      <c r="H74" s="7" t="s">
        <v>133</v>
      </c>
      <c r="I74" s="8"/>
      <c r="J74" s="8" t="s">
        <v>382</v>
      </c>
      <c r="K74" s="9">
        <v>45353</v>
      </c>
      <c r="L74" s="8"/>
      <c r="M74" s="12">
        <v>0</v>
      </c>
      <c r="N74" s="10">
        <v>0</v>
      </c>
      <c r="O74" s="8"/>
      <c r="P74" s="11"/>
      <c r="Q74" s="14" t="s">
        <v>130</v>
      </c>
      <c r="R74" s="12"/>
      <c r="S74" s="10">
        <v>27</v>
      </c>
      <c r="T74" s="10">
        <f>S74*60</f>
      </c>
      <c r="U74" s="10">
        <v>335</v>
      </c>
      <c r="V74" s="13">
        <v>8.04</v>
      </c>
      <c r="W74" s="13">
        <v>28.76</v>
      </c>
      <c r="X74" s="13">
        <v>44.41</v>
      </c>
      <c r="Y74" s="13">
        <v>18.77</v>
      </c>
      <c r="Z74" s="10">
        <v>73</v>
      </c>
      <c r="AA74" s="40"/>
      <c r="AB74" s="13">
        <v>0.75</v>
      </c>
      <c r="AC74" s="13">
        <v>11.8</v>
      </c>
      <c r="AD74" s="7" t="s">
        <v>260</v>
      </c>
      <c r="AE74" s="13">
        <v>6.25</v>
      </c>
      <c r="AF74" s="13">
        <f>8.88+2.22+2.22+11.11+4.44</f>
      </c>
      <c r="AG74" s="11"/>
      <c r="AH74" s="11"/>
      <c r="AI74" s="10">
        <v>73</v>
      </c>
      <c r="AJ74" s="10">
        <v>1</v>
      </c>
      <c r="AK74" s="10">
        <v>3</v>
      </c>
      <c r="AL74" s="7"/>
      <c r="AM74" s="10"/>
    </row>
    <row x14ac:dyDescent="0.25" r="75" customHeight="1" ht="18">
      <c r="A75" s="26" t="s">
        <v>383</v>
      </c>
      <c r="B75" s="24" t="s">
        <v>384</v>
      </c>
      <c r="C75" s="24" t="s">
        <v>71</v>
      </c>
      <c r="D75" s="7" t="s">
        <v>42</v>
      </c>
      <c r="E75" s="27">
        <v>17381</v>
      </c>
      <c r="F75" s="10">
        <v>76</v>
      </c>
      <c r="G75" s="7" t="s">
        <v>43</v>
      </c>
      <c r="H75" s="15" t="s">
        <v>385</v>
      </c>
      <c r="I75" s="8"/>
      <c r="J75" s="8" t="s">
        <v>386</v>
      </c>
      <c r="K75" s="9">
        <v>45371</v>
      </c>
      <c r="L75" s="8"/>
      <c r="M75" s="12" t="s">
        <v>387</v>
      </c>
      <c r="N75" s="10">
        <v>0</v>
      </c>
      <c r="O75" s="8"/>
      <c r="P75" s="11"/>
      <c r="Q75" s="8"/>
      <c r="R75" s="12"/>
      <c r="S75" s="10">
        <v>113</v>
      </c>
      <c r="T75" s="10">
        <f>S75*60</f>
      </c>
      <c r="U75" s="10">
        <v>437</v>
      </c>
      <c r="V75" s="13">
        <v>25.97</v>
      </c>
      <c r="W75" s="13">
        <v>26.31</v>
      </c>
      <c r="X75" s="13">
        <v>26.08</v>
      </c>
      <c r="Y75" s="13">
        <v>21.62</v>
      </c>
      <c r="Z75" s="10">
        <v>138</v>
      </c>
      <c r="AA75" s="40"/>
      <c r="AB75" s="13">
        <v>0.91</v>
      </c>
      <c r="AC75" s="13">
        <v>30.75</v>
      </c>
      <c r="AD75" s="7" t="s">
        <v>388</v>
      </c>
      <c r="AE75" s="13">
        <v>62.5</v>
      </c>
      <c r="AF75" s="13">
        <f>3.17+11.62+1.05+51.27</f>
      </c>
      <c r="AG75" s="10">
        <f>60+5*60+26+37+26</f>
      </c>
      <c r="AH75" s="11"/>
      <c r="AI75" s="10">
        <v>2461</v>
      </c>
      <c r="AJ75" s="10"/>
      <c r="AK75" s="10"/>
      <c r="AL75" s="7"/>
      <c r="AM75" s="10"/>
    </row>
    <row x14ac:dyDescent="0.25" r="76" customHeight="1" ht="18">
      <c r="A76" s="26" t="s">
        <v>389</v>
      </c>
      <c r="B76" s="24" t="s">
        <v>390</v>
      </c>
      <c r="C76" s="24" t="s">
        <v>71</v>
      </c>
      <c r="D76" s="7" t="s">
        <v>60</v>
      </c>
      <c r="E76" s="27">
        <v>21173</v>
      </c>
      <c r="F76" s="10">
        <v>66</v>
      </c>
      <c r="G76" s="7" t="s">
        <v>79</v>
      </c>
      <c r="H76" s="7" t="s">
        <v>85</v>
      </c>
      <c r="I76" s="8"/>
      <c r="J76" s="14" t="s">
        <v>391</v>
      </c>
      <c r="K76" s="9">
        <v>45386</v>
      </c>
      <c r="L76" s="8"/>
      <c r="M76" s="12" t="s">
        <v>303</v>
      </c>
      <c r="N76" s="10">
        <v>1</v>
      </c>
      <c r="O76" s="8"/>
      <c r="P76" s="12" t="s">
        <v>304</v>
      </c>
      <c r="Q76" s="14" t="s">
        <v>310</v>
      </c>
      <c r="R76" s="12" t="s">
        <v>392</v>
      </c>
      <c r="S76" s="10">
        <v>26</v>
      </c>
      <c r="T76" s="10">
        <f>26*60</f>
      </c>
      <c r="U76" s="10">
        <v>359</v>
      </c>
      <c r="V76" s="13">
        <v>7.24</v>
      </c>
      <c r="W76" s="13">
        <v>24.51</v>
      </c>
      <c r="X76" s="13">
        <v>47.91</v>
      </c>
      <c r="Y76" s="13">
        <v>20.33</v>
      </c>
      <c r="Z76" s="10">
        <v>190</v>
      </c>
      <c r="AA76" s="40"/>
      <c r="AB76" s="13">
        <v>0.88</v>
      </c>
      <c r="AC76" s="13">
        <v>44.28</v>
      </c>
      <c r="AD76" s="8"/>
      <c r="AE76" s="13">
        <v>21.05</v>
      </c>
      <c r="AF76" s="13">
        <f>2.3+18.46</f>
      </c>
      <c r="AG76" s="10">
        <v>15</v>
      </c>
      <c r="AH76" s="11"/>
      <c r="AI76" s="10">
        <v>195</v>
      </c>
      <c r="AJ76" s="10"/>
      <c r="AK76" s="10"/>
      <c r="AL76" s="7"/>
      <c r="AM76" s="10"/>
    </row>
    <row x14ac:dyDescent="0.25" r="77" customHeight="1" ht="18">
      <c r="A77" s="26" t="s">
        <v>393</v>
      </c>
      <c r="B77" s="24" t="s">
        <v>394</v>
      </c>
      <c r="C77" s="24" t="s">
        <v>71</v>
      </c>
      <c r="D77" s="7" t="s">
        <v>42</v>
      </c>
      <c r="E77" s="27">
        <v>20665</v>
      </c>
      <c r="F77" s="10">
        <v>67</v>
      </c>
      <c r="G77" s="7" t="s">
        <v>79</v>
      </c>
      <c r="H77" s="7" t="s">
        <v>85</v>
      </c>
      <c r="I77" s="8"/>
      <c r="J77" s="8" t="s">
        <v>395</v>
      </c>
      <c r="K77" s="9">
        <v>45418</v>
      </c>
      <c r="L77" s="8"/>
      <c r="M77" s="12" t="s">
        <v>396</v>
      </c>
      <c r="N77" s="10">
        <v>1</v>
      </c>
      <c r="O77" s="8"/>
      <c r="P77" s="12" t="s">
        <v>304</v>
      </c>
      <c r="Q77" s="14" t="s">
        <v>130</v>
      </c>
      <c r="R77" s="12" t="s">
        <v>215</v>
      </c>
      <c r="S77" s="10">
        <v>93</v>
      </c>
      <c r="T77" s="10">
        <f>93*60</f>
      </c>
      <c r="U77" s="10">
        <v>391</v>
      </c>
      <c r="V77" s="13">
        <v>23.75</v>
      </c>
      <c r="W77" s="13">
        <v>17.87</v>
      </c>
      <c r="X77" s="13">
        <v>34.86</v>
      </c>
      <c r="Y77" s="13">
        <v>23.49</v>
      </c>
      <c r="Z77" s="10">
        <v>137</v>
      </c>
      <c r="AA77" s="40"/>
      <c r="AB77" s="13">
        <v>0.9</v>
      </c>
      <c r="AC77" s="13">
        <v>8.27</v>
      </c>
      <c r="AD77" s="7" t="s">
        <v>397</v>
      </c>
      <c r="AE77" s="13">
        <v>6.89</v>
      </c>
      <c r="AF77" s="13">
        <f>0.64+6.44</f>
      </c>
      <c r="AG77" s="10">
        <v>23</v>
      </c>
      <c r="AH77" s="11"/>
      <c r="AI77" s="10">
        <v>1971</v>
      </c>
      <c r="AJ77" s="10"/>
      <c r="AK77" s="10"/>
      <c r="AL77" s="7"/>
      <c r="AM77" s="10"/>
    </row>
    <row x14ac:dyDescent="0.25" r="78" customHeight="1" ht="18">
      <c r="A78" s="26" t="s">
        <v>398</v>
      </c>
      <c r="B78" s="24" t="s">
        <v>399</v>
      </c>
      <c r="C78" s="24" t="s">
        <v>71</v>
      </c>
      <c r="D78" s="7" t="s">
        <v>42</v>
      </c>
      <c r="E78" s="27">
        <v>17904</v>
      </c>
      <c r="F78" s="10">
        <v>75</v>
      </c>
      <c r="G78" s="7" t="s">
        <v>43</v>
      </c>
      <c r="H78" s="15" t="s">
        <v>400</v>
      </c>
      <c r="I78" s="8"/>
      <c r="J78" s="8" t="s">
        <v>401</v>
      </c>
      <c r="K78" s="9">
        <v>45356</v>
      </c>
      <c r="L78" s="8"/>
      <c r="M78" s="12" t="s">
        <v>402</v>
      </c>
      <c r="N78" s="10">
        <v>1</v>
      </c>
      <c r="O78" s="8"/>
      <c r="P78" s="12" t="s">
        <v>304</v>
      </c>
      <c r="Q78" s="8"/>
      <c r="R78" s="12"/>
      <c r="S78" s="10">
        <v>46</v>
      </c>
      <c r="T78" s="10">
        <f>46*60</f>
      </c>
      <c r="U78" s="10">
        <v>173</v>
      </c>
      <c r="V78" s="13">
        <v>26.8</v>
      </c>
      <c r="W78" s="13">
        <v>3.74</v>
      </c>
      <c r="X78" s="13">
        <v>9.51</v>
      </c>
      <c r="Y78" s="13">
        <v>59.94</v>
      </c>
      <c r="Z78" s="10">
        <v>413</v>
      </c>
      <c r="AA78" s="40"/>
      <c r="AB78" s="13">
        <v>0.96</v>
      </c>
      <c r="AC78" s="13">
        <v>10.72</v>
      </c>
      <c r="AD78" s="7" t="s">
        <v>403</v>
      </c>
      <c r="AE78" s="13">
        <v>17.3</v>
      </c>
      <c r="AF78" s="13">
        <f>20.64+1.29+15.48</f>
      </c>
      <c r="AG78" s="10">
        <f>4*60+45+20</f>
      </c>
      <c r="AH78" s="11"/>
      <c r="AI78" s="10">
        <v>346</v>
      </c>
      <c r="AJ78" s="10"/>
      <c r="AK78" s="10"/>
      <c r="AL78" s="7"/>
      <c r="AM78" s="10"/>
    </row>
    <row x14ac:dyDescent="0.25" r="79" customHeight="1" ht="18">
      <c r="A79" s="26" t="s">
        <v>404</v>
      </c>
      <c r="B79" s="24" t="s">
        <v>405</v>
      </c>
      <c r="C79" s="24" t="s">
        <v>71</v>
      </c>
      <c r="D79" s="7" t="s">
        <v>60</v>
      </c>
      <c r="E79" s="27">
        <v>26774</v>
      </c>
      <c r="F79" s="10">
        <v>51</v>
      </c>
      <c r="G79" s="7" t="s">
        <v>43</v>
      </c>
      <c r="H79" s="7" t="s">
        <v>54</v>
      </c>
      <c r="I79" s="8"/>
      <c r="J79" s="8" t="s">
        <v>406</v>
      </c>
      <c r="K79" s="9">
        <v>45223</v>
      </c>
      <c r="L79" s="8"/>
      <c r="M79" s="12">
        <v>0</v>
      </c>
      <c r="N79" s="10">
        <v>0</v>
      </c>
      <c r="O79" s="8"/>
      <c r="P79" s="12">
        <v>0</v>
      </c>
      <c r="Q79" s="8"/>
      <c r="R79" s="12"/>
      <c r="S79" s="10">
        <v>58</v>
      </c>
      <c r="T79" s="10">
        <f>58*60</f>
      </c>
      <c r="U79" s="10">
        <v>200</v>
      </c>
      <c r="V79" s="13">
        <v>28.92</v>
      </c>
      <c r="W79" s="13">
        <v>12.96</v>
      </c>
      <c r="X79" s="13">
        <v>29.67</v>
      </c>
      <c r="Y79" s="13">
        <v>28.42</v>
      </c>
      <c r="Z79" s="40"/>
      <c r="AA79" s="40"/>
      <c r="AB79" s="13">
        <v>0.45</v>
      </c>
      <c r="AC79" s="13">
        <v>12.56</v>
      </c>
      <c r="AD79" s="8" t="s">
        <v>305</v>
      </c>
      <c r="AE79" s="42">
        <v>17.35</v>
      </c>
      <c r="AF79" s="13">
        <v>2.06</v>
      </c>
      <c r="AG79" s="10">
        <v>31</v>
      </c>
      <c r="AH79" s="11"/>
      <c r="AI79" s="10">
        <v>401</v>
      </c>
      <c r="AJ79" s="10"/>
      <c r="AK79" s="10"/>
      <c r="AL79" s="7"/>
      <c r="AM79" s="10"/>
    </row>
    <row x14ac:dyDescent="0.25" r="80" customHeight="1" ht="18">
      <c r="A80" s="26" t="s">
        <v>407</v>
      </c>
      <c r="B80" s="24" t="s">
        <v>408</v>
      </c>
      <c r="C80" s="24" t="s">
        <v>71</v>
      </c>
      <c r="D80" s="7" t="s">
        <v>42</v>
      </c>
      <c r="E80" s="27">
        <v>26794</v>
      </c>
      <c r="F80" s="10">
        <v>51</v>
      </c>
      <c r="G80" s="7" t="s">
        <v>79</v>
      </c>
      <c r="H80" s="7" t="s">
        <v>85</v>
      </c>
      <c r="I80" s="8"/>
      <c r="J80" s="8" t="s">
        <v>409</v>
      </c>
      <c r="K80" s="9">
        <v>45348</v>
      </c>
      <c r="L80" s="8"/>
      <c r="M80" s="12">
        <v>0</v>
      </c>
      <c r="N80" s="10">
        <v>0</v>
      </c>
      <c r="O80" s="8"/>
      <c r="P80" s="11"/>
      <c r="Q80" s="8"/>
      <c r="R80" s="12"/>
      <c r="S80" s="10">
        <v>52</v>
      </c>
      <c r="T80" s="10">
        <f>52*60</f>
      </c>
      <c r="U80" s="10">
        <v>385</v>
      </c>
      <c r="V80" s="13">
        <v>13.5</v>
      </c>
      <c r="W80" s="13">
        <v>24.67</v>
      </c>
      <c r="X80" s="13">
        <v>42.98</v>
      </c>
      <c r="Y80" s="13">
        <v>18.83</v>
      </c>
      <c r="Z80" s="10">
        <v>205</v>
      </c>
      <c r="AA80" s="40"/>
      <c r="AB80" s="13">
        <v>0.92</v>
      </c>
      <c r="AC80" s="13">
        <v>40.36</v>
      </c>
      <c r="AD80" s="8"/>
      <c r="AE80" s="42">
        <v>27.74</v>
      </c>
      <c r="AF80" s="13">
        <v>21.92</v>
      </c>
      <c r="AG80" s="10">
        <v>0</v>
      </c>
      <c r="AH80" s="11"/>
      <c r="AI80" s="10">
        <v>393</v>
      </c>
      <c r="AJ80" s="10"/>
      <c r="AK80" s="10"/>
      <c r="AL80" s="7"/>
      <c r="AM80" s="10"/>
    </row>
    <row x14ac:dyDescent="0.25" r="81" customHeight="1" ht="18">
      <c r="A81" s="26" t="s">
        <v>410</v>
      </c>
      <c r="B81" s="24" t="s">
        <v>411</v>
      </c>
      <c r="C81" s="24" t="s">
        <v>71</v>
      </c>
      <c r="D81" s="7" t="s">
        <v>42</v>
      </c>
      <c r="E81" s="27">
        <v>13416</v>
      </c>
      <c r="F81" s="10">
        <v>87</v>
      </c>
      <c r="G81" s="7" t="s">
        <v>79</v>
      </c>
      <c r="H81" s="7" t="s">
        <v>85</v>
      </c>
      <c r="I81" s="8"/>
      <c r="J81" s="8" t="s">
        <v>412</v>
      </c>
      <c r="K81" s="9">
        <v>45434</v>
      </c>
      <c r="L81" s="8"/>
      <c r="M81" s="12" t="s">
        <v>190</v>
      </c>
      <c r="N81" s="10">
        <v>0</v>
      </c>
      <c r="O81" s="8"/>
      <c r="P81" s="11"/>
      <c r="Q81" s="8"/>
      <c r="R81" s="12"/>
      <c r="S81" s="10">
        <v>47</v>
      </c>
      <c r="T81" s="10">
        <f>47*60</f>
      </c>
      <c r="U81" s="10">
        <v>395</v>
      </c>
      <c r="V81" s="13">
        <v>12.01</v>
      </c>
      <c r="W81" s="13">
        <v>16.3</v>
      </c>
      <c r="X81" s="13">
        <v>44.12</v>
      </c>
      <c r="Y81" s="13">
        <v>27.56</v>
      </c>
      <c r="Z81" s="10">
        <v>182</v>
      </c>
      <c r="AA81" s="40"/>
      <c r="AB81" s="13">
        <v>0.86</v>
      </c>
      <c r="AC81" s="13">
        <v>22.3</v>
      </c>
      <c r="AD81" s="8" t="s">
        <v>413</v>
      </c>
      <c r="AE81" s="42">
        <v>3.18</v>
      </c>
      <c r="AF81" s="13">
        <v>7.57</v>
      </c>
      <c r="AG81" s="10">
        <v>0</v>
      </c>
      <c r="AH81" s="11"/>
      <c r="AI81" s="11"/>
      <c r="AJ81" s="10"/>
      <c r="AK81" s="10"/>
      <c r="AL81" s="7"/>
      <c r="AM81" s="10"/>
    </row>
    <row x14ac:dyDescent="0.25" r="82" customHeight="1" ht="18">
      <c r="A82" s="26" t="s">
        <v>414</v>
      </c>
      <c r="B82" s="24" t="s">
        <v>415</v>
      </c>
      <c r="C82" s="24" t="s">
        <v>71</v>
      </c>
      <c r="D82" s="7" t="s">
        <v>42</v>
      </c>
      <c r="E82" s="27">
        <v>17925</v>
      </c>
      <c r="F82" s="10">
        <v>75</v>
      </c>
      <c r="G82" s="7" t="s">
        <v>79</v>
      </c>
      <c r="H82" s="7" t="s">
        <v>85</v>
      </c>
      <c r="I82" s="8"/>
      <c r="J82" s="8" t="s">
        <v>416</v>
      </c>
      <c r="K82" s="9">
        <v>45433</v>
      </c>
      <c r="L82" s="8"/>
      <c r="M82" s="12">
        <v>0</v>
      </c>
      <c r="N82" s="10">
        <v>0</v>
      </c>
      <c r="O82" s="8"/>
      <c r="P82" s="11"/>
      <c r="Q82" s="8"/>
      <c r="R82" s="12" t="s">
        <v>215</v>
      </c>
      <c r="S82" s="10">
        <v>28</v>
      </c>
      <c r="T82" s="10">
        <f>28*60</f>
      </c>
      <c r="U82" s="10">
        <v>289</v>
      </c>
      <c r="V82" s="13">
        <v>9.68</v>
      </c>
      <c r="W82" s="13">
        <v>20.41</v>
      </c>
      <c r="X82" s="13">
        <v>34.77</v>
      </c>
      <c r="Y82" s="13">
        <v>35.12</v>
      </c>
      <c r="Z82" s="10">
        <v>145</v>
      </c>
      <c r="AA82" s="40"/>
      <c r="AB82" s="13">
        <v>0.66</v>
      </c>
      <c r="AC82" s="13">
        <v>24.91</v>
      </c>
      <c r="AD82" s="8" t="s">
        <v>183</v>
      </c>
      <c r="AE82" s="42">
        <v>30.1</v>
      </c>
      <c r="AF82" s="13">
        <f>30+8.57</f>
      </c>
      <c r="AG82" s="10">
        <v>455</v>
      </c>
      <c r="AH82" s="11"/>
      <c r="AI82" s="11"/>
      <c r="AJ82" s="10"/>
      <c r="AK82" s="10"/>
      <c r="AL82" s="7"/>
      <c r="AM82" s="10"/>
    </row>
    <row x14ac:dyDescent="0.25" r="83" customHeight="1" ht="18">
      <c r="A83" s="26" t="s">
        <v>417</v>
      </c>
      <c r="B83" s="24" t="s">
        <v>418</v>
      </c>
      <c r="C83" s="24" t="s">
        <v>71</v>
      </c>
      <c r="D83" s="7" t="s">
        <v>42</v>
      </c>
      <c r="E83" s="27">
        <v>15507</v>
      </c>
      <c r="F83" s="10">
        <v>72</v>
      </c>
      <c r="G83" s="7" t="s">
        <v>43</v>
      </c>
      <c r="H83" s="7" t="s">
        <v>54</v>
      </c>
      <c r="I83" s="8"/>
      <c r="J83" s="8" t="s">
        <v>419</v>
      </c>
      <c r="K83" s="9">
        <v>45349</v>
      </c>
      <c r="L83" s="8"/>
      <c r="M83" s="12">
        <v>0</v>
      </c>
      <c r="N83" s="10">
        <v>0</v>
      </c>
      <c r="O83" s="14" t="s">
        <v>420</v>
      </c>
      <c r="P83" s="11"/>
      <c r="Q83" s="8"/>
      <c r="R83" s="12"/>
      <c r="S83" s="10">
        <v>36</v>
      </c>
      <c r="T83" s="10">
        <f>36*60</f>
      </c>
      <c r="U83" s="10">
        <v>409</v>
      </c>
      <c r="V83" s="13">
        <v>8.91</v>
      </c>
      <c r="W83" s="13">
        <v>20.02</v>
      </c>
      <c r="X83" s="13">
        <v>44.81</v>
      </c>
      <c r="Y83" s="13">
        <v>26.25</v>
      </c>
      <c r="Z83" s="10">
        <v>192</v>
      </c>
      <c r="AA83" s="40"/>
      <c r="AB83" s="13">
        <v>0.94</v>
      </c>
      <c r="AC83" s="13">
        <v>24.46</v>
      </c>
      <c r="AD83" s="8" t="s">
        <v>388</v>
      </c>
      <c r="AE83" s="42">
        <v>30.62</v>
      </c>
      <c r="AF83" s="13">
        <f>9.86+23.01</f>
      </c>
      <c r="AG83" s="10">
        <f>60+49</f>
      </c>
      <c r="AH83" s="11"/>
      <c r="AI83" s="11"/>
      <c r="AJ83" s="10"/>
      <c r="AK83" s="10"/>
      <c r="AL83" s="7"/>
      <c r="AM83" s="10"/>
    </row>
    <row x14ac:dyDescent="0.25" r="84" customHeight="1" ht="18">
      <c r="A84" s="26" t="s">
        <v>421</v>
      </c>
      <c r="B84" s="24" t="s">
        <v>422</v>
      </c>
      <c r="C84" s="24" t="s">
        <v>71</v>
      </c>
      <c r="D84" s="7" t="s">
        <v>42</v>
      </c>
      <c r="E84" s="27">
        <v>28718</v>
      </c>
      <c r="F84" s="10">
        <v>45</v>
      </c>
      <c r="G84" s="7" t="s">
        <v>43</v>
      </c>
      <c r="H84" s="7" t="s">
        <v>170</v>
      </c>
      <c r="I84" s="8"/>
      <c r="J84" s="8" t="s">
        <v>423</v>
      </c>
      <c r="K84" s="9">
        <v>45358</v>
      </c>
      <c r="L84" s="8"/>
      <c r="M84" s="12">
        <v>0</v>
      </c>
      <c r="N84" s="10">
        <v>0</v>
      </c>
      <c r="O84" s="8"/>
      <c r="P84" s="11"/>
      <c r="Q84" s="14" t="s">
        <v>424</v>
      </c>
      <c r="R84" s="12" t="s">
        <v>425</v>
      </c>
      <c r="S84" s="10">
        <v>94</v>
      </c>
      <c r="T84" s="10">
        <f>94*60</f>
      </c>
      <c r="U84" s="10">
        <v>412</v>
      </c>
      <c r="V84" s="13">
        <v>22.93</v>
      </c>
      <c r="W84" s="13">
        <v>20.14</v>
      </c>
      <c r="X84" s="13">
        <v>35.31</v>
      </c>
      <c r="Y84" s="13">
        <v>21.6</v>
      </c>
      <c r="Z84" s="10">
        <v>114</v>
      </c>
      <c r="AA84" s="40"/>
      <c r="AB84" s="13">
        <v>0.94</v>
      </c>
      <c r="AC84" s="13">
        <v>25.77</v>
      </c>
      <c r="AD84" s="8" t="s">
        <v>137</v>
      </c>
      <c r="AE84" s="42">
        <v>72.52</v>
      </c>
      <c r="AF84" s="13">
        <f>0.63+58.41</f>
      </c>
      <c r="AG84" s="10">
        <v>11</v>
      </c>
      <c r="AH84" s="11"/>
      <c r="AI84" s="11"/>
      <c r="AJ84" s="10"/>
      <c r="AK84" s="10"/>
      <c r="AL84" s="7"/>
      <c r="AM84" s="10"/>
    </row>
    <row x14ac:dyDescent="0.25" r="85" customHeight="1" ht="18">
      <c r="A85" s="26" t="s">
        <v>426</v>
      </c>
      <c r="B85" s="24" t="s">
        <v>427</v>
      </c>
      <c r="C85" s="24" t="s">
        <v>71</v>
      </c>
      <c r="D85" s="7" t="s">
        <v>42</v>
      </c>
      <c r="E85" s="27">
        <v>28340</v>
      </c>
      <c r="F85" s="10">
        <v>47</v>
      </c>
      <c r="G85" s="7" t="s">
        <v>43</v>
      </c>
      <c r="H85" s="15" t="s">
        <v>428</v>
      </c>
      <c r="I85" s="8"/>
      <c r="J85" s="8" t="s">
        <v>429</v>
      </c>
      <c r="K85" s="9">
        <v>45467</v>
      </c>
      <c r="L85" s="8"/>
      <c r="M85" s="12">
        <v>0</v>
      </c>
      <c r="N85" s="10">
        <v>0</v>
      </c>
      <c r="O85" s="8"/>
      <c r="P85" s="11"/>
      <c r="Q85" s="14" t="s">
        <v>430</v>
      </c>
      <c r="R85" s="12"/>
      <c r="S85" s="10">
        <v>69</v>
      </c>
      <c r="T85" s="10">
        <f>69*60</f>
      </c>
      <c r="U85" s="10">
        <v>309</v>
      </c>
      <c r="V85" s="13">
        <v>22.29</v>
      </c>
      <c r="W85" s="13">
        <v>6.62</v>
      </c>
      <c r="X85" s="13">
        <v>35.21</v>
      </c>
      <c r="Y85" s="13">
        <v>35.86</v>
      </c>
      <c r="Z85" s="10">
        <v>119</v>
      </c>
      <c r="AA85" s="40"/>
      <c r="AB85" s="13">
        <v>0.95</v>
      </c>
      <c r="AC85" s="13">
        <v>6.97</v>
      </c>
      <c r="AD85" s="8" t="s">
        <v>397</v>
      </c>
      <c r="AE85" s="42">
        <v>10.85</v>
      </c>
      <c r="AF85" s="13">
        <f>1.73+2.6+19.12</f>
      </c>
      <c r="AG85" s="10">
        <f>34+51</f>
      </c>
      <c r="AH85" s="11"/>
      <c r="AI85" s="11"/>
      <c r="AJ85" s="10"/>
      <c r="AK85" s="10"/>
      <c r="AL85" s="7"/>
      <c r="AM85" s="10"/>
    </row>
    <row x14ac:dyDescent="0.25" r="86" customHeight="1" ht="18">
      <c r="A86" s="26" t="s">
        <v>431</v>
      </c>
      <c r="B86" s="24" t="s">
        <v>432</v>
      </c>
      <c r="C86" s="24" t="s">
        <v>53</v>
      </c>
      <c r="D86" s="7" t="s">
        <v>42</v>
      </c>
      <c r="E86" s="27">
        <v>29667</v>
      </c>
      <c r="F86" s="10">
        <v>81</v>
      </c>
      <c r="G86" s="7" t="s">
        <v>242</v>
      </c>
      <c r="H86" s="7" t="s">
        <v>433</v>
      </c>
      <c r="I86" s="8"/>
      <c r="J86" s="8"/>
      <c r="K86" s="9">
        <v>44698</v>
      </c>
      <c r="L86" s="8"/>
      <c r="M86" s="12">
        <v>0</v>
      </c>
      <c r="N86" s="10">
        <v>0</v>
      </c>
      <c r="O86" s="8"/>
      <c r="P86" s="11"/>
      <c r="Q86" s="8"/>
      <c r="R86" s="12"/>
      <c r="S86" s="10">
        <v>97</v>
      </c>
      <c r="T86" s="10">
        <f>97*60</f>
      </c>
      <c r="U86" s="10">
        <v>449</v>
      </c>
      <c r="V86" s="13">
        <v>21.6</v>
      </c>
      <c r="W86" s="13">
        <v>6.23</v>
      </c>
      <c r="X86" s="13">
        <v>55.67</v>
      </c>
      <c r="Y86" s="13">
        <v>16.48</v>
      </c>
      <c r="Z86" s="10">
        <v>55</v>
      </c>
      <c r="AA86" s="40"/>
      <c r="AB86" s="13">
        <v>0.86</v>
      </c>
      <c r="AC86" s="13">
        <v>22.58</v>
      </c>
      <c r="AD86" s="8" t="s">
        <v>247</v>
      </c>
      <c r="AE86" s="42">
        <v>22.6</v>
      </c>
      <c r="AF86" s="13">
        <f>0.61+23.5</f>
      </c>
      <c r="AG86" s="10">
        <f>18</f>
      </c>
      <c r="AH86" s="11"/>
      <c r="AI86" s="11"/>
      <c r="AJ86" s="10"/>
      <c r="AK86" s="10"/>
      <c r="AL86" s="7"/>
      <c r="AM86" s="10"/>
    </row>
    <row x14ac:dyDescent="0.25" r="87" customHeight="1" ht="18">
      <c r="A87" s="26" t="s">
        <v>434</v>
      </c>
      <c r="B87" s="24" t="s">
        <v>435</v>
      </c>
      <c r="C87" s="24" t="s">
        <v>71</v>
      </c>
      <c r="D87" s="7" t="s">
        <v>42</v>
      </c>
      <c r="E87" s="27">
        <v>22154</v>
      </c>
      <c r="F87" s="10">
        <v>63</v>
      </c>
      <c r="G87" s="7" t="s">
        <v>242</v>
      </c>
      <c r="H87" s="7" t="s">
        <v>436</v>
      </c>
      <c r="I87" s="8"/>
      <c r="J87" s="8" t="s">
        <v>437</v>
      </c>
      <c r="K87" s="9">
        <v>45253</v>
      </c>
      <c r="L87" s="8"/>
      <c r="M87" s="12" t="s">
        <v>438</v>
      </c>
      <c r="N87" s="10">
        <v>1</v>
      </c>
      <c r="O87" s="8"/>
      <c r="P87" s="12" t="s">
        <v>304</v>
      </c>
      <c r="Q87" s="8"/>
      <c r="R87" s="12"/>
      <c r="S87" s="10">
        <v>27</v>
      </c>
      <c r="T87" s="10">
        <f>27*60</f>
      </c>
      <c r="U87" s="10">
        <v>229</v>
      </c>
      <c r="V87" s="13">
        <v>11.98</v>
      </c>
      <c r="W87" s="13">
        <v>24.4</v>
      </c>
      <c r="X87" s="13">
        <v>25.49</v>
      </c>
      <c r="Y87" s="13">
        <v>38.12</v>
      </c>
      <c r="Z87" s="10">
        <v>94</v>
      </c>
      <c r="AA87" s="40"/>
      <c r="AB87" s="13">
        <v>0.68</v>
      </c>
      <c r="AC87" s="13">
        <v>25.09</v>
      </c>
      <c r="AD87" s="8" t="s">
        <v>137</v>
      </c>
      <c r="AE87" s="43">
        <v>61</v>
      </c>
      <c r="AF87" s="13">
        <f>2.18+21.81+78.54+2.18</f>
      </c>
      <c r="AG87" s="10">
        <f>16+3*60+36</f>
      </c>
      <c r="AH87" s="11"/>
      <c r="AI87" s="10">
        <v>47</v>
      </c>
      <c r="AJ87" s="10"/>
      <c r="AK87" s="10"/>
      <c r="AL87" s="7"/>
      <c r="AM87" s="10"/>
    </row>
    <row x14ac:dyDescent="0.25" r="88" customHeight="1" ht="18">
      <c r="A88" s="26" t="s">
        <v>439</v>
      </c>
      <c r="B88" s="24" t="s">
        <v>440</v>
      </c>
      <c r="C88" s="24" t="s">
        <v>71</v>
      </c>
      <c r="D88" s="7" t="s">
        <v>60</v>
      </c>
      <c r="E88" s="27">
        <v>18188</v>
      </c>
      <c r="F88" s="10">
        <v>74</v>
      </c>
      <c r="G88" s="7" t="s">
        <v>79</v>
      </c>
      <c r="H88" s="7" t="s">
        <v>85</v>
      </c>
      <c r="I88" s="8"/>
      <c r="J88" s="8" t="s">
        <v>441</v>
      </c>
      <c r="K88" s="9">
        <v>45357</v>
      </c>
      <c r="L88" s="8"/>
      <c r="M88" s="12" t="s">
        <v>442</v>
      </c>
      <c r="N88" s="10">
        <v>1</v>
      </c>
      <c r="O88" s="8"/>
      <c r="P88" s="12" t="s">
        <v>304</v>
      </c>
      <c r="Q88" s="14" t="s">
        <v>215</v>
      </c>
      <c r="R88" s="12" t="s">
        <v>215</v>
      </c>
      <c r="S88" s="10">
        <v>18</v>
      </c>
      <c r="T88" s="10">
        <f>18*60</f>
      </c>
      <c r="U88" s="10">
        <v>495</v>
      </c>
      <c r="V88" s="13">
        <v>3.63</v>
      </c>
      <c r="W88" s="13">
        <v>12.51</v>
      </c>
      <c r="X88" s="13">
        <v>65.48</v>
      </c>
      <c r="Y88" s="13">
        <v>18.36</v>
      </c>
      <c r="Z88" s="10">
        <v>435</v>
      </c>
      <c r="AA88" s="40"/>
      <c r="AB88" s="13">
        <v>0.85</v>
      </c>
      <c r="AC88" s="13">
        <v>64.29</v>
      </c>
      <c r="AD88" s="8" t="s">
        <v>137</v>
      </c>
      <c r="AE88" s="42">
        <v>59.57</v>
      </c>
      <c r="AF88" s="13">
        <f>3.33+6.66+29.99</f>
      </c>
      <c r="AG88" s="10">
        <f> 17+29</f>
      </c>
      <c r="AH88" s="11"/>
      <c r="AI88" s="11"/>
      <c r="AJ88" s="10"/>
      <c r="AK88" s="10"/>
      <c r="AL88" s="7"/>
      <c r="AM88" s="10"/>
    </row>
    <row x14ac:dyDescent="0.25" r="89" customHeight="1" ht="18">
      <c r="A89" s="26" t="s">
        <v>443</v>
      </c>
      <c r="B89" s="24" t="s">
        <v>444</v>
      </c>
      <c r="C89" s="24" t="s">
        <v>71</v>
      </c>
      <c r="D89" s="7" t="s">
        <v>60</v>
      </c>
      <c r="E89" s="27">
        <v>20693</v>
      </c>
      <c r="F89" s="10">
        <v>68</v>
      </c>
      <c r="G89" s="7" t="s">
        <v>79</v>
      </c>
      <c r="H89" s="7" t="s">
        <v>85</v>
      </c>
      <c r="I89" s="8"/>
      <c r="J89" s="8" t="s">
        <v>445</v>
      </c>
      <c r="K89" s="9">
        <v>45385</v>
      </c>
      <c r="L89" s="8"/>
      <c r="M89" s="12" t="s">
        <v>446</v>
      </c>
      <c r="N89" s="10">
        <v>1</v>
      </c>
      <c r="O89" s="14" t="s">
        <v>447</v>
      </c>
      <c r="P89" s="12" t="s">
        <v>448</v>
      </c>
      <c r="Q89" s="14" t="s">
        <v>449</v>
      </c>
      <c r="R89" s="12"/>
      <c r="S89" s="10">
        <v>153</v>
      </c>
      <c r="T89" s="10">
        <f>153*60</f>
      </c>
      <c r="U89" s="10">
        <v>566</v>
      </c>
      <c r="V89" s="13">
        <v>27.03</v>
      </c>
      <c r="W89" s="13">
        <v>5.21</v>
      </c>
      <c r="X89" s="13">
        <v>45.75</v>
      </c>
      <c r="Y89" s="13">
        <v>21.99</v>
      </c>
      <c r="Z89" s="10">
        <v>121</v>
      </c>
      <c r="AA89" s="40"/>
      <c r="AB89" s="13">
        <v>0.95</v>
      </c>
      <c r="AC89" s="13">
        <v>11.87</v>
      </c>
      <c r="AD89" s="8" t="s">
        <v>450</v>
      </c>
      <c r="AE89" s="42">
        <v>10.17</v>
      </c>
      <c r="AF89" s="13">
        <f>0.39+1.17</f>
      </c>
      <c r="AG89" s="10">
        <v>10</v>
      </c>
      <c r="AH89" s="11"/>
      <c r="AI89" s="11"/>
      <c r="AJ89" s="10"/>
      <c r="AK89" s="10"/>
      <c r="AL89" s="7"/>
      <c r="AM89" s="10"/>
    </row>
    <row x14ac:dyDescent="0.25" r="90" customHeight="1" ht="18">
      <c r="A90" s="26" t="s">
        <v>451</v>
      </c>
      <c r="B90" s="24" t="s">
        <v>452</v>
      </c>
      <c r="C90" s="24" t="s">
        <v>71</v>
      </c>
      <c r="D90" s="7" t="s">
        <v>42</v>
      </c>
      <c r="E90" s="27">
        <v>18751</v>
      </c>
      <c r="F90" s="10">
        <v>73</v>
      </c>
      <c r="G90" s="7" t="s">
        <v>43</v>
      </c>
      <c r="H90" s="7" t="s">
        <v>54</v>
      </c>
      <c r="I90" s="8"/>
      <c r="J90" s="8" t="s">
        <v>453</v>
      </c>
      <c r="K90" s="9">
        <v>45440</v>
      </c>
      <c r="L90" s="8"/>
      <c r="M90" s="12" t="s">
        <v>454</v>
      </c>
      <c r="N90" s="10">
        <v>1</v>
      </c>
      <c r="O90" s="8"/>
      <c r="P90" s="12" t="s">
        <v>304</v>
      </c>
      <c r="Q90" s="8"/>
      <c r="R90" s="12"/>
      <c r="S90" s="10">
        <v>10</v>
      </c>
      <c r="T90" s="10">
        <f>10*60</f>
      </c>
      <c r="U90" s="10">
        <f>263</f>
      </c>
      <c r="V90" s="13">
        <v>3.79</v>
      </c>
      <c r="W90" s="13">
        <v>19.54</v>
      </c>
      <c r="X90" s="13">
        <v>50.09</v>
      </c>
      <c r="Y90" s="13">
        <v>26.56</v>
      </c>
      <c r="Z90" s="10">
        <v>338</v>
      </c>
      <c r="AA90" s="40"/>
      <c r="AB90" s="13">
        <v>0.75</v>
      </c>
      <c r="AC90" s="13">
        <v>45.99</v>
      </c>
      <c r="AD90" s="8" t="s">
        <v>137</v>
      </c>
      <c r="AE90" s="42">
        <v>77.19</v>
      </c>
      <c r="AF90" s="10">
        <f>48+18</f>
      </c>
      <c r="AG90" s="10">
        <f>2*60+38</f>
      </c>
      <c r="AH90" s="11"/>
      <c r="AI90" s="11"/>
      <c r="AJ90" s="10"/>
      <c r="AK90" s="10"/>
      <c r="AL90" s="7"/>
      <c r="AM90" s="10"/>
    </row>
    <row x14ac:dyDescent="0.25" r="91" customHeight="1" ht="18">
      <c r="A91" s="26" t="s">
        <v>455</v>
      </c>
      <c r="B91" s="24" t="s">
        <v>456</v>
      </c>
      <c r="C91" s="24" t="s">
        <v>71</v>
      </c>
      <c r="D91" s="7" t="s">
        <v>60</v>
      </c>
      <c r="E91" s="27">
        <v>17825</v>
      </c>
      <c r="F91" s="10">
        <v>75</v>
      </c>
      <c r="G91" s="7" t="s">
        <v>79</v>
      </c>
      <c r="H91" s="7" t="s">
        <v>85</v>
      </c>
      <c r="I91" s="8"/>
      <c r="J91" s="8" t="s">
        <v>457</v>
      </c>
      <c r="K91" s="9">
        <v>45414</v>
      </c>
      <c r="L91" s="8"/>
      <c r="M91" s="11"/>
      <c r="N91" s="10">
        <v>0</v>
      </c>
      <c r="O91" s="8"/>
      <c r="P91" s="11"/>
      <c r="Q91" s="8"/>
      <c r="R91" s="12"/>
      <c r="S91" s="10">
        <v>94</v>
      </c>
      <c r="T91" s="10">
        <f>94*60</f>
      </c>
      <c r="U91" s="10">
        <v>386</v>
      </c>
      <c r="V91" s="13">
        <v>24.35</v>
      </c>
      <c r="W91" s="13">
        <v>2.72</v>
      </c>
      <c r="X91" s="13">
        <v>51.42</v>
      </c>
      <c r="Y91" s="13">
        <v>21.5</v>
      </c>
      <c r="Z91" s="10">
        <v>299</v>
      </c>
      <c r="AA91" s="40"/>
      <c r="AB91" s="13">
        <v>0.92</v>
      </c>
      <c r="AC91" s="13">
        <v>1.55</v>
      </c>
      <c r="AD91" s="8" t="s">
        <v>247</v>
      </c>
      <c r="AE91" s="42">
        <v>21.13</v>
      </c>
      <c r="AF91" s="13">
        <f>3.82+7.02+25.52</f>
      </c>
      <c r="AG91" s="10">
        <f>60+54+120+46</f>
      </c>
      <c r="AH91" s="11"/>
      <c r="AI91" s="11"/>
      <c r="AJ91" s="10"/>
      <c r="AK91" s="10"/>
      <c r="AL91" s="7"/>
      <c r="AM91" s="10"/>
    </row>
    <row x14ac:dyDescent="0.25" r="92" customHeight="1" ht="18">
      <c r="A92" s="26" t="s">
        <v>458</v>
      </c>
      <c r="B92" s="24" t="s">
        <v>459</v>
      </c>
      <c r="C92" s="24" t="s">
        <v>71</v>
      </c>
      <c r="D92" s="7" t="s">
        <v>42</v>
      </c>
      <c r="E92" s="27">
        <v>34991</v>
      </c>
      <c r="F92" s="10">
        <v>28</v>
      </c>
      <c r="G92" s="7" t="s">
        <v>79</v>
      </c>
      <c r="H92" s="7" t="s">
        <v>218</v>
      </c>
      <c r="I92" s="8"/>
      <c r="J92" s="8" t="s">
        <v>460</v>
      </c>
      <c r="K92" s="9">
        <v>45434</v>
      </c>
      <c r="L92" s="8"/>
      <c r="M92" s="12" t="s">
        <v>303</v>
      </c>
      <c r="N92" s="10">
        <v>1</v>
      </c>
      <c r="O92" s="14" t="s">
        <v>461</v>
      </c>
      <c r="P92" s="11"/>
      <c r="Q92" s="8"/>
      <c r="R92" s="12"/>
      <c r="S92" s="10">
        <v>74</v>
      </c>
      <c r="T92" s="10">
        <f>74*60</f>
      </c>
      <c r="U92" s="10">
        <v>506</v>
      </c>
      <c r="V92" s="13">
        <v>14.62</v>
      </c>
      <c r="W92" s="13">
        <v>4.94</v>
      </c>
      <c r="X92" s="13">
        <v>61.16</v>
      </c>
      <c r="Y92" s="13">
        <v>19.26</v>
      </c>
      <c r="Z92" s="10">
        <v>286</v>
      </c>
      <c r="AA92" s="40"/>
      <c r="AB92" s="13">
        <v>0.89</v>
      </c>
      <c r="AC92" s="13">
        <v>0.83</v>
      </c>
      <c r="AD92" s="8" t="s">
        <v>462</v>
      </c>
      <c r="AE92" s="42">
        <v>0.35</v>
      </c>
      <c r="AF92" s="13">
        <v>1.62</v>
      </c>
      <c r="AG92" s="10">
        <v>21</v>
      </c>
      <c r="AH92" s="11"/>
      <c r="AI92" s="11"/>
      <c r="AJ92" s="10"/>
      <c r="AK92" s="10"/>
      <c r="AL92" s="7"/>
      <c r="AM92" s="10"/>
    </row>
    <row x14ac:dyDescent="0.25" r="93" customHeight="1" ht="18">
      <c r="A93" s="26" t="s">
        <v>463</v>
      </c>
      <c r="B93" s="24" t="s">
        <v>464</v>
      </c>
      <c r="C93" s="24" t="s">
        <v>71</v>
      </c>
      <c r="D93" s="7" t="s">
        <v>60</v>
      </c>
      <c r="E93" s="27">
        <v>23858</v>
      </c>
      <c r="F93" s="10">
        <v>59</v>
      </c>
      <c r="G93" s="7" t="s">
        <v>242</v>
      </c>
      <c r="H93" s="15" t="s">
        <v>465</v>
      </c>
      <c r="I93" s="8"/>
      <c r="J93" s="8" t="s">
        <v>466</v>
      </c>
      <c r="K93" s="9">
        <v>45407</v>
      </c>
      <c r="L93" s="8"/>
      <c r="M93" s="12" t="s">
        <v>467</v>
      </c>
      <c r="N93" s="10">
        <v>1</v>
      </c>
      <c r="O93" s="14" t="s">
        <v>468</v>
      </c>
      <c r="P93" s="11"/>
      <c r="Q93" s="8"/>
      <c r="R93" s="12"/>
      <c r="S93" s="10">
        <v>44</v>
      </c>
      <c r="T93" s="10">
        <f>S93*60</f>
      </c>
      <c r="U93" s="10">
        <v>356</v>
      </c>
      <c r="V93" s="13">
        <v>12.34</v>
      </c>
      <c r="W93" s="13">
        <v>11.07</v>
      </c>
      <c r="X93" s="13">
        <v>23.98</v>
      </c>
      <c r="Y93" s="13">
        <v>52.59</v>
      </c>
      <c r="Z93" s="10">
        <v>87</v>
      </c>
      <c r="AA93" s="40"/>
      <c r="AB93" s="13">
        <v>0.96</v>
      </c>
      <c r="AC93" s="40"/>
      <c r="AD93" s="8"/>
      <c r="AE93" s="40"/>
      <c r="AF93" s="11"/>
      <c r="AG93" s="11"/>
      <c r="AH93" s="11"/>
      <c r="AI93" s="11"/>
      <c r="AJ93" s="10"/>
      <c r="AK93" s="10"/>
      <c r="AL93" s="7"/>
      <c r="AM93" s="10"/>
    </row>
    <row x14ac:dyDescent="0.25" r="94" customHeight="1" ht="18">
      <c r="A94" s="26" t="s">
        <v>469</v>
      </c>
      <c r="B94" s="24" t="s">
        <v>470</v>
      </c>
      <c r="C94" s="24" t="s">
        <v>71</v>
      </c>
      <c r="D94" s="7" t="s">
        <v>60</v>
      </c>
      <c r="E94" s="27">
        <v>32480</v>
      </c>
      <c r="F94" s="10">
        <v>35</v>
      </c>
      <c r="G94" s="7" t="s">
        <v>107</v>
      </c>
      <c r="H94" s="7" t="s">
        <v>133</v>
      </c>
      <c r="I94" s="8"/>
      <c r="J94" s="8" t="s">
        <v>471</v>
      </c>
      <c r="K94" s="9">
        <v>45385</v>
      </c>
      <c r="L94" s="8"/>
      <c r="M94" s="12" t="s">
        <v>82</v>
      </c>
      <c r="N94" s="10">
        <v>1</v>
      </c>
      <c r="O94" s="8"/>
      <c r="P94" s="11"/>
      <c r="Q94" s="8"/>
      <c r="R94" s="12"/>
      <c r="S94" s="10">
        <v>35</v>
      </c>
      <c r="T94" s="10">
        <f>35*60</f>
      </c>
      <c r="U94" s="10">
        <v>366</v>
      </c>
      <c r="V94" s="13">
        <v>9.56</v>
      </c>
      <c r="W94" s="13">
        <v>3.55</v>
      </c>
      <c r="X94" s="13">
        <v>63.11</v>
      </c>
      <c r="Y94" s="13">
        <v>23.77</v>
      </c>
      <c r="Z94" s="10">
        <v>163</v>
      </c>
      <c r="AA94" s="40"/>
      <c r="AB94" s="13">
        <v>0.85</v>
      </c>
      <c r="AC94" s="13">
        <v>21.14</v>
      </c>
      <c r="AD94" s="8" t="s">
        <v>472</v>
      </c>
      <c r="AE94" s="42">
        <v>8.03</v>
      </c>
      <c r="AF94" s="13">
        <v>10.28</v>
      </c>
      <c r="AG94" s="10">
        <v>0</v>
      </c>
      <c r="AH94" s="11"/>
      <c r="AI94" s="10">
        <v>114</v>
      </c>
      <c r="AJ94" s="10" t="s">
        <v>473</v>
      </c>
      <c r="AK94" s="10">
        <v>3</v>
      </c>
      <c r="AL94" s="16"/>
      <c r="AM94" s="10">
        <v>22</v>
      </c>
    </row>
    <row x14ac:dyDescent="0.25" r="95" customHeight="1" ht="18">
      <c r="A95" s="26" t="s">
        <v>474</v>
      </c>
      <c r="B95" s="8" t="s">
        <v>475</v>
      </c>
      <c r="C95" s="24" t="s">
        <v>71</v>
      </c>
      <c r="D95" s="7" t="s">
        <v>42</v>
      </c>
      <c r="E95" s="9">
        <v>40392</v>
      </c>
      <c r="F95" s="10">
        <v>14</v>
      </c>
      <c r="G95" s="7" t="s">
        <v>107</v>
      </c>
      <c r="H95" s="7" t="s">
        <v>133</v>
      </c>
      <c r="I95" s="8"/>
      <c r="J95" s="8" t="s">
        <v>476</v>
      </c>
      <c r="K95" s="9">
        <v>45551</v>
      </c>
      <c r="L95" s="8"/>
      <c r="M95" s="12">
        <v>0</v>
      </c>
      <c r="N95" s="10">
        <v>0</v>
      </c>
      <c r="O95" s="8"/>
      <c r="P95" s="12">
        <v>0</v>
      </c>
      <c r="Q95" s="8"/>
      <c r="R95" s="12"/>
      <c r="S95" s="10">
        <v>94</v>
      </c>
      <c r="T95" s="10">
        <f>94*60</f>
      </c>
      <c r="U95" s="10">
        <v>467</v>
      </c>
      <c r="V95" s="13">
        <v>20.12</v>
      </c>
      <c r="W95" s="13">
        <v>5.46</v>
      </c>
      <c r="X95" s="13">
        <v>57.81</v>
      </c>
      <c r="Y95" s="13">
        <v>16.59</v>
      </c>
      <c r="Z95" s="10">
        <v>1</v>
      </c>
      <c r="AA95" s="40"/>
      <c r="AB95" s="13">
        <v>0.83</v>
      </c>
      <c r="AC95" s="13">
        <v>18.11</v>
      </c>
      <c r="AD95" s="8" t="s">
        <v>477</v>
      </c>
      <c r="AE95" s="42">
        <v>4.88</v>
      </c>
      <c r="AF95" s="13">
        <f>0.63+7.02</f>
      </c>
      <c r="AG95" s="11"/>
      <c r="AH95" s="11"/>
      <c r="AI95" s="10">
        <v>76</v>
      </c>
      <c r="AJ95" s="10" t="s">
        <v>478</v>
      </c>
      <c r="AK95" s="10">
        <v>5</v>
      </c>
      <c r="AL95" s="7" t="s">
        <v>479</v>
      </c>
      <c r="AM95" s="44"/>
    </row>
    <row x14ac:dyDescent="0.25" r="96" customHeight="1" ht="18">
      <c r="A96" s="26" t="s">
        <v>480</v>
      </c>
      <c r="B96" s="24" t="s">
        <v>481</v>
      </c>
      <c r="C96" s="24" t="s">
        <v>71</v>
      </c>
      <c r="D96" s="7" t="s">
        <v>60</v>
      </c>
      <c r="E96" s="27">
        <v>15077</v>
      </c>
      <c r="F96" s="10">
        <v>83</v>
      </c>
      <c r="G96" s="7" t="s">
        <v>79</v>
      </c>
      <c r="H96" s="7" t="s">
        <v>85</v>
      </c>
      <c r="I96" s="8"/>
      <c r="J96" s="8" t="s">
        <v>482</v>
      </c>
      <c r="K96" s="9">
        <v>45565</v>
      </c>
      <c r="L96" s="8"/>
      <c r="M96" s="12" t="s">
        <v>483</v>
      </c>
      <c r="N96" s="10">
        <v>1</v>
      </c>
      <c r="O96" s="8"/>
      <c r="P96" s="12" t="s">
        <v>484</v>
      </c>
      <c r="Q96" s="8"/>
      <c r="R96" s="12"/>
      <c r="S96" s="10">
        <v>99</v>
      </c>
      <c r="T96" s="10">
        <f>99*60</f>
      </c>
      <c r="U96" s="10">
        <v>450</v>
      </c>
      <c r="V96" s="13">
        <v>21.97</v>
      </c>
      <c r="W96" s="13">
        <v>10.54</v>
      </c>
      <c r="X96" s="13">
        <v>25.41</v>
      </c>
      <c r="Y96" s="13">
        <v>42.06</v>
      </c>
      <c r="Z96" s="10">
        <v>179</v>
      </c>
      <c r="AA96" s="40"/>
      <c r="AB96" s="40"/>
      <c r="AC96" s="13">
        <v>11.45</v>
      </c>
      <c r="AD96" s="8" t="s">
        <v>485</v>
      </c>
      <c r="AE96" s="42">
        <v>8.12</v>
      </c>
      <c r="AF96" s="13">
        <f>18.78+0.6+5.45</f>
      </c>
      <c r="AG96" s="10">
        <f>60*7+53+13</f>
      </c>
      <c r="AH96" s="11"/>
      <c r="AI96" s="10">
        <v>539</v>
      </c>
      <c r="AJ96" s="10"/>
      <c r="AK96" s="10"/>
      <c r="AL96" s="7"/>
      <c r="AM96" s="10"/>
    </row>
    <row x14ac:dyDescent="0.25" r="97" customHeight="1" ht="18">
      <c r="A97" s="26" t="s">
        <v>486</v>
      </c>
      <c r="B97" s="24" t="s">
        <v>487</v>
      </c>
      <c r="C97" s="24" t="s">
        <v>71</v>
      </c>
      <c r="D97" s="7" t="s">
        <v>42</v>
      </c>
      <c r="E97" s="27">
        <v>19780</v>
      </c>
      <c r="F97" s="10">
        <v>70</v>
      </c>
      <c r="G97" s="7" t="s">
        <v>43</v>
      </c>
      <c r="H97" s="15" t="s">
        <v>358</v>
      </c>
      <c r="I97" s="8"/>
      <c r="J97" s="8" t="s">
        <v>488</v>
      </c>
      <c r="K97" s="9">
        <v>45540</v>
      </c>
      <c r="L97" s="8"/>
      <c r="M97" s="12">
        <v>0</v>
      </c>
      <c r="N97" s="10">
        <v>0</v>
      </c>
      <c r="O97" s="14" t="s">
        <v>489</v>
      </c>
      <c r="P97" s="12">
        <v>0</v>
      </c>
      <c r="Q97" s="8"/>
      <c r="R97" s="12" t="s">
        <v>490</v>
      </c>
      <c r="S97" s="10">
        <v>64</v>
      </c>
      <c r="T97" s="10">
        <f>64*60</f>
      </c>
      <c r="U97" s="10">
        <v>371</v>
      </c>
      <c r="V97" s="13">
        <v>17.36</v>
      </c>
      <c r="W97" s="13">
        <v>14.26</v>
      </c>
      <c r="X97" s="13">
        <v>44.54</v>
      </c>
      <c r="Y97" s="13">
        <v>23.82</v>
      </c>
      <c r="Z97" s="10">
        <v>152</v>
      </c>
      <c r="AA97" s="40"/>
      <c r="AB97" s="13">
        <v>0.82</v>
      </c>
      <c r="AC97" s="13">
        <v>33.43</v>
      </c>
      <c r="AD97" s="8"/>
      <c r="AE97" s="42">
        <v>14.05</v>
      </c>
      <c r="AF97" s="13">
        <v>5.58</v>
      </c>
      <c r="AG97" s="10">
        <v>0</v>
      </c>
      <c r="AH97" s="11"/>
      <c r="AI97" s="10">
        <v>213</v>
      </c>
      <c r="AJ97" s="10"/>
      <c r="AK97" s="10"/>
      <c r="AL97" s="7"/>
      <c r="AM97" s="10"/>
    </row>
    <row x14ac:dyDescent="0.25" r="98" customHeight="1" ht="18">
      <c r="A98" s="26" t="s">
        <v>491</v>
      </c>
      <c r="B98" s="24" t="s">
        <v>492</v>
      </c>
      <c r="C98" s="24" t="s">
        <v>71</v>
      </c>
      <c r="D98" s="7" t="s">
        <v>42</v>
      </c>
      <c r="E98" s="27">
        <v>19343</v>
      </c>
      <c r="F98" s="10">
        <v>71</v>
      </c>
      <c r="G98" s="7" t="s">
        <v>43</v>
      </c>
      <c r="H98" s="15" t="s">
        <v>400</v>
      </c>
      <c r="I98" s="8"/>
      <c r="J98" s="8" t="s">
        <v>493</v>
      </c>
      <c r="K98" s="9">
        <v>45526</v>
      </c>
      <c r="L98" s="8"/>
      <c r="M98" s="12">
        <v>0</v>
      </c>
      <c r="N98" s="10">
        <v>0</v>
      </c>
      <c r="O98" s="8"/>
      <c r="P98" s="12">
        <v>0</v>
      </c>
      <c r="Q98" s="8"/>
      <c r="R98" s="12"/>
      <c r="S98" s="10">
        <v>30</v>
      </c>
      <c r="T98" s="10">
        <f>30*60</f>
      </c>
      <c r="U98" s="10">
        <v>335</v>
      </c>
      <c r="V98" s="13">
        <v>8.95</v>
      </c>
      <c r="W98" s="13">
        <v>11.34</v>
      </c>
      <c r="X98" s="13">
        <v>45.07</v>
      </c>
      <c r="Y98" s="13">
        <v>34.62</v>
      </c>
      <c r="Z98" s="10">
        <v>195</v>
      </c>
      <c r="AA98" s="40"/>
      <c r="AB98" s="13">
        <v>0.77</v>
      </c>
      <c r="AC98" s="13">
        <v>19.88</v>
      </c>
      <c r="AD98" s="8" t="s">
        <v>472</v>
      </c>
      <c r="AE98" s="42">
        <v>12.71</v>
      </c>
      <c r="AF98" s="10">
        <v>12</v>
      </c>
      <c r="AG98" s="10">
        <f>17+21+19</f>
      </c>
      <c r="AH98" s="11"/>
      <c r="AI98" s="10">
        <v>246</v>
      </c>
      <c r="AJ98" s="10"/>
      <c r="AK98" s="10"/>
      <c r="AL98" s="7"/>
      <c r="AM98" s="10"/>
    </row>
    <row x14ac:dyDescent="0.25" r="99" customHeight="1" ht="18">
      <c r="A99" s="26" t="s">
        <v>494</v>
      </c>
      <c r="B99" s="24" t="s">
        <v>495</v>
      </c>
      <c r="C99" s="24" t="s">
        <v>71</v>
      </c>
      <c r="D99" s="7" t="s">
        <v>42</v>
      </c>
      <c r="E99" s="27">
        <v>16707</v>
      </c>
      <c r="F99" s="10">
        <v>79</v>
      </c>
      <c r="G99" s="7" t="s">
        <v>43</v>
      </c>
      <c r="H99" s="7" t="s">
        <v>44</v>
      </c>
      <c r="I99" s="8"/>
      <c r="J99" s="8" t="s">
        <v>496</v>
      </c>
      <c r="K99" s="9">
        <v>45439</v>
      </c>
      <c r="L99" s="8"/>
      <c r="M99" s="12" t="s">
        <v>497</v>
      </c>
      <c r="N99" s="10">
        <v>1</v>
      </c>
      <c r="O99" s="14" t="s">
        <v>498</v>
      </c>
      <c r="P99" s="11"/>
      <c r="Q99" s="14" t="s">
        <v>499</v>
      </c>
      <c r="R99" s="12" t="s">
        <v>500</v>
      </c>
      <c r="S99" s="10">
        <v>77</v>
      </c>
      <c r="T99" s="10">
        <f>77*60</f>
      </c>
      <c r="U99" s="10">
        <v>357</v>
      </c>
      <c r="V99" s="13">
        <v>21.67</v>
      </c>
      <c r="W99" s="13">
        <v>8.11</v>
      </c>
      <c r="X99" s="13">
        <v>57.76</v>
      </c>
      <c r="Y99" s="13">
        <v>12.44</v>
      </c>
      <c r="Z99" s="10">
        <v>131</v>
      </c>
      <c r="AA99" s="40"/>
      <c r="AB99" s="13">
        <v>0.88</v>
      </c>
      <c r="AC99" s="13">
        <v>11.74</v>
      </c>
      <c r="AD99" s="8" t="s">
        <v>501</v>
      </c>
      <c r="AE99" s="42">
        <v>12.58</v>
      </c>
      <c r="AF99" s="13">
        <f>0.77*2+9.29</f>
      </c>
      <c r="AG99" s="10">
        <f>11+20</f>
      </c>
      <c r="AH99" s="11"/>
      <c r="AI99" s="10">
        <v>960</v>
      </c>
      <c r="AJ99" s="10"/>
      <c r="AK99" s="10"/>
      <c r="AL99" s="7"/>
      <c r="AM99" s="10"/>
    </row>
    <row x14ac:dyDescent="0.25" r="100" customHeight="1" ht="18">
      <c r="A100" s="7" t="s">
        <v>502</v>
      </c>
      <c r="B100" s="24" t="s">
        <v>503</v>
      </c>
      <c r="C100" s="24" t="s">
        <v>71</v>
      </c>
      <c r="D100" s="7" t="s">
        <v>42</v>
      </c>
      <c r="E100" s="9">
        <v>19224</v>
      </c>
      <c r="F100" s="10">
        <v>72</v>
      </c>
      <c r="G100" s="7" t="s">
        <v>242</v>
      </c>
      <c r="H100" s="7" t="s">
        <v>282</v>
      </c>
      <c r="I100" s="8"/>
      <c r="J100" s="8" t="s">
        <v>504</v>
      </c>
      <c r="K100" s="9">
        <v>45537</v>
      </c>
      <c r="L100" s="8"/>
      <c r="M100" s="12" t="s">
        <v>505</v>
      </c>
      <c r="N100" s="10">
        <v>1</v>
      </c>
      <c r="O100" s="8"/>
      <c r="P100" s="11"/>
      <c r="Q100" s="8"/>
      <c r="R100" s="12"/>
      <c r="S100" s="10">
        <v>115</v>
      </c>
      <c r="T100" s="10">
        <f>115*60</f>
      </c>
      <c r="U100" s="10">
        <f>462</f>
      </c>
      <c r="V100" s="13">
        <v>24.97</v>
      </c>
      <c r="W100" s="13">
        <v>4.86</v>
      </c>
      <c r="X100" s="13">
        <v>61.62</v>
      </c>
      <c r="Y100" s="13">
        <v>8.54</v>
      </c>
      <c r="Z100" s="10">
        <v>157</v>
      </c>
      <c r="AA100" s="40"/>
      <c r="AB100" s="13">
        <v>0.77</v>
      </c>
      <c r="AC100" s="13">
        <v>3.24</v>
      </c>
      <c r="AD100" s="8" t="s">
        <v>506</v>
      </c>
      <c r="AE100" s="42">
        <v>5.18</v>
      </c>
      <c r="AF100" s="13">
        <f>1.03+3.11</f>
      </c>
      <c r="AG100" s="10">
        <v>29</v>
      </c>
      <c r="AH100" s="11"/>
      <c r="AI100" s="11"/>
      <c r="AJ100" s="10"/>
      <c r="AK100" s="10"/>
      <c r="AL100" s="7"/>
      <c r="AM100" s="10"/>
    </row>
    <row x14ac:dyDescent="0.25" r="101" customHeight="1" ht="18">
      <c r="A101" s="7" t="s">
        <v>507</v>
      </c>
      <c r="B101" s="24" t="s">
        <v>508</v>
      </c>
      <c r="C101" s="24" t="s">
        <v>71</v>
      </c>
      <c r="D101" s="7" t="s">
        <v>42</v>
      </c>
      <c r="E101" s="9">
        <v>19718</v>
      </c>
      <c r="F101" s="10">
        <v>70</v>
      </c>
      <c r="G101" s="7" t="s">
        <v>79</v>
      </c>
      <c r="H101" s="7" t="s">
        <v>85</v>
      </c>
      <c r="I101" s="8"/>
      <c r="J101" s="28" t="s">
        <v>509</v>
      </c>
      <c r="K101" s="9">
        <v>45544</v>
      </c>
      <c r="L101" s="8"/>
      <c r="M101" s="12" t="s">
        <v>510</v>
      </c>
      <c r="N101" s="10">
        <v>0</v>
      </c>
      <c r="O101" s="8"/>
      <c r="P101" s="12" t="s">
        <v>238</v>
      </c>
      <c r="Q101" s="14" t="s">
        <v>130</v>
      </c>
      <c r="R101" s="12" t="s">
        <v>215</v>
      </c>
      <c r="S101" s="10">
        <v>75</v>
      </c>
      <c r="T101" s="10">
        <f>75*60</f>
      </c>
      <c r="U101" s="10">
        <v>300</v>
      </c>
      <c r="V101" s="10">
        <v>25</v>
      </c>
      <c r="W101" s="13">
        <v>9.33</v>
      </c>
      <c r="X101" s="13">
        <v>44.66</v>
      </c>
      <c r="Y101" s="10">
        <v>21</v>
      </c>
      <c r="Z101" s="10">
        <v>146</v>
      </c>
      <c r="AA101" s="40"/>
      <c r="AB101" s="13">
        <v>0.91</v>
      </c>
      <c r="AC101" s="13">
        <v>4.8</v>
      </c>
      <c r="AD101" s="8" t="s">
        <v>511</v>
      </c>
      <c r="AE101" s="42">
        <v>4.59</v>
      </c>
      <c r="AF101" s="13">
        <v>1.6</v>
      </c>
      <c r="AG101" s="10">
        <v>0</v>
      </c>
      <c r="AH101" s="11"/>
      <c r="AI101" s="10"/>
      <c r="AJ101" s="10"/>
      <c r="AK101" s="10"/>
      <c r="AL101" s="7"/>
      <c r="AM101" s="10"/>
    </row>
    <row x14ac:dyDescent="0.25" r="102" customHeight="1" ht="18">
      <c r="A102" s="7" t="s">
        <v>512</v>
      </c>
      <c r="B102" s="24" t="s">
        <v>513</v>
      </c>
      <c r="C102" s="24" t="s">
        <v>71</v>
      </c>
      <c r="D102" s="7" t="s">
        <v>42</v>
      </c>
      <c r="E102" s="9">
        <v>21565</v>
      </c>
      <c r="F102" s="10">
        <v>65</v>
      </c>
      <c r="G102" s="7" t="s">
        <v>79</v>
      </c>
      <c r="H102" s="7" t="s">
        <v>85</v>
      </c>
      <c r="I102" s="8"/>
      <c r="J102" s="28" t="s">
        <v>514</v>
      </c>
      <c r="K102" s="9">
        <v>45586</v>
      </c>
      <c r="L102" s="8"/>
      <c r="M102" s="12">
        <v>0</v>
      </c>
      <c r="N102" s="10">
        <v>0</v>
      </c>
      <c r="O102" s="8"/>
      <c r="P102" s="12" t="s">
        <v>143</v>
      </c>
      <c r="Q102" s="14" t="s">
        <v>130</v>
      </c>
      <c r="R102" s="12"/>
      <c r="S102" s="10">
        <v>56</v>
      </c>
      <c r="T102" s="10">
        <f>56*60</f>
      </c>
      <c r="U102" s="10">
        <v>324</v>
      </c>
      <c r="V102" s="13">
        <v>17.41</v>
      </c>
      <c r="W102" s="13">
        <v>26.04</v>
      </c>
      <c r="X102" s="13">
        <v>43.75</v>
      </c>
      <c r="Y102" s="13">
        <v>12.78</v>
      </c>
      <c r="Z102" s="10">
        <v>78</v>
      </c>
      <c r="AA102" s="40"/>
      <c r="AB102" s="13">
        <v>0.77</v>
      </c>
      <c r="AC102" s="13">
        <v>39.19</v>
      </c>
      <c r="AD102" s="8" t="s">
        <v>472</v>
      </c>
      <c r="AE102" s="42">
        <v>14.97</v>
      </c>
      <c r="AF102" s="13">
        <f>1.06+5.3</f>
      </c>
      <c r="AG102" s="10">
        <v>16</v>
      </c>
      <c r="AH102" s="11"/>
      <c r="AI102" s="10"/>
      <c r="AJ102" s="10"/>
      <c r="AK102" s="10"/>
      <c r="AL102" s="7"/>
      <c r="AM102" s="10"/>
    </row>
    <row x14ac:dyDescent="0.25" r="103" customHeight="1" ht="18">
      <c r="A103" s="7" t="s">
        <v>515</v>
      </c>
      <c r="B103" s="24" t="s">
        <v>516</v>
      </c>
      <c r="C103" s="24" t="s">
        <v>71</v>
      </c>
      <c r="D103" s="7" t="s">
        <v>60</v>
      </c>
      <c r="E103" s="9">
        <v>22472</v>
      </c>
      <c r="F103" s="10">
        <v>63</v>
      </c>
      <c r="G103" s="7" t="s">
        <v>79</v>
      </c>
      <c r="H103" s="7" t="s">
        <v>85</v>
      </c>
      <c r="I103" s="8"/>
      <c r="J103" s="28" t="s">
        <v>517</v>
      </c>
      <c r="K103" s="9">
        <v>45547</v>
      </c>
      <c r="L103" s="8"/>
      <c r="M103" s="12" t="s">
        <v>82</v>
      </c>
      <c r="N103" s="10">
        <v>1</v>
      </c>
      <c r="O103" s="8"/>
      <c r="P103" s="12" t="s">
        <v>448</v>
      </c>
      <c r="Q103" s="14" t="s">
        <v>130</v>
      </c>
      <c r="R103" s="12"/>
      <c r="S103" s="10">
        <v>105</v>
      </c>
      <c r="T103" s="10">
        <f>105*60</f>
      </c>
      <c r="U103" s="10">
        <v>402</v>
      </c>
      <c r="V103" s="13">
        <v>26.21</v>
      </c>
      <c r="W103" s="13">
        <v>3.1</v>
      </c>
      <c r="X103" s="13">
        <v>23.85</v>
      </c>
      <c r="Y103" s="13">
        <v>46.83</v>
      </c>
      <c r="Z103" s="10">
        <v>140</v>
      </c>
      <c r="AA103" s="40"/>
      <c r="AB103" s="13">
        <v>0.92</v>
      </c>
      <c r="AC103" s="13">
        <v>4.77</v>
      </c>
      <c r="AD103" s="8"/>
      <c r="AE103" s="42">
        <v>6.4</v>
      </c>
      <c r="AF103" s="13">
        <f>1.13*2+10.22</f>
      </c>
      <c r="AG103" s="10">
        <f>26+27</f>
      </c>
      <c r="AH103" s="11"/>
      <c r="AI103" s="10">
        <v>42</v>
      </c>
      <c r="AJ103" s="10"/>
      <c r="AK103" s="10"/>
      <c r="AL103" s="7"/>
      <c r="AM103" s="10"/>
    </row>
    <row x14ac:dyDescent="0.25" r="104" customHeight="1" ht="18">
      <c r="A104" s="7" t="s">
        <v>518</v>
      </c>
      <c r="B104" s="24" t="s">
        <v>519</v>
      </c>
      <c r="C104" s="24" t="s">
        <v>71</v>
      </c>
      <c r="D104" s="7" t="s">
        <v>42</v>
      </c>
      <c r="E104" s="9">
        <v>17656</v>
      </c>
      <c r="F104" s="10">
        <v>76</v>
      </c>
      <c r="G104" s="7" t="s">
        <v>79</v>
      </c>
      <c r="H104" s="7" t="s">
        <v>85</v>
      </c>
      <c r="I104" s="8"/>
      <c r="J104" s="28" t="s">
        <v>520</v>
      </c>
      <c r="K104" s="9">
        <v>45580</v>
      </c>
      <c r="L104" s="8"/>
      <c r="M104" s="12">
        <v>0</v>
      </c>
      <c r="N104" s="10">
        <v>0</v>
      </c>
      <c r="O104" s="8"/>
      <c r="P104" s="12">
        <v>0</v>
      </c>
      <c r="Q104" s="14" t="s">
        <v>130</v>
      </c>
      <c r="R104" s="12"/>
      <c r="S104" s="10">
        <v>70</v>
      </c>
      <c r="T104" s="10">
        <f>70*60</f>
      </c>
      <c r="U104" s="10">
        <v>437</v>
      </c>
      <c r="V104" s="13">
        <v>16.11</v>
      </c>
      <c r="W104" s="13">
        <v>10.28</v>
      </c>
      <c r="X104" s="13">
        <v>52.45</v>
      </c>
      <c r="Y104" s="13">
        <v>21.14</v>
      </c>
      <c r="Z104" s="10">
        <v>71</v>
      </c>
      <c r="AA104" s="40"/>
      <c r="AB104" s="13">
        <v>0.88</v>
      </c>
      <c r="AC104" s="13">
        <v>34.83</v>
      </c>
      <c r="AD104" s="8" t="s">
        <v>247</v>
      </c>
      <c r="AE104" s="42">
        <v>18.65</v>
      </c>
      <c r="AF104" s="13">
        <v>10.21</v>
      </c>
      <c r="AG104" s="10">
        <v>0</v>
      </c>
      <c r="AH104" s="11"/>
      <c r="AI104" s="10"/>
      <c r="AJ104" s="10"/>
      <c r="AK104" s="10"/>
      <c r="AL104" s="7"/>
      <c r="AM104" s="10"/>
    </row>
    <row x14ac:dyDescent="0.25" r="105" customHeight="1" ht="18">
      <c r="A105" s="7" t="s">
        <v>521</v>
      </c>
      <c r="B105" s="24" t="s">
        <v>522</v>
      </c>
      <c r="C105" s="24" t="s">
        <v>71</v>
      </c>
      <c r="D105" s="7" t="s">
        <v>42</v>
      </c>
      <c r="E105" s="9">
        <v>17584</v>
      </c>
      <c r="F105" s="10">
        <v>46</v>
      </c>
      <c r="G105" s="7" t="s">
        <v>242</v>
      </c>
      <c r="H105" s="7" t="s">
        <v>523</v>
      </c>
      <c r="I105" s="8"/>
      <c r="J105" s="8" t="s">
        <v>524</v>
      </c>
      <c r="K105" s="9">
        <v>45412</v>
      </c>
      <c r="L105" s="8"/>
      <c r="M105" s="45" t="s">
        <v>525</v>
      </c>
      <c r="N105" s="10">
        <v>1</v>
      </c>
      <c r="O105" s="8"/>
      <c r="P105" s="12" t="s">
        <v>448</v>
      </c>
      <c r="Q105" s="14" t="s">
        <v>526</v>
      </c>
      <c r="R105" s="12"/>
      <c r="S105" s="10">
        <v>23</v>
      </c>
      <c r="T105" s="10">
        <f>23*60</f>
      </c>
      <c r="U105" s="10">
        <v>319</v>
      </c>
      <c r="V105" s="13">
        <v>7.36</v>
      </c>
      <c r="W105" s="13">
        <v>23.82</v>
      </c>
      <c r="X105" s="13">
        <v>57.52</v>
      </c>
      <c r="Y105" s="13">
        <v>11.28</v>
      </c>
      <c r="Z105" s="10">
        <v>208</v>
      </c>
      <c r="AA105" s="40"/>
      <c r="AB105" s="13">
        <v>0.65</v>
      </c>
      <c r="AC105" s="13">
        <v>18.24</v>
      </c>
      <c r="AD105" s="8" t="s">
        <v>403</v>
      </c>
      <c r="AE105" s="42">
        <v>23.51</v>
      </c>
      <c r="AF105" s="13">
        <v>12.76</v>
      </c>
      <c r="AG105" s="10">
        <v>0</v>
      </c>
      <c r="AH105" s="11"/>
      <c r="AI105" s="10"/>
      <c r="AJ105" s="10"/>
      <c r="AK105" s="10"/>
      <c r="AL105" s="7"/>
      <c r="AM105" s="10"/>
    </row>
    <row x14ac:dyDescent="0.25" r="106" customHeight="1" ht="18">
      <c r="A106" s="7" t="s">
        <v>527</v>
      </c>
      <c r="B106" s="24" t="s">
        <v>528</v>
      </c>
      <c r="C106" s="24" t="s">
        <v>71</v>
      </c>
      <c r="D106" s="7" t="s">
        <v>60</v>
      </c>
      <c r="E106" s="9">
        <v>24943</v>
      </c>
      <c r="F106" s="10">
        <v>55</v>
      </c>
      <c r="G106" s="7" t="s">
        <v>79</v>
      </c>
      <c r="H106" s="7" t="s">
        <v>85</v>
      </c>
      <c r="I106" s="8"/>
      <c r="J106" s="28" t="s">
        <v>529</v>
      </c>
      <c r="K106" s="9">
        <v>45365</v>
      </c>
      <c r="L106" s="8"/>
      <c r="M106" s="12" t="s">
        <v>530</v>
      </c>
      <c r="N106" s="10">
        <v>1</v>
      </c>
      <c r="O106" s="8"/>
      <c r="P106" s="12" t="s">
        <v>448</v>
      </c>
      <c r="Q106" s="8"/>
      <c r="R106" s="12"/>
      <c r="S106" s="10">
        <v>126</v>
      </c>
      <c r="T106" s="10">
        <f>126*60</f>
      </c>
      <c r="U106" s="10">
        <v>489</v>
      </c>
      <c r="V106" s="13">
        <v>25.74</v>
      </c>
      <c r="W106" s="13">
        <v>3.57</v>
      </c>
      <c r="X106" s="13">
        <v>46.27</v>
      </c>
      <c r="Y106" s="13">
        <v>24.41</v>
      </c>
      <c r="Z106" s="10">
        <v>63</v>
      </c>
      <c r="AA106" s="40"/>
      <c r="AB106" s="13">
        <v>0.94</v>
      </c>
      <c r="AC106" s="13">
        <v>6.12</v>
      </c>
      <c r="AD106" s="8" t="s">
        <v>531</v>
      </c>
      <c r="AE106" s="42">
        <v>9.92</v>
      </c>
      <c r="AF106" s="13">
        <f>0.47+10.95</f>
      </c>
      <c r="AG106" s="10">
        <v>10</v>
      </c>
      <c r="AH106" s="11"/>
      <c r="AI106" s="10"/>
      <c r="AJ106" s="11"/>
      <c r="AK106" s="11"/>
      <c r="AL106" s="8"/>
      <c r="AM106" s="11"/>
    </row>
    <row x14ac:dyDescent="0.25" r="107" customHeight="1" ht="18">
      <c r="A107" s="7" t="s">
        <v>532</v>
      </c>
      <c r="B107" s="24" t="s">
        <v>533</v>
      </c>
      <c r="C107" s="24" t="s">
        <v>71</v>
      </c>
      <c r="D107" s="7" t="s">
        <v>42</v>
      </c>
      <c r="E107" s="9">
        <v>25322</v>
      </c>
      <c r="F107" s="10">
        <v>55</v>
      </c>
      <c r="G107" s="7" t="s">
        <v>43</v>
      </c>
      <c r="H107" s="16" t="s">
        <v>534</v>
      </c>
      <c r="I107" s="8"/>
      <c r="J107" s="28" t="s">
        <v>535</v>
      </c>
      <c r="K107" s="9">
        <v>45629</v>
      </c>
      <c r="L107" s="8"/>
      <c r="M107" s="12">
        <v>0</v>
      </c>
      <c r="N107" s="10">
        <v>0</v>
      </c>
      <c r="O107" s="8"/>
      <c r="P107" s="12">
        <v>0</v>
      </c>
      <c r="Q107" s="8"/>
      <c r="R107" s="12"/>
      <c r="S107" s="10">
        <v>26</v>
      </c>
      <c r="T107" s="10">
        <f>S107*60</f>
      </c>
      <c r="U107" s="13">
        <v>233.5</v>
      </c>
      <c r="V107" s="13">
        <v>11.1</v>
      </c>
      <c r="W107" s="13">
        <v>13.5</v>
      </c>
      <c r="X107" s="10">
        <v>43</v>
      </c>
      <c r="Y107" s="13">
        <v>32.3</v>
      </c>
      <c r="Z107" s="13">
        <v>134.5</v>
      </c>
      <c r="AA107" s="40"/>
      <c r="AB107" s="13">
        <v>0.54</v>
      </c>
      <c r="AC107" s="40"/>
      <c r="AD107" s="8" t="s">
        <v>462</v>
      </c>
      <c r="AE107" s="42">
        <v>4.9</v>
      </c>
      <c r="AF107" s="10">
        <v>0</v>
      </c>
      <c r="AG107" s="10">
        <v>0</v>
      </c>
      <c r="AH107" s="11"/>
      <c r="AI107" s="10"/>
      <c r="AJ107" s="11"/>
      <c r="AK107" s="11"/>
      <c r="AL107" s="8"/>
      <c r="AM107" s="11"/>
    </row>
    <row x14ac:dyDescent="0.25" r="108" customHeight="1" ht="13.800000000000002">
      <c r="A108" s="7" t="s">
        <v>536</v>
      </c>
      <c r="B108" s="24" t="s">
        <v>537</v>
      </c>
      <c r="C108" s="24" t="s">
        <v>71</v>
      </c>
      <c r="D108" s="7" t="s">
        <v>42</v>
      </c>
      <c r="E108" s="9">
        <v>17426</v>
      </c>
      <c r="F108" s="10">
        <v>77</v>
      </c>
      <c r="G108" s="7" t="s">
        <v>43</v>
      </c>
      <c r="H108" s="16" t="s">
        <v>534</v>
      </c>
      <c r="I108" s="8"/>
      <c r="J108" s="28" t="s">
        <v>538</v>
      </c>
      <c r="K108" s="9">
        <v>45560</v>
      </c>
      <c r="L108" s="8"/>
      <c r="M108" s="12" t="s">
        <v>539</v>
      </c>
      <c r="N108" s="10">
        <v>1</v>
      </c>
      <c r="O108" s="8"/>
      <c r="P108" s="12" t="s">
        <v>448</v>
      </c>
      <c r="Q108" s="8"/>
      <c r="R108" s="12"/>
      <c r="S108" s="10">
        <v>86</v>
      </c>
      <c r="T108" s="10">
        <f>86*60</f>
      </c>
      <c r="U108" s="10">
        <v>203</v>
      </c>
      <c r="V108" s="13">
        <v>42.5</v>
      </c>
      <c r="W108" s="10">
        <v>28</v>
      </c>
      <c r="X108" s="13">
        <v>28.25</v>
      </c>
      <c r="Y108" s="13">
        <v>1.22</v>
      </c>
      <c r="Z108" s="10">
        <v>57</v>
      </c>
      <c r="AA108" s="40"/>
      <c r="AB108" s="13">
        <v>0.49</v>
      </c>
      <c r="AC108" s="13" t="s">
        <v>540</v>
      </c>
      <c r="AD108" s="8" t="s">
        <v>247</v>
      </c>
      <c r="AE108" s="43">
        <v>20</v>
      </c>
      <c r="AF108" s="13">
        <f>8.32+4.85+12.48</f>
      </c>
      <c r="AG108" s="10">
        <v>255</v>
      </c>
      <c r="AH108" s="11"/>
      <c r="AI108" s="10"/>
      <c r="AJ108" s="11"/>
      <c r="AK108" s="11"/>
      <c r="AL108" s="8"/>
      <c r="AM108" s="11"/>
    </row>
    <row x14ac:dyDescent="0.25" r="109" customHeight="1" ht="18">
      <c r="A109" s="7" t="s">
        <v>541</v>
      </c>
      <c r="B109" s="24" t="s">
        <v>542</v>
      </c>
      <c r="C109" s="24" t="s">
        <v>71</v>
      </c>
      <c r="D109" s="7" t="s">
        <v>42</v>
      </c>
      <c r="E109" s="9">
        <v>20458</v>
      </c>
      <c r="F109" s="10">
        <v>67</v>
      </c>
      <c r="G109" s="7" t="s">
        <v>43</v>
      </c>
      <c r="H109" s="16" t="s">
        <v>543</v>
      </c>
      <c r="I109" s="8"/>
      <c r="J109" s="8"/>
      <c r="K109" s="9">
        <v>45015</v>
      </c>
      <c r="L109" s="8"/>
      <c r="M109" s="12">
        <v>0</v>
      </c>
      <c r="N109" s="10">
        <v>0</v>
      </c>
      <c r="O109" s="8"/>
      <c r="P109" s="11"/>
      <c r="Q109" s="8"/>
      <c r="R109" s="12"/>
      <c r="S109" s="10">
        <v>45</v>
      </c>
      <c r="T109" s="10">
        <f>45*60</f>
      </c>
      <c r="U109" s="10">
        <v>377</v>
      </c>
      <c r="V109" s="13">
        <v>12.05</v>
      </c>
      <c r="W109" s="13">
        <v>9.4</v>
      </c>
      <c r="X109" s="10">
        <v>60</v>
      </c>
      <c r="Y109" s="13">
        <v>18.54</v>
      </c>
      <c r="Z109" s="10">
        <v>45</v>
      </c>
      <c r="AA109" s="40"/>
      <c r="AB109" s="13">
        <v>0.89</v>
      </c>
      <c r="AC109" s="13">
        <v>0.79</v>
      </c>
      <c r="AD109" s="8"/>
      <c r="AE109" s="42">
        <v>3.01</v>
      </c>
      <c r="AF109" s="13">
        <f>2.63+1.31+1.31+11.85</f>
      </c>
      <c r="AG109" s="10">
        <v>45</v>
      </c>
      <c r="AH109" s="11"/>
      <c r="AI109" s="10"/>
      <c r="AJ109" s="11"/>
      <c r="AK109" s="11"/>
      <c r="AL109" s="8"/>
      <c r="AM109" s="11"/>
    </row>
    <row x14ac:dyDescent="0.25" r="110" customHeight="1" ht="18">
      <c r="A110" s="7" t="s">
        <v>544</v>
      </c>
      <c r="B110" s="24" t="s">
        <v>545</v>
      </c>
      <c r="C110" s="24" t="s">
        <v>71</v>
      </c>
      <c r="D110" s="7" t="s">
        <v>60</v>
      </c>
      <c r="E110" s="9">
        <v>23658</v>
      </c>
      <c r="F110" s="10">
        <v>60</v>
      </c>
      <c r="G110" s="7" t="s">
        <v>43</v>
      </c>
      <c r="H110" s="16" t="s">
        <v>546</v>
      </c>
      <c r="I110" s="8"/>
      <c r="J110" s="8" t="s">
        <v>547</v>
      </c>
      <c r="K110" s="9">
        <v>45756</v>
      </c>
      <c r="L110" s="8"/>
      <c r="M110" s="12" t="s">
        <v>548</v>
      </c>
      <c r="N110" s="10">
        <v>1</v>
      </c>
      <c r="O110" s="8"/>
      <c r="P110" s="11"/>
      <c r="Q110" s="8"/>
      <c r="R110" s="12"/>
      <c r="S110" s="13">
        <v>66.5</v>
      </c>
      <c r="T110" s="10">
        <f>66.5*60</f>
      </c>
      <c r="U110" s="10">
        <v>409</v>
      </c>
      <c r="V110" s="13">
        <v>16.3</v>
      </c>
      <c r="W110" s="13">
        <v>7.1</v>
      </c>
      <c r="X110" s="13">
        <v>55.9</v>
      </c>
      <c r="Y110" s="13">
        <v>20.8</v>
      </c>
      <c r="Z110" s="13">
        <v>250.5</v>
      </c>
      <c r="AA110" s="40"/>
      <c r="AB110" s="13">
        <v>0.89</v>
      </c>
      <c r="AC110" s="13">
        <v>15.8</v>
      </c>
      <c r="AD110" s="8" t="s">
        <v>472</v>
      </c>
      <c r="AE110" s="42">
        <v>12.1</v>
      </c>
      <c r="AF110" s="10">
        <v>27</v>
      </c>
      <c r="AG110" s="11"/>
      <c r="AH110" s="11"/>
      <c r="AI110" s="10"/>
      <c r="AJ110" s="11"/>
      <c r="AK110" s="11"/>
      <c r="AL110" s="8"/>
      <c r="AM110" s="11"/>
    </row>
    <row x14ac:dyDescent="0.25" r="111" customHeight="1" ht="18">
      <c r="A111" s="7" t="s">
        <v>549</v>
      </c>
      <c r="B111" s="24" t="s">
        <v>550</v>
      </c>
      <c r="C111" s="24"/>
      <c r="D111" s="7" t="s">
        <v>42</v>
      </c>
      <c r="E111" s="46">
        <v>21465</v>
      </c>
      <c r="F111" s="10">
        <v>66</v>
      </c>
      <c r="G111" s="7" t="s">
        <v>242</v>
      </c>
      <c r="H111" s="7" t="s">
        <v>282</v>
      </c>
      <c r="I111" s="8"/>
      <c r="J111" s="8"/>
      <c r="K111" s="9">
        <v>45734</v>
      </c>
      <c r="L111" s="8"/>
      <c r="M111" s="11"/>
      <c r="N111" s="11"/>
      <c r="O111" s="8"/>
      <c r="P111" s="11"/>
      <c r="Q111" s="8"/>
      <c r="R111" s="11"/>
      <c r="S111" s="10">
        <v>49</v>
      </c>
      <c r="T111" s="10">
        <f>S111*60</f>
      </c>
      <c r="U111" s="13">
        <v>319.5</v>
      </c>
      <c r="V111" s="13">
        <v>15.3</v>
      </c>
      <c r="W111" s="13">
        <v>24.6</v>
      </c>
      <c r="X111" s="13">
        <v>48.5</v>
      </c>
      <c r="Y111" s="13">
        <v>11.6</v>
      </c>
      <c r="Z111" s="10">
        <v>105</v>
      </c>
      <c r="AA111" s="40"/>
      <c r="AB111" s="40"/>
      <c r="AC111" s="13">
        <v>8.3</v>
      </c>
      <c r="AD111" s="8"/>
      <c r="AE111" s="42">
        <v>17.6</v>
      </c>
      <c r="AF111" s="13">
        <v>14.6</v>
      </c>
      <c r="AG111" s="11"/>
      <c r="AH111" s="11"/>
      <c r="AI111" s="11"/>
      <c r="AJ111" s="11"/>
      <c r="AK111" s="11"/>
      <c r="AL111" s="8"/>
      <c r="AM111" s="11"/>
    </row>
    <row x14ac:dyDescent="0.25" r="112" customHeight="1" ht="18">
      <c r="A112" s="7" t="s">
        <v>551</v>
      </c>
      <c r="B112" s="24" t="s">
        <v>552</v>
      </c>
      <c r="C112" s="24"/>
      <c r="D112" s="7" t="s">
        <v>42</v>
      </c>
      <c r="E112" s="46">
        <v>17702</v>
      </c>
      <c r="F112" s="10">
        <v>77</v>
      </c>
      <c r="G112" s="7" t="s">
        <v>43</v>
      </c>
      <c r="H112" s="16" t="s">
        <v>44</v>
      </c>
      <c r="I112" s="8"/>
      <c r="J112" s="8" t="s">
        <v>553</v>
      </c>
      <c r="K112" s="9">
        <v>45824</v>
      </c>
      <c r="L112" s="8"/>
      <c r="M112" s="11"/>
      <c r="N112" s="11"/>
      <c r="O112" s="8"/>
      <c r="P112" s="11"/>
      <c r="Q112" s="8"/>
      <c r="R112" s="11"/>
      <c r="S112" s="10">
        <v>48</v>
      </c>
      <c r="T112" s="10">
        <f>S112*60</f>
      </c>
      <c r="U112" s="13">
        <v>237.5</v>
      </c>
      <c r="V112" s="13">
        <v>20.2</v>
      </c>
      <c r="W112" s="13">
        <v>35.6</v>
      </c>
      <c r="X112" s="13">
        <v>26.7</v>
      </c>
      <c r="Y112" s="13">
        <v>17.5</v>
      </c>
      <c r="Z112" s="13">
        <v>70.5</v>
      </c>
      <c r="AA112" s="40"/>
      <c r="AB112" s="40"/>
      <c r="AC112" s="13">
        <v>0.8</v>
      </c>
      <c r="AD112" s="8" t="s">
        <v>477</v>
      </c>
      <c r="AE112" s="42">
        <v>7.6</v>
      </c>
      <c r="AF112" s="13">
        <v>10.1</v>
      </c>
      <c r="AG112" s="11"/>
      <c r="AH112" s="11"/>
      <c r="AI112" s="11"/>
      <c r="AJ112" s="11"/>
      <c r="AK112" s="11"/>
      <c r="AL112" s="8"/>
      <c r="AM112" s="11"/>
    </row>
    <row x14ac:dyDescent="0.25" r="113" customHeight="1" ht="18">
      <c r="A113" s="7" t="s">
        <v>554</v>
      </c>
      <c r="B113" s="24" t="s">
        <v>555</v>
      </c>
      <c r="C113" s="24"/>
      <c r="D113" s="7" t="s">
        <v>60</v>
      </c>
      <c r="E113" s="46">
        <v>16568</v>
      </c>
      <c r="F113" s="10">
        <v>79</v>
      </c>
      <c r="G113" s="7" t="s">
        <v>43</v>
      </c>
      <c r="H113" s="7" t="s">
        <v>44</v>
      </c>
      <c r="I113" s="8"/>
      <c r="J113" s="8" t="s">
        <v>556</v>
      </c>
      <c r="K113" s="9">
        <v>45676</v>
      </c>
      <c r="L113" s="8"/>
      <c r="M113" s="12" t="s">
        <v>557</v>
      </c>
      <c r="N113" s="11"/>
      <c r="O113" s="8"/>
      <c r="P113" s="11"/>
      <c r="Q113" s="8"/>
      <c r="R113" s="11"/>
      <c r="S113" s="13">
        <v>39.5</v>
      </c>
      <c r="T113" s="10">
        <f>S113*60</f>
      </c>
      <c r="U113" s="10">
        <v>441</v>
      </c>
      <c r="V113" s="10">
        <v>9</v>
      </c>
      <c r="W113" s="10">
        <v>9</v>
      </c>
      <c r="X113" s="13">
        <v>82.1</v>
      </c>
      <c r="Y113" s="10">
        <v>0</v>
      </c>
      <c r="Z113" s="10">
        <v>111</v>
      </c>
      <c r="AA113" s="40"/>
      <c r="AB113" s="40"/>
      <c r="AC113" s="13">
        <v>6.5</v>
      </c>
      <c r="AD113" s="8" t="s">
        <v>137</v>
      </c>
      <c r="AE113" s="42">
        <v>80.9</v>
      </c>
      <c r="AF113" s="13">
        <v>80.5</v>
      </c>
      <c r="AG113" s="11"/>
      <c r="AH113" s="11"/>
      <c r="AI113" s="11"/>
      <c r="AJ113" s="11"/>
      <c r="AK113" s="11"/>
      <c r="AL113" s="8"/>
      <c r="AM113" s="11"/>
    </row>
    <row x14ac:dyDescent="0.25" r="114" customHeight="1" ht="18">
      <c r="A114" s="7" t="s">
        <v>558</v>
      </c>
      <c r="B114" s="24" t="s">
        <v>559</v>
      </c>
      <c r="C114" s="8"/>
      <c r="D114" s="7" t="s">
        <v>42</v>
      </c>
      <c r="E114" s="46">
        <v>18136</v>
      </c>
      <c r="F114" s="10">
        <v>75</v>
      </c>
      <c r="G114" s="7" t="s">
        <v>79</v>
      </c>
      <c r="H114" s="7" t="s">
        <v>85</v>
      </c>
      <c r="I114" s="8"/>
      <c r="J114" s="8" t="s">
        <v>560</v>
      </c>
      <c r="K114" s="9">
        <v>45776</v>
      </c>
      <c r="L114" s="8"/>
      <c r="M114" s="11"/>
      <c r="N114" s="11"/>
      <c r="O114" s="8"/>
      <c r="P114" s="11"/>
      <c r="Q114" s="8"/>
      <c r="R114" s="11"/>
      <c r="S114" s="10">
        <v>92</v>
      </c>
      <c r="T114" s="10">
        <f>S114*60</f>
      </c>
      <c r="U114" s="13">
        <v>407.5</v>
      </c>
      <c r="V114" s="13">
        <v>22.6</v>
      </c>
      <c r="W114" s="13">
        <v>13.9</v>
      </c>
      <c r="X114" s="13">
        <v>61.3</v>
      </c>
      <c r="Y114" s="13">
        <v>2.2</v>
      </c>
      <c r="Z114" s="10">
        <v>43</v>
      </c>
      <c r="AA114" s="40"/>
      <c r="AB114" s="40"/>
      <c r="AC114" s="13">
        <v>1.6</v>
      </c>
      <c r="AD114" s="8" t="s">
        <v>305</v>
      </c>
      <c r="AE114" s="42">
        <v>20.4</v>
      </c>
      <c r="AF114" s="10">
        <v>32</v>
      </c>
      <c r="AG114" s="11"/>
      <c r="AH114" s="11"/>
      <c r="AI114" s="11"/>
      <c r="AJ114" s="11"/>
      <c r="AK114" s="11"/>
      <c r="AL114" s="8"/>
      <c r="AM114" s="11"/>
    </row>
    <row x14ac:dyDescent="0.25" r="115" customHeight="1" ht="18">
      <c r="A115" s="7" t="s">
        <v>561</v>
      </c>
      <c r="B115" s="24" t="s">
        <v>562</v>
      </c>
      <c r="C115" s="8"/>
      <c r="D115" s="7" t="s">
        <v>60</v>
      </c>
      <c r="E115" s="46">
        <v>32655</v>
      </c>
      <c r="F115" s="10">
        <v>36</v>
      </c>
      <c r="G115" s="7" t="s">
        <v>79</v>
      </c>
      <c r="H115" s="7" t="s">
        <v>85</v>
      </c>
      <c r="I115" s="8"/>
      <c r="J115" s="8" t="s">
        <v>563</v>
      </c>
      <c r="K115" s="9">
        <v>45827</v>
      </c>
      <c r="L115" s="8"/>
      <c r="M115" s="11"/>
      <c r="N115" s="11"/>
      <c r="O115" s="8"/>
      <c r="P115" s="11"/>
      <c r="Q115" s="8"/>
      <c r="R115" s="11"/>
      <c r="S115" s="10">
        <v>76</v>
      </c>
      <c r="T115" s="10">
        <f>S115*60</f>
      </c>
      <c r="U115" s="13">
        <v>376.5</v>
      </c>
      <c r="V115" s="13">
        <v>20.2</v>
      </c>
      <c r="W115" s="13">
        <v>15.9</v>
      </c>
      <c r="X115" s="13">
        <v>38.2</v>
      </c>
      <c r="Y115" s="13">
        <v>25.6</v>
      </c>
      <c r="Z115" s="13">
        <v>55.5</v>
      </c>
      <c r="AA115" s="40"/>
      <c r="AB115" s="40"/>
      <c r="AC115" s="13">
        <v>9.2</v>
      </c>
      <c r="AD115" s="8" t="s">
        <v>477</v>
      </c>
      <c r="AE115" s="42">
        <v>6.9</v>
      </c>
      <c r="AF115" s="10">
        <v>12</v>
      </c>
      <c r="AG115" s="11"/>
      <c r="AH115" s="11"/>
      <c r="AI115" s="11"/>
      <c r="AJ115" s="11"/>
      <c r="AK115" s="11"/>
      <c r="AL115" s="8"/>
      <c r="AM115" s="11"/>
    </row>
    <row x14ac:dyDescent="0.25" r="116" customHeight="1" ht="18">
      <c r="A116" s="7" t="s">
        <v>564</v>
      </c>
      <c r="B116" s="24" t="s">
        <v>565</v>
      </c>
      <c r="C116" s="8"/>
      <c r="D116" s="7" t="s">
        <v>42</v>
      </c>
      <c r="E116" s="25"/>
      <c r="F116" s="11"/>
      <c r="G116" s="7" t="s">
        <v>566</v>
      </c>
      <c r="H116" s="7" t="s">
        <v>566</v>
      </c>
      <c r="I116" s="8"/>
      <c r="J116" s="8"/>
      <c r="K116" s="25"/>
      <c r="L116" s="8"/>
      <c r="M116" s="11"/>
      <c r="N116" s="11"/>
      <c r="O116" s="8"/>
      <c r="P116" s="11"/>
      <c r="Q116" s="8"/>
      <c r="R116" s="11"/>
      <c r="S116" s="11"/>
      <c r="T116" s="11"/>
      <c r="U116" s="40"/>
      <c r="V116" s="40"/>
      <c r="W116" s="40"/>
      <c r="X116" s="40"/>
      <c r="Y116" s="40"/>
      <c r="Z116" s="40"/>
      <c r="AA116" s="40"/>
      <c r="AB116" s="40"/>
      <c r="AC116" s="40"/>
      <c r="AD116" s="8"/>
      <c r="AE116" s="40"/>
      <c r="AF116" s="11"/>
      <c r="AG116" s="11"/>
      <c r="AH116" s="11"/>
      <c r="AI116" s="11"/>
      <c r="AJ116" s="11"/>
      <c r="AK116" s="11"/>
      <c r="AL116" s="8"/>
      <c r="AM116" s="11"/>
    </row>
    <row x14ac:dyDescent="0.25" r="117" customHeight="1" ht="18">
      <c r="A117" s="7" t="s">
        <v>567</v>
      </c>
      <c r="B117" s="24" t="s">
        <v>568</v>
      </c>
      <c r="C117" s="8"/>
      <c r="D117" s="7" t="s">
        <v>42</v>
      </c>
      <c r="E117" s="25"/>
      <c r="F117" s="11"/>
      <c r="G117" s="7" t="s">
        <v>43</v>
      </c>
      <c r="H117" s="7" t="s">
        <v>44</v>
      </c>
      <c r="I117" s="8"/>
      <c r="J117" s="8"/>
      <c r="K117" s="25"/>
      <c r="L117" s="8"/>
      <c r="M117" s="11"/>
      <c r="N117" s="11"/>
      <c r="O117" s="8"/>
      <c r="P117" s="11"/>
      <c r="Q117" s="8"/>
      <c r="R117" s="11"/>
      <c r="S117" s="11"/>
      <c r="T117" s="11"/>
      <c r="U117" s="40"/>
      <c r="V117" s="40"/>
      <c r="W117" s="40"/>
      <c r="X117" s="40"/>
      <c r="Y117" s="40"/>
      <c r="Z117" s="40"/>
      <c r="AA117" s="40"/>
      <c r="AB117" s="40"/>
      <c r="AC117" s="40"/>
      <c r="AD117" s="8"/>
      <c r="AE117" s="40"/>
      <c r="AF117" s="11"/>
      <c r="AG117" s="11"/>
      <c r="AH117" s="11"/>
      <c r="AI117" s="11"/>
      <c r="AJ117" s="11"/>
      <c r="AK117" s="11"/>
      <c r="AL117" s="8"/>
      <c r="AM117" s="11"/>
    </row>
    <row x14ac:dyDescent="0.25" r="118" customHeight="1" ht="18">
      <c r="A118" s="7" t="s">
        <v>569</v>
      </c>
      <c r="B118" s="24" t="s">
        <v>570</v>
      </c>
      <c r="C118" s="8"/>
      <c r="D118" s="7" t="s">
        <v>42</v>
      </c>
      <c r="E118" s="25"/>
      <c r="F118" s="11"/>
      <c r="G118" s="8"/>
      <c r="H118" s="8"/>
      <c r="I118" s="8"/>
      <c r="J118" s="8"/>
      <c r="K118" s="25"/>
      <c r="L118" s="8"/>
      <c r="M118" s="11"/>
      <c r="N118" s="11"/>
      <c r="O118" s="8"/>
      <c r="P118" s="11"/>
      <c r="Q118" s="8"/>
      <c r="R118" s="11"/>
      <c r="S118" s="11"/>
      <c r="T118" s="11"/>
      <c r="U118" s="40"/>
      <c r="V118" s="40"/>
      <c r="W118" s="40"/>
      <c r="X118" s="40"/>
      <c r="Y118" s="40"/>
      <c r="Z118" s="40"/>
      <c r="AA118" s="40"/>
      <c r="AB118" s="40"/>
      <c r="AC118" s="40"/>
      <c r="AD118" s="8"/>
      <c r="AE118" s="40"/>
      <c r="AF118" s="11"/>
      <c r="AG118" s="11"/>
      <c r="AH118" s="11"/>
      <c r="AI118" s="11"/>
      <c r="AJ118" s="11"/>
      <c r="AK118" s="11"/>
      <c r="AL118" s="8"/>
      <c r="AM118" s="1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Feuil1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2025-07-22T08:14:21.687Z</dcterms:created>
  <dcterms:modified xsi:type="dcterms:W3CDTF">2025-07-22T08:14:21.687Z</dcterms:modified>
</cp:coreProperties>
</file>